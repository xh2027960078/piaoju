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填写注意事项" sheetId="1" r:id="rId1"/>
    <sheet name="员工报销单模板" sheetId="2" r:id="rId2"/>
    <sheet name="项目中心" sheetId="3" r:id="rId3"/>
    <sheet name="索引" sheetId="4" r:id="rId4"/>
  </sheets>
  <definedNames>
    <definedName name="_xlnm._FilterDatabase" localSheetId="2">'项目中心'!$A$1:$AN$1</definedName>
  </definedNames>
  <calcPr calcId="0"/>
</workbook>
</file>

<file path=xl/sharedStrings.xml><?xml version="1.0" encoding="utf-8"?>
<sst xmlns="http://schemas.openxmlformats.org/spreadsheetml/2006/main">
  <si>
    <t>1、项目中心模糊查找功能使用仅适用单字查找，输入关键单字按回车键-点击下拉键-按上下键+回车键选择相应项目中心</t>
  </si>
  <si>
    <t>2、研发费用与差旅费分开提交2张单据，研发费用在单据表；若无相应项目中心，则填写“其他”；则在出行人及备注填写实际项目名称/临时用项目名称；凡填其他项目，备注栏必填实际项目名称</t>
  </si>
  <si>
    <t>3、行程信息以单个项目为准填写，根据实际单个项目填写时间和地点，时间间隔涉及到多个项目，可以同一时间段重复。连续时间涉及多个项目，或按项目个数均分或者实际发生额按单个项目填写多条信息。</t>
  </si>
  <si>
    <t>4、多个临时项目均分同一费用，需按单个项目填写，例如：滴滴发票共1200，有10个项目平均分，则需要填写10条费用明细；</t>
  </si>
  <si>
    <t>5、请报销人注意，避免重复提交电子发票，金蝶系统有自动查重功能，发票金额会自动去除重复发票金额，导致报销金额大于发票金额，产生差异；需要手工查找重复发票，会延迟报销收款时间；</t>
  </si>
  <si>
    <t>6、出租车卷式发票和ETC针式打印票如果打印不清楚，用铅笔在打印金额旁重新写一遍，避免核对金额不符。</t>
  </si>
  <si>
    <t>7、取消“员工报销单模板”密码保护，请勿改动相关公式</t>
  </si>
  <si>
    <t>8、增加 发票对应 填写摘要</t>
  </si>
  <si>
    <t>9、增加费用种类</t>
  </si>
  <si>
    <t>填写注意：灰色格子已经设置公式，勿改动</t>
  </si>
  <si>
    <t>黄色必填</t>
  </si>
  <si>
    <t>报销人姓名</t>
  </si>
  <si>
    <t>报销总金额</t>
  </si>
  <si>
    <t>已设置单个字-模糊查找，只需要输入部分项目字段，点击下拉键，选择对应项目中心</t>
  </si>
  <si>
    <t>报销申请日期</t>
  </si>
  <si>
    <t>此处固定格式，按范例填写即可，不需要更改</t>
  </si>
  <si>
    <t>已设好公式，自动生成，不需要手工填</t>
  </si>
  <si>
    <t>选择组织，下拉选项</t>
  </si>
  <si>
    <t>按实际填写事由</t>
  </si>
  <si>
    <t>报销人编码</t>
  </si>
  <si>
    <t>报销人的名字（此处为范例，导入金蝶后需要手动变更为对应报销人）</t>
  </si>
  <si>
    <t>报销人所属部门名称（注意从“客服4组”往下是凌跃的部门）</t>
  </si>
  <si>
    <t>收款对象类型默认为员工，按范例填写即可，不需要更改</t>
  </si>
  <si>
    <t>收款人编码</t>
  </si>
  <si>
    <t>收款人的名字（此处为范例，导入金蝶后需要手动变更为对应收款人）</t>
  </si>
  <si>
    <t>文本格式，六位数，自己编</t>
  </si>
  <si>
    <t>下拉选择</t>
  </si>
  <si>
    <t>日期格式：XXXX-XX-XX
根据实际单个项目填写时间和地点。连续时间涉及多个项目，或按项目个数均分或者实际发生按单个项目填写多条信息。</t>
  </si>
  <si>
    <t>根据实际单个项目填写时间和地点。连续时间涉及多个项目，或按项目个数均分或者实际发生按单个项目填写多条信息。</t>
  </si>
  <si>
    <t>按实际填</t>
  </si>
  <si>
    <t>下拉选择，
增值税发票=增值税专用发票</t>
  </si>
  <si>
    <t>下拉选项（注意从客服4组往下是凌跃的部门）</t>
  </si>
  <si>
    <t>如果没有对应的项目中心和项目编号，填其他和000573，并在备注烂填写临时项目名称</t>
  </si>
  <si>
    <t>按实际填写，住宿天数和实际项目中心（项目中心栏填“其他”必填）</t>
  </si>
  <si>
    <t>FBillHead(ER_ExpReimbursement_Travel)</t>
  </si>
  <si>
    <t>FDate</t>
  </si>
  <si>
    <t>FCurrencyID</t>
  </si>
  <si>
    <t>FCurrencyID#Name</t>
  </si>
  <si>
    <t>FOrgID</t>
  </si>
  <si>
    <t>FOrgID#Name</t>
  </si>
  <si>
    <t>FCausa</t>
  </si>
  <si>
    <t>FProposerID</t>
  </si>
  <si>
    <t>FProposerID#Name</t>
  </si>
  <si>
    <t>FRequestDeptID</t>
  </si>
  <si>
    <t>FRequestDeptID#Name</t>
  </si>
  <si>
    <t>FBillTypeID</t>
  </si>
  <si>
    <t>FBillTypeID#Name</t>
  </si>
  <si>
    <t>FExpenseOrgId</t>
  </si>
  <si>
    <t>FExpenseOrgId#Name</t>
  </si>
  <si>
    <t>FExpenseDeptID</t>
  </si>
  <si>
    <t>FExpenseDeptID#Name</t>
  </si>
  <si>
    <t>FCONTACTUNITTYPE</t>
  </si>
  <si>
    <t>FCONTACTUNIT</t>
  </si>
  <si>
    <t>FCONTACTUNIT#Name</t>
  </si>
  <si>
    <t>FExchangeTypeID</t>
  </si>
  <si>
    <t>FExchangeTypeID#Name</t>
  </si>
  <si>
    <t>FLocCurrencyID</t>
  </si>
  <si>
    <t>FLocCurrencyID#Name</t>
  </si>
  <si>
    <t>FEntity</t>
  </si>
  <si>
    <t>FExpID</t>
  </si>
  <si>
    <t>FExpID#Name</t>
  </si>
  <si>
    <t>FTravelStartDate</t>
  </si>
  <si>
    <t>FTravelEndDate</t>
  </si>
  <si>
    <t>FTravelStartSite</t>
  </si>
  <si>
    <t>FTravelEndSite</t>
  </si>
  <si>
    <t>FTravelType</t>
  </si>
  <si>
    <t>FTravelType#Name</t>
  </si>
  <si>
    <t>FTravelAmount</t>
  </si>
  <si>
    <t>FInvoiceType</t>
  </si>
  <si>
    <t>FTaxRate</t>
  </si>
  <si>
    <t>FExpenseAmount</t>
  </si>
  <si>
    <t>FExpenseDeptEntryID</t>
  </si>
  <si>
    <t>FExpenseDeptEntryID#Name</t>
  </si>
  <si>
    <t>FTaxSubmitAmt</t>
  </si>
  <si>
    <t>F_DH_Project</t>
  </si>
  <si>
    <t>F_DH_Project#Name</t>
  </si>
  <si>
    <t>FRemark</t>
  </si>
  <si>
    <t>*单据头(序号)</t>
  </si>
  <si>
    <t>*(单据头)申请日期</t>
  </si>
  <si>
    <t>*(单据头)币别#编码</t>
  </si>
  <si>
    <t>(单据头)币别#名称</t>
  </si>
  <si>
    <t>*(单据头)申请组织#编码</t>
  </si>
  <si>
    <t>(单据头)申请组织#名称</t>
  </si>
  <si>
    <t>*(单据头)事由</t>
  </si>
  <si>
    <t>*(单据头)申请人#编码</t>
  </si>
  <si>
    <t>(单据头)申请人#名称</t>
  </si>
  <si>
    <t>*(单据头)申请部门#编码</t>
  </si>
  <si>
    <t>(单据头)申请部门#名称</t>
  </si>
  <si>
    <t>*(单据头)单据类型#编码</t>
  </si>
  <si>
    <t>(单据头)单据类型#名称</t>
  </si>
  <si>
    <t>*(单据头)费用承担组织#编码</t>
  </si>
  <si>
    <t>(单据头)费用承担组织#名称</t>
  </si>
  <si>
    <t>*(单据头)费用承担部门#编码</t>
  </si>
  <si>
    <t>(单据头)费用承担部门#名称</t>
  </si>
  <si>
    <t>*(单据头)收款对象类型</t>
  </si>
  <si>
    <t>*(单据头)收款对象#编码</t>
  </si>
  <si>
    <t>(单据头)收款对象#名称</t>
  </si>
  <si>
    <t>*(单据头)汇率类型#编码</t>
  </si>
  <si>
    <t>(单据头)汇率类型#名称</t>
  </si>
  <si>
    <t>*(单据头)本位币#编码</t>
  </si>
  <si>
    <t>(单据头)本位币#名称</t>
  </si>
  <si>
    <t>*报销明细(序号)</t>
  </si>
  <si>
    <t>*(报销明细)费用项目#编码</t>
  </si>
  <si>
    <t>(报销明细)费用项目#名称</t>
  </si>
  <si>
    <t>*(报销明细)开始日期</t>
  </si>
  <si>
    <t>*(报销明细)结束日期</t>
  </si>
  <si>
    <t>*(报销明细)出发地</t>
  </si>
  <si>
    <t>*(报销明细)目的地</t>
  </si>
  <si>
    <t>(报销明细)差旅费类型#编码</t>
  </si>
  <si>
    <t>(报销明细)差旅费类型#名称</t>
  </si>
  <si>
    <t>(报销明细)差旅费金额</t>
  </si>
  <si>
    <t>*(报销明细)发票类型</t>
  </si>
  <si>
    <t>(报销明细)税率%</t>
  </si>
  <si>
    <t>(报销明细)申请报销金额</t>
  </si>
  <si>
    <t>*(报销明细)费用承担部门#编码</t>
  </si>
  <si>
    <t>(报销明细)费用承担部门#名称</t>
  </si>
  <si>
    <t>(报销明细)费用金额</t>
  </si>
  <si>
    <t>*(报销明细)项目中心#编码</t>
  </si>
  <si>
    <t>(报销明细)项目中心#名称</t>
  </si>
  <si>
    <t>(报销明细)出行人及备注</t>
  </si>
  <si>
    <t>范例</t>
  </si>
  <si>
    <t>PRE001</t>
  </si>
  <si>
    <t>人民币</t>
  </si>
  <si>
    <t>广州艮业信息科技有限公司</t>
  </si>
  <si>
    <t>出差</t>
  </si>
  <si>
    <t>林思晴</t>
  </si>
  <si>
    <t/>
  </si>
  <si>
    <t>非标核算部</t>
  </si>
  <si>
    <t>CLFBX002_SYS</t>
  </si>
  <si>
    <t>差旅费报销单（2019新政）</t>
  </si>
  <si>
    <t>员工</t>
  </si>
  <si>
    <t>HLTX01_SYS</t>
  </si>
  <si>
    <t>固定汇率</t>
  </si>
  <si>
    <t>1</t>
  </si>
  <si>
    <t>CI006.01</t>
  </si>
  <si>
    <t>油费</t>
  </si>
  <si>
    <t>广州</t>
  </si>
  <si>
    <t>东莞</t>
  </si>
  <si>
    <t>CLLX003</t>
  </si>
  <si>
    <t>公路、水路等其他客票（中国）</t>
  </si>
  <si>
    <t>普通发票</t>
  </si>
  <si>
    <t>生态战略中心</t>
  </si>
  <si>
    <t>华南-粤-202502018</t>
  </si>
  <si>
    <t>横沥极兔</t>
  </si>
  <si>
    <t>调研乐山韵达</t>
  </si>
  <si>
    <t>2</t>
  </si>
  <si>
    <t>CI005.04</t>
  </si>
  <si>
    <t>交通费</t>
  </si>
  <si>
    <t>该行以下，没有设置公式</t>
  </si>
  <si>
    <t>编码</t>
  </si>
  <si>
    <t>项目名称</t>
  </si>
  <si>
    <t>华南-粤-202202008</t>
  </si>
  <si>
    <t>大源韵达</t>
  </si>
  <si>
    <t>华南-粤-202202007</t>
  </si>
  <si>
    <t>海珠南洲申通</t>
  </si>
  <si>
    <t>华南-闽-202202006</t>
  </si>
  <si>
    <t>漳平共派新增接口（极兔+丰网）</t>
  </si>
  <si>
    <t>华南-粤-202202003</t>
  </si>
  <si>
    <t>番禺石碁申通</t>
  </si>
  <si>
    <t>华南-滇-202202001</t>
  </si>
  <si>
    <t>昆明南窑共派（直线）</t>
  </si>
  <si>
    <t>华东-鲁-202202003</t>
  </si>
  <si>
    <t>青州圆通</t>
  </si>
  <si>
    <t>华南-粤-202201001</t>
  </si>
  <si>
    <t>沙井中通-增补</t>
  </si>
  <si>
    <t>华东-鲁-202202002</t>
  </si>
  <si>
    <t>聊城百世</t>
  </si>
  <si>
    <t>华东-苏-202202001</t>
  </si>
  <si>
    <t>如东共派</t>
  </si>
  <si>
    <t>华南-赣-202202001</t>
  </si>
  <si>
    <t>赣州于都中通（直线）</t>
  </si>
  <si>
    <t>华南-粤-202202002</t>
  </si>
  <si>
    <t>塘厦丰网</t>
  </si>
  <si>
    <t>华东-皖-202201015</t>
  </si>
  <si>
    <t>合肥香港街网格仓（直线）</t>
  </si>
  <si>
    <t>华东-川-202201019</t>
  </si>
  <si>
    <t>简阳韵达-按票充值</t>
  </si>
  <si>
    <t>华南-非-202201008</t>
  </si>
  <si>
    <t>速达非尼日利亚</t>
  </si>
  <si>
    <t>华南-粤-202201006</t>
  </si>
  <si>
    <t>速达非花都仓</t>
  </si>
  <si>
    <t>华东-皖-202201014</t>
  </si>
  <si>
    <t>合肥颍上路韵达（直线）</t>
  </si>
  <si>
    <t>华东-皖-202201013</t>
  </si>
  <si>
    <t>合肥望江路韵达（直线）-取消</t>
  </si>
  <si>
    <t>华东-浙-202204003</t>
  </si>
  <si>
    <t>钱塘圆通改造</t>
  </si>
  <si>
    <t>华南-内蒙-202201005</t>
  </si>
  <si>
    <t>乌海共派</t>
  </si>
  <si>
    <t>华东-浙-202201011</t>
  </si>
  <si>
    <t>拱墅韵达-接口费</t>
  </si>
  <si>
    <t>华东-皖-202201010</t>
  </si>
  <si>
    <t>合肥蜀山邮政</t>
  </si>
  <si>
    <t>华东-浙-202201013-1</t>
  </si>
  <si>
    <t>下骆宅韵达二期</t>
  </si>
  <si>
    <t>华东-浙-202201008</t>
  </si>
  <si>
    <t>绍兴路韵达（直线）-按票充值</t>
  </si>
  <si>
    <t>华东-浙-202201009</t>
  </si>
  <si>
    <t>三里亭韵达（直线）-按票充值</t>
  </si>
  <si>
    <t>华南-粤-202201005</t>
  </si>
  <si>
    <t>顺德共派</t>
  </si>
  <si>
    <t>华东-冀-202201006</t>
  </si>
  <si>
    <t>邢台南宫邮政</t>
  </si>
  <si>
    <t>华东-津-202201004</t>
  </si>
  <si>
    <t>天津南开邮政</t>
  </si>
  <si>
    <t>华东-鄂-202201007</t>
  </si>
  <si>
    <t>武汉金桥共派（直线）</t>
  </si>
  <si>
    <t>华东-津-202201003-1</t>
  </si>
  <si>
    <t>东丽邮政-增购</t>
  </si>
  <si>
    <t>华南-赣-202201002</t>
  </si>
  <si>
    <t>江西德兴共派（直线）</t>
  </si>
  <si>
    <t>华南-冀-202201009</t>
  </si>
  <si>
    <t>保定中通（直线）-按票充值-取消</t>
  </si>
  <si>
    <t>华南-冀-202201001</t>
  </si>
  <si>
    <t>衡水共派（衡水圆通二期）</t>
  </si>
  <si>
    <t>华东-川-202201018</t>
  </si>
  <si>
    <t>眉山韵达-按票充值</t>
  </si>
  <si>
    <t>华东-鄂-202201001</t>
  </si>
  <si>
    <t>荆州监利中通（直线）</t>
  </si>
  <si>
    <t>华东-浙-202201003-1</t>
  </si>
  <si>
    <t>东阳圆通二期</t>
  </si>
  <si>
    <t>000264</t>
  </si>
  <si>
    <t>白云区康爱多狂扫</t>
  </si>
  <si>
    <t>000265</t>
  </si>
  <si>
    <t>湖北荆门京山共派增购</t>
  </si>
  <si>
    <t>华东-闽-202204008B</t>
  </si>
  <si>
    <t>石狮申通（软件）</t>
  </si>
  <si>
    <t>华东-浙-202104010</t>
  </si>
  <si>
    <t>海宁圆通进港改造</t>
  </si>
  <si>
    <t>华南-京-202105001</t>
  </si>
  <si>
    <t>徐水圆通</t>
  </si>
  <si>
    <t>000269</t>
  </si>
  <si>
    <t>麻城共配对接费（韵达）</t>
  </si>
  <si>
    <t>华东-鲁-202106016</t>
  </si>
  <si>
    <t>涑河南圆通（直线）</t>
  </si>
  <si>
    <t>华东-吉-202101001</t>
  </si>
  <si>
    <t>吉林申通</t>
  </si>
  <si>
    <t>华东-冀-202101002</t>
  </si>
  <si>
    <t>蔚县共派</t>
  </si>
  <si>
    <t>华南-粤-202101001</t>
  </si>
  <si>
    <t>黄岐共派</t>
  </si>
  <si>
    <t>华南-粤-202101002</t>
  </si>
  <si>
    <t>盐步韵达</t>
  </si>
  <si>
    <t>华南-桂-202101003</t>
  </si>
  <si>
    <t>广西柳州南圆通</t>
  </si>
  <si>
    <t>华南-湘-202101004</t>
  </si>
  <si>
    <t>湖南常德圆通</t>
  </si>
  <si>
    <t>华东-浙-202101003</t>
  </si>
  <si>
    <t>桐乡普洛斯建包仓</t>
  </si>
  <si>
    <t>华东-浙-202101004</t>
  </si>
  <si>
    <t>平湖圆通二期（直线）</t>
  </si>
  <si>
    <t>华东-浙-2012010002</t>
  </si>
  <si>
    <t>下沙韵达</t>
  </si>
  <si>
    <t>华东-浙-202102003</t>
  </si>
  <si>
    <t>慈溪圆通一期改造\慈溪圆通二期</t>
  </si>
  <si>
    <t>000281</t>
  </si>
  <si>
    <t>沧州众邮</t>
  </si>
  <si>
    <t>华南-吉-202103001</t>
  </si>
  <si>
    <t>四平圆通</t>
  </si>
  <si>
    <t>华东-闽-202103002-1</t>
  </si>
  <si>
    <t>莆田申通三期出港（软件）</t>
  </si>
  <si>
    <t>华东-赣-202203002</t>
  </si>
  <si>
    <t>南昌小蓝圆通</t>
  </si>
  <si>
    <t>华东-皖-202103003</t>
  </si>
  <si>
    <t>庐江共派</t>
  </si>
  <si>
    <t>000286</t>
  </si>
  <si>
    <t>庐江共派-极兔接口对接费</t>
  </si>
  <si>
    <t>华南-湘-201906001C</t>
  </si>
  <si>
    <t>长沙百世增购</t>
  </si>
  <si>
    <t>华东-鲁-202203004</t>
  </si>
  <si>
    <t>沂水云仓</t>
  </si>
  <si>
    <t>华东-冀-202203005</t>
  </si>
  <si>
    <t>唐山圆通</t>
  </si>
  <si>
    <t>华东-皖-202203005</t>
  </si>
  <si>
    <t>合肥长丰韵达</t>
  </si>
  <si>
    <t>华东-鲁-202103006</t>
  </si>
  <si>
    <t>胶州圆通</t>
  </si>
  <si>
    <t>华东-津-202203007</t>
  </si>
  <si>
    <t>天津武清共派</t>
  </si>
  <si>
    <t>华东-浙-202103008-1</t>
  </si>
  <si>
    <t>海宁韵达出港改造（海宁韵达三期）</t>
  </si>
  <si>
    <t>华南-粤-202009004-2</t>
  </si>
  <si>
    <t>佛山邮政/佛山狮山邮政增购</t>
  </si>
  <si>
    <t>华东-川-202203009</t>
  </si>
  <si>
    <t>温江天府圆通（成都温江圆通）</t>
  </si>
  <si>
    <t>华东-浙-202203010-1</t>
  </si>
  <si>
    <t>海口圆通中心（直线）</t>
  </si>
  <si>
    <t>华南-赣-202103005</t>
  </si>
  <si>
    <t>修水共配</t>
  </si>
  <si>
    <t>000298</t>
  </si>
  <si>
    <t>武汉黄浦圆通</t>
  </si>
  <si>
    <t>华南-京-202103007-1</t>
  </si>
  <si>
    <t>极兔-北京顺义</t>
  </si>
  <si>
    <t>华南-粤-202103008</t>
  </si>
  <si>
    <t>韶关圆通（直线）</t>
  </si>
  <si>
    <t>000301</t>
  </si>
  <si>
    <t>曼谷增购快手和DWS</t>
  </si>
  <si>
    <t>华东-新-202204001</t>
  </si>
  <si>
    <t>库尔勒共派</t>
  </si>
  <si>
    <t>华东-津-202204002</t>
  </si>
  <si>
    <t>武清申通</t>
  </si>
  <si>
    <t>华东-皖-202104003</t>
  </si>
  <si>
    <t>铜陵共派</t>
  </si>
  <si>
    <t>华东-豫-202104004</t>
  </si>
  <si>
    <t>开封圆通</t>
  </si>
  <si>
    <t>华东-津-202204005</t>
  </si>
  <si>
    <t>武清圆通二期</t>
  </si>
  <si>
    <t>华东-晋-202204007</t>
  </si>
  <si>
    <t>平遥共派</t>
  </si>
  <si>
    <t>000308</t>
  </si>
  <si>
    <t>平遥极兔接口费</t>
  </si>
  <si>
    <t>华东-浙-202204009</t>
  </si>
  <si>
    <t>宁波海曙共配（溪鸟）</t>
  </si>
  <si>
    <t>华东-苏-202104011</t>
  </si>
  <si>
    <t>东海韵达</t>
  </si>
  <si>
    <t>华南-冀-202104002</t>
  </si>
  <si>
    <t>魏县圆通（直线）</t>
  </si>
  <si>
    <t>华南-赣-202104003</t>
  </si>
  <si>
    <t>南昌圆通（尾款转含税）</t>
  </si>
  <si>
    <t>华南-湘-201906001B</t>
  </si>
  <si>
    <t>长沙百世对接费</t>
  </si>
  <si>
    <t>华东-浙-202204012</t>
  </si>
  <si>
    <t>湖州长兴共配（硬件）</t>
  </si>
  <si>
    <t>华东-浙-202204012-1</t>
  </si>
  <si>
    <t>湖州长兴共配（软件）</t>
  </si>
  <si>
    <t>华东-苏-202104013</t>
  </si>
  <si>
    <t>南通三星中通</t>
  </si>
  <si>
    <t>华东-浙-202105001</t>
  </si>
  <si>
    <t>宁波中心改造</t>
  </si>
  <si>
    <t>华东-浙-202105002-1</t>
  </si>
  <si>
    <t>秋涛路圆通进港（软件）</t>
  </si>
  <si>
    <t>华东-鲁-202105003-1</t>
  </si>
  <si>
    <t>枣矿滕州智慧物流产业园</t>
  </si>
  <si>
    <t>华东-豫-202105004</t>
  </si>
  <si>
    <t>获嘉共派</t>
  </si>
  <si>
    <t>华东-苏-202105005</t>
  </si>
  <si>
    <t>连云港东海中通</t>
  </si>
  <si>
    <t>000322</t>
  </si>
  <si>
    <t>景德镇圆通增购</t>
  </si>
  <si>
    <t>华东-冀-202105007</t>
  </si>
  <si>
    <t>保定极兔</t>
  </si>
  <si>
    <t>华东-闽-202105002-3</t>
  </si>
  <si>
    <t>莆田申通四期进港（软件）-取消</t>
  </si>
  <si>
    <t>华东-鲁-202105009</t>
  </si>
  <si>
    <t>威海荣成共派</t>
  </si>
  <si>
    <t>000326</t>
  </si>
  <si>
    <t>莒南共派一期对接费（极兔）</t>
  </si>
  <si>
    <t>华东-苏-202108007-1</t>
  </si>
  <si>
    <t>吴江韵达（吴江共派）</t>
  </si>
  <si>
    <t>华东-苏-202108007-2</t>
  </si>
  <si>
    <t>吴江圆通（汾湖共派）</t>
  </si>
  <si>
    <t>华南-粤-202106002</t>
  </si>
  <si>
    <t>里水申通</t>
  </si>
  <si>
    <t>华东-苏-202106002</t>
  </si>
  <si>
    <t>大丰共派（盐城大丰）</t>
  </si>
  <si>
    <t>华东-浙-202106003</t>
  </si>
  <si>
    <t>余杭城西交换站</t>
  </si>
  <si>
    <t>000332</t>
  </si>
  <si>
    <t>北京丰台共派增购</t>
  </si>
  <si>
    <t>华东-赣-202106005</t>
  </si>
  <si>
    <t>江西吉安圆通</t>
  </si>
  <si>
    <t>000334</t>
  </si>
  <si>
    <t>固始圆通-取消</t>
  </si>
  <si>
    <t>华南-湘-202106002</t>
  </si>
  <si>
    <t>岳阳圆通</t>
  </si>
  <si>
    <t>华南-吉-202106003</t>
  </si>
  <si>
    <t>吉林松原共配</t>
  </si>
  <si>
    <t>华东-川-202106008</t>
  </si>
  <si>
    <t>成都大丰圆通</t>
  </si>
  <si>
    <t>华东-晋-202106009</t>
  </si>
  <si>
    <t>大同韵达</t>
  </si>
  <si>
    <t>华东-甘-202106010</t>
  </si>
  <si>
    <t>会宁共派（直线）</t>
  </si>
  <si>
    <t>华南-粤-202204007-1</t>
  </si>
  <si>
    <t>中山古镇百世（总部回收）</t>
  </si>
  <si>
    <t>华东-浙-202107002</t>
  </si>
  <si>
    <t>绍兴圆通进港</t>
  </si>
  <si>
    <t>华南-吉-202106004</t>
  </si>
  <si>
    <t>磐石共派</t>
  </si>
  <si>
    <t>华东-浙-202106011-1</t>
  </si>
  <si>
    <t>湖州韵达（进港出港）</t>
  </si>
  <si>
    <t>华南-粤-202106005</t>
  </si>
  <si>
    <t>南村丰网</t>
  </si>
  <si>
    <t>华东-闽-202106012</t>
  </si>
  <si>
    <t>石狮中通（硬件）</t>
  </si>
  <si>
    <t>华东-甘-202106012</t>
  </si>
  <si>
    <t>白银共派（直线）</t>
  </si>
  <si>
    <t>华东-川-202106013</t>
  </si>
  <si>
    <t>简阳圆通</t>
  </si>
  <si>
    <t>华南-内蒙-202106006</t>
  </si>
  <si>
    <t>巴彦淖尔圆通</t>
  </si>
  <si>
    <t>华南-内蒙-202106007</t>
  </si>
  <si>
    <t>鄂尔多斯圆通</t>
  </si>
  <si>
    <t>华东-鲁-202106017-1</t>
  </si>
  <si>
    <t>日照圆通（软件）</t>
  </si>
  <si>
    <t>华东-鲁-202106018</t>
  </si>
  <si>
    <t>惠民圆通</t>
  </si>
  <si>
    <t>华东-浙-202107001</t>
  </si>
  <si>
    <t>临安韵达</t>
  </si>
  <si>
    <t>000353</t>
  </si>
  <si>
    <t>坂田圆通搬迁至义乌圆通进港加层</t>
  </si>
  <si>
    <t>华南-鄂-202107001</t>
  </si>
  <si>
    <t>荆州四期-极兔</t>
  </si>
  <si>
    <t>华南-蒙-202107007</t>
  </si>
  <si>
    <t>包头极兔二期</t>
  </si>
  <si>
    <t>000356</t>
  </si>
  <si>
    <t>EA1项目月台加宽</t>
  </si>
  <si>
    <t>华东-苏-202107006</t>
  </si>
  <si>
    <t>镇江圆通</t>
  </si>
  <si>
    <t>华东-闽-202107008-1</t>
  </si>
  <si>
    <t>晋江百世丰网</t>
  </si>
  <si>
    <t>000359</t>
  </si>
  <si>
    <t>盐城圆通</t>
  </si>
  <si>
    <t>华南-粤-202107004-1</t>
  </si>
  <si>
    <t>汕尾圆通三期</t>
  </si>
  <si>
    <t>华南-冀-202107005-1</t>
  </si>
  <si>
    <t>石家庄极兔</t>
  </si>
  <si>
    <t>华东-浙-202107010</t>
  </si>
  <si>
    <t>温岭申通</t>
  </si>
  <si>
    <t>华东-川-202107011</t>
  </si>
  <si>
    <t>广元圆通</t>
  </si>
  <si>
    <t>华东-浙-202008009WB</t>
  </si>
  <si>
    <t>廿三里圆通-售后维保费</t>
  </si>
  <si>
    <t>华东-浙-202107013</t>
  </si>
  <si>
    <t>金华稠江丰网建包仓</t>
  </si>
  <si>
    <t>华南-粤-202107006</t>
  </si>
  <si>
    <t>湛江圆通</t>
  </si>
  <si>
    <t>华东-闽-202107014</t>
  </si>
  <si>
    <t>石狮中通出港</t>
  </si>
  <si>
    <t>000368</t>
  </si>
  <si>
    <t>辽宁东港圆通-取消</t>
  </si>
  <si>
    <t>华东-豫-202107009-1</t>
  </si>
  <si>
    <t>郑州百世集包仓（软件）</t>
  </si>
  <si>
    <t>华南-内蒙-202107007</t>
  </si>
  <si>
    <t>乌海圆通</t>
  </si>
  <si>
    <t>华东-浙-202107016</t>
  </si>
  <si>
    <t>苍南圆通</t>
  </si>
  <si>
    <t>华东-皖-202107017</t>
  </si>
  <si>
    <t>宁国共派（直线）</t>
  </si>
  <si>
    <t>华东-京-202107018</t>
  </si>
  <si>
    <t>永清圆通（北京黑户庄搬迁）</t>
  </si>
  <si>
    <t>华南-黑-202107008</t>
  </si>
  <si>
    <t>牡丹江圆通</t>
  </si>
  <si>
    <t>华东-皖-202107019</t>
  </si>
  <si>
    <t>宿州韵达</t>
  </si>
  <si>
    <t>000376</t>
  </si>
  <si>
    <t>兰陵圆通-取消</t>
  </si>
  <si>
    <t>华东-川-202108001</t>
  </si>
  <si>
    <t>四川新都申通</t>
  </si>
  <si>
    <t>华南-新-202108001</t>
  </si>
  <si>
    <t>新疆莎车共配</t>
  </si>
  <si>
    <t>华南-内蒙-202108002</t>
  </si>
  <si>
    <t>乌兰察布韵达搬迁</t>
  </si>
  <si>
    <t>华东-豫-202108003</t>
  </si>
  <si>
    <t>周口圆通</t>
  </si>
  <si>
    <t>华东-豫-202108004</t>
  </si>
  <si>
    <t>商水圆通</t>
  </si>
  <si>
    <t>华东-豫-202108005</t>
  </si>
  <si>
    <t>信阳圆通</t>
  </si>
  <si>
    <t>华东-冀-202108006</t>
  </si>
  <si>
    <t>任丘极兔</t>
  </si>
  <si>
    <t>000384</t>
  </si>
  <si>
    <t>兰考圆通-取消</t>
  </si>
  <si>
    <t>华东-苏-201909001-2</t>
  </si>
  <si>
    <t>盛泽仓二期搬迁</t>
  </si>
  <si>
    <t>华东-鄂-202108008</t>
  </si>
  <si>
    <t>湖北枝江共派</t>
  </si>
  <si>
    <t>华南-陕-202108003</t>
  </si>
  <si>
    <t>陕西安康韵达</t>
  </si>
  <si>
    <t>华南-鄂-202108004</t>
  </si>
  <si>
    <t>襄阳圆通</t>
  </si>
  <si>
    <t>华南-粤-201904003A</t>
  </si>
  <si>
    <t>深圳观澜百世-维保费</t>
  </si>
  <si>
    <t>华东-辽-202108009</t>
  </si>
  <si>
    <t>本溪圆通</t>
  </si>
  <si>
    <t>华南-粤-202204007-1A</t>
  </si>
  <si>
    <t>中山古镇百世-维保费</t>
  </si>
  <si>
    <t>000392</t>
  </si>
  <si>
    <t>周口郸城圆通-取消</t>
  </si>
  <si>
    <t>华东-冀-202108010-1</t>
  </si>
  <si>
    <t>廊坊香河圆通建包仓（软件）</t>
  </si>
  <si>
    <t>华南-津-202108006</t>
  </si>
  <si>
    <t>天津河西共派（直线）</t>
  </si>
  <si>
    <t>华东-鲁-202108002-1</t>
  </si>
  <si>
    <t>诸城圆通（软件）</t>
  </si>
  <si>
    <t>华南-闽-202108005</t>
  </si>
  <si>
    <t>福建漳平共配</t>
  </si>
  <si>
    <t>华南-赣-202108007</t>
  </si>
  <si>
    <t>余干共派（直线）</t>
  </si>
  <si>
    <t>000398</t>
  </si>
  <si>
    <t>湖北阳新共派</t>
  </si>
  <si>
    <t>华南-粤-202108009</t>
  </si>
  <si>
    <t>清溪中通</t>
  </si>
  <si>
    <t>华东-京-202108011</t>
  </si>
  <si>
    <t>北京狼垡共派</t>
  </si>
  <si>
    <t>华南-云-202108010</t>
  </si>
  <si>
    <t>西双版纳景洪共派</t>
  </si>
  <si>
    <t>华东-苏-202108013</t>
  </si>
  <si>
    <t>东海申通</t>
  </si>
  <si>
    <t>华东-冀-202108012</t>
  </si>
  <si>
    <t>秦皇岛韵达</t>
  </si>
  <si>
    <t>华东-粤-202108014</t>
  </si>
  <si>
    <t>东莞长安韵达搬迁</t>
  </si>
  <si>
    <t>华南-吉-202207009</t>
  </si>
  <si>
    <t>吉林通化圆通</t>
  </si>
  <si>
    <t>华东-鄂-202108015</t>
  </si>
  <si>
    <t>咸宁圆通</t>
  </si>
  <si>
    <t>000407</t>
  </si>
  <si>
    <t>汶上圆通（直线）-取消</t>
  </si>
  <si>
    <t>华东-鲁-202205013</t>
  </si>
  <si>
    <t>东营河口共派（直线）</t>
  </si>
  <si>
    <t>华南-湘-202108011</t>
  </si>
  <si>
    <t>岳阳韵达</t>
  </si>
  <si>
    <t>华东-浙-202108018</t>
  </si>
  <si>
    <t>杭州中心加层改造</t>
  </si>
  <si>
    <t>华东-豫-202109001</t>
  </si>
  <si>
    <t>濮阳中通</t>
  </si>
  <si>
    <t>华南-冀-202109002</t>
  </si>
  <si>
    <t>高阳中通</t>
  </si>
  <si>
    <t>000413</t>
  </si>
  <si>
    <t>铁岭昌图圆通（直线）-取消</t>
  </si>
  <si>
    <t>华南-冀-202109003</t>
  </si>
  <si>
    <t>任丘圆通二期</t>
  </si>
  <si>
    <t>华南-津-202109001</t>
  </si>
  <si>
    <t>极兔天津东丽</t>
  </si>
  <si>
    <t>华南-内蒙-202109004</t>
  </si>
  <si>
    <t>鄂尔多斯韵达</t>
  </si>
  <si>
    <t>华东-苏-202109008</t>
  </si>
  <si>
    <t>南京江宁大学城韵达（直线）</t>
  </si>
  <si>
    <t>华东-浙-202109005</t>
  </si>
  <si>
    <t>玉环圆通（直线）</t>
  </si>
  <si>
    <t>华东-冀-202109004</t>
  </si>
  <si>
    <t>张家口极兔</t>
  </si>
  <si>
    <t>000420</t>
  </si>
  <si>
    <t>石景山圆通（直线）</t>
  </si>
  <si>
    <t>华南-粤-202111008</t>
  </si>
  <si>
    <t>花山中通进港（直线）-按票充值</t>
  </si>
  <si>
    <t>华东-晋-202109008</t>
  </si>
  <si>
    <t>山西晋城申通转运中心</t>
  </si>
  <si>
    <t>华东-豫-202112007</t>
  </si>
  <si>
    <t>三门峡共派</t>
  </si>
  <si>
    <t>华东-冀-201908001-3</t>
  </si>
  <si>
    <t>白沟圆通增购</t>
  </si>
  <si>
    <t>华东-晋-202109009</t>
  </si>
  <si>
    <t>山西太谷圆通改造</t>
  </si>
  <si>
    <t>000426</t>
  </si>
  <si>
    <t>路桥圆通</t>
  </si>
  <si>
    <t>华东-浙-202103005</t>
  </si>
  <si>
    <t>海宁中通二期</t>
  </si>
  <si>
    <t>华南-冀-202109005</t>
  </si>
  <si>
    <t>河北河间圆通</t>
  </si>
  <si>
    <t>华东-皖-202109011</t>
  </si>
  <si>
    <t>桐城共派</t>
  </si>
  <si>
    <t>华东-津-202201003</t>
  </si>
  <si>
    <t>东丽邮政</t>
  </si>
  <si>
    <t>华东-豫-202109015</t>
  </si>
  <si>
    <t>鹿邑圆通</t>
  </si>
  <si>
    <t>华东-内蒙-202109013</t>
  </si>
  <si>
    <t>包头韵达</t>
  </si>
  <si>
    <t>华南-粤-202109006</t>
  </si>
  <si>
    <t>深圳公明邮政（直线）</t>
  </si>
  <si>
    <t>华南-粤-202109008</t>
  </si>
  <si>
    <t>大岭山圆通（直线）</t>
  </si>
  <si>
    <t>华东-鲁-202109012</t>
  </si>
  <si>
    <t>罗庄共派</t>
  </si>
  <si>
    <t>华东-闽-202109014</t>
  </si>
  <si>
    <t>石狮极兔</t>
  </si>
  <si>
    <t>000437</t>
  </si>
  <si>
    <t>佛山三水共派增购</t>
  </si>
  <si>
    <t>华东-粤-202111009</t>
  </si>
  <si>
    <t>大源圆通三期</t>
  </si>
  <si>
    <t>华东-川-202109016</t>
  </si>
  <si>
    <t>江油韵达（直线）</t>
  </si>
  <si>
    <t>000440</t>
  </si>
  <si>
    <t>宜春万载邮政（直线）-取消</t>
  </si>
  <si>
    <t>000441</t>
  </si>
  <si>
    <t>赤峰中通-极兔接口对接费-取消</t>
  </si>
  <si>
    <t>华东-冀-202110003</t>
  </si>
  <si>
    <t>清河共派</t>
  </si>
  <si>
    <t>华东-皖-202204017</t>
  </si>
  <si>
    <t>安徽颍上共派</t>
  </si>
  <si>
    <t>华东-浙-202109023</t>
  </si>
  <si>
    <t>绍兴钱清共派（直线）</t>
  </si>
  <si>
    <t>华东-皖-202109022</t>
  </si>
  <si>
    <t>安徽无为圆通（直线）</t>
  </si>
  <si>
    <t>华东-苏-202109021</t>
  </si>
  <si>
    <t>盐城建湖韵达</t>
  </si>
  <si>
    <t>000447</t>
  </si>
  <si>
    <t>上海宝山中通（直线）-取消</t>
  </si>
  <si>
    <t>华东-冀-202109024</t>
  </si>
  <si>
    <t>邯郸中通</t>
  </si>
  <si>
    <t>华东-浙-202109026</t>
  </si>
  <si>
    <t>平湖韵达</t>
  </si>
  <si>
    <t>华东-浙-202109025</t>
  </si>
  <si>
    <t>杭州临安邮政</t>
  </si>
  <si>
    <t>华东-京-202110002</t>
  </si>
  <si>
    <t>密云圆通（直线）</t>
  </si>
  <si>
    <t>华东-津-202110009</t>
  </si>
  <si>
    <t>天津静海圆通</t>
  </si>
  <si>
    <t>华东-辽-202110004</t>
  </si>
  <si>
    <t>辽宁葫芦岛共派</t>
  </si>
  <si>
    <t>华东-鄂-202110018</t>
  </si>
  <si>
    <t>盘龙城共派（直线）</t>
  </si>
  <si>
    <t>华南-吉-202110001</t>
  </si>
  <si>
    <t>吉林榆树共派</t>
  </si>
  <si>
    <t>000456</t>
  </si>
  <si>
    <t>鹿邑圆通-韵达接口费</t>
  </si>
  <si>
    <t>华东-浙-202110004</t>
  </si>
  <si>
    <t>南下朱圆通</t>
  </si>
  <si>
    <t>华东-津-202211014</t>
  </si>
  <si>
    <t>天津韵达（直线）</t>
  </si>
  <si>
    <t>华东-粤-202111008</t>
  </si>
  <si>
    <t>深圳光明共派（直线）-按票充值</t>
  </si>
  <si>
    <t>000460</t>
  </si>
  <si>
    <t>扬州圆通供包台改造</t>
  </si>
  <si>
    <t>000461</t>
  </si>
  <si>
    <t>横峰圆通改造</t>
  </si>
  <si>
    <t>华东-内蒙-202110012</t>
  </si>
  <si>
    <t>海拉尔韵达二期</t>
  </si>
  <si>
    <t>华东-粤-202110007</t>
  </si>
  <si>
    <t>新塘圆通</t>
  </si>
  <si>
    <t>应杰-鲁-202110005</t>
  </si>
  <si>
    <t>潍坊韵达-取消</t>
  </si>
  <si>
    <t>000465</t>
  </si>
  <si>
    <t>潍坊韵达-接口费</t>
  </si>
  <si>
    <t>华南-湘-202110003</t>
  </si>
  <si>
    <t>益阳共配</t>
  </si>
  <si>
    <t>华东-浙-202110011</t>
  </si>
  <si>
    <t>拱墅韵达（直线）-按票充值</t>
  </si>
  <si>
    <t>华东-粤-202110010</t>
  </si>
  <si>
    <t>揭阳圆通</t>
  </si>
  <si>
    <t>华南-黑-202110004</t>
  </si>
  <si>
    <t>牡丹江韵达（直线）</t>
  </si>
  <si>
    <t>000470</t>
  </si>
  <si>
    <t>德州邮政-接口费</t>
  </si>
  <si>
    <t>000471</t>
  </si>
  <si>
    <t>沙坪坝共派二期</t>
  </si>
  <si>
    <t>000472</t>
  </si>
  <si>
    <t>本溪圆通-接口费</t>
  </si>
  <si>
    <t>000473</t>
  </si>
  <si>
    <t>沂水云仓-接口费</t>
  </si>
  <si>
    <t>华东-浙-202012004</t>
  </si>
  <si>
    <t>黄岩中通改造</t>
  </si>
  <si>
    <t>华东-苏-202110016</t>
  </si>
  <si>
    <t>宜兴丁山中通（直线）</t>
  </si>
  <si>
    <t>华东-浙-202203013</t>
  </si>
  <si>
    <t>丽水云和共派</t>
  </si>
  <si>
    <t>华东-冀-202110020</t>
  </si>
  <si>
    <t>河北易县申通-按票充值</t>
  </si>
  <si>
    <t>000504</t>
  </si>
  <si>
    <t>天津塘沽共派增购-接口费</t>
  </si>
  <si>
    <t>华南-内蒙-202111001</t>
  </si>
  <si>
    <t>包头申通</t>
  </si>
  <si>
    <t>华南-内蒙-202111002</t>
  </si>
  <si>
    <t>包头圆通三期</t>
  </si>
  <si>
    <t>华东-冀-202111001</t>
  </si>
  <si>
    <t>高阳极兔</t>
  </si>
  <si>
    <t>华东-粤-202111006</t>
  </si>
  <si>
    <t>汕头圆通</t>
  </si>
  <si>
    <t>华东-川-202112001</t>
  </si>
  <si>
    <t>北川共派（直线）</t>
  </si>
  <si>
    <t>华南-粤-202109007</t>
  </si>
  <si>
    <t>广州丰和E3库交叉带设备项目</t>
  </si>
  <si>
    <t>华南-粤-202111003</t>
  </si>
  <si>
    <t>广州滨江中通（直线）</t>
  </si>
  <si>
    <t>华东-粤-202111007</t>
  </si>
  <si>
    <t>桂林临桂中通</t>
  </si>
  <si>
    <t>华南-粤-202111004</t>
  </si>
  <si>
    <t>里水申通二期</t>
  </si>
  <si>
    <t>000488</t>
  </si>
  <si>
    <t>嘉兴中通-增补</t>
  </si>
  <si>
    <t>000489</t>
  </si>
  <si>
    <t>吴川共派-增补</t>
  </si>
  <si>
    <t>华南-赣-202112012</t>
  </si>
  <si>
    <t>南昌申通</t>
  </si>
  <si>
    <t>000491</t>
  </si>
  <si>
    <t>雅安圆通一期供包台改造</t>
  </si>
  <si>
    <t>华南-粤-202111006</t>
  </si>
  <si>
    <t>东莞厚街韵达（直线）-按票充值</t>
  </si>
  <si>
    <t>华南-粤-202111005</t>
  </si>
  <si>
    <t>深圳光明韵达（直线）</t>
  </si>
  <si>
    <t>华东-冀-201908001-2</t>
  </si>
  <si>
    <t>白沟圆通-软件增购</t>
  </si>
  <si>
    <t>华东-粤-202111010</t>
  </si>
  <si>
    <t>沙井中通</t>
  </si>
  <si>
    <t>华东-皖-202111005</t>
  </si>
  <si>
    <t>临泉圆通</t>
  </si>
  <si>
    <t>华南-粤-202111007</t>
  </si>
  <si>
    <t>佛山大沥北韵达（直线）-按票充值</t>
  </si>
  <si>
    <t>华东-湘-202112004</t>
  </si>
  <si>
    <t>湖南怀化共派</t>
  </si>
  <si>
    <t>华南-湘-201906001A</t>
  </si>
  <si>
    <t>长沙百世-售后维保费</t>
  </si>
  <si>
    <t>华东-辽-202112002</t>
  </si>
  <si>
    <t>辽宁海城圆通</t>
  </si>
  <si>
    <t>000501</t>
  </si>
  <si>
    <t>甘肃静宁极兔接口</t>
  </si>
  <si>
    <t>华南-鄂-202112001</t>
  </si>
  <si>
    <t>武汉蔡甸共派（直线）</t>
  </si>
  <si>
    <t>华东-浙-202112020-1</t>
  </si>
  <si>
    <t>牧屿韵达四期</t>
  </si>
  <si>
    <t>华东-浙-202109018</t>
  </si>
  <si>
    <t>路桥圆通搬迁</t>
  </si>
  <si>
    <t>华东-湘-202112006</t>
  </si>
  <si>
    <t>湖南湘乡共派</t>
  </si>
  <si>
    <t>华南-鄂-202112002</t>
  </si>
  <si>
    <t>武汉藏龙岛共派（直线）</t>
  </si>
  <si>
    <t>华南-鄂-202112003</t>
  </si>
  <si>
    <t>武汉丹水池共派（直线）</t>
  </si>
  <si>
    <t>华东-苏-202112005</t>
  </si>
  <si>
    <t>南京大厂共派（直线）-按票充值</t>
  </si>
  <si>
    <t>华南-闽-202112014</t>
  </si>
  <si>
    <t>福建漳州韵达（直线）</t>
  </si>
  <si>
    <t>华南-粤-202112041</t>
  </si>
  <si>
    <t>东莞横沥共派</t>
  </si>
  <si>
    <t>华南-沪-202112004</t>
  </si>
  <si>
    <t>上海奉贤共派（直线）</t>
  </si>
  <si>
    <t>华东-冀-202112010</t>
  </si>
  <si>
    <t>沧州邮政（直线）</t>
  </si>
  <si>
    <t>华东-浙-202112009</t>
  </si>
  <si>
    <t>杭州临平圆通</t>
  </si>
  <si>
    <t>华东-冀-202112017</t>
  </si>
  <si>
    <t>张家口韵达（直线）</t>
  </si>
  <si>
    <t>华南-鄂-202112005</t>
  </si>
  <si>
    <t>武汉黄家湖共派（直线）</t>
  </si>
  <si>
    <t>000516</t>
  </si>
  <si>
    <t>漳州圆通（尾款转抽票）</t>
  </si>
  <si>
    <t>华东-皖-202112013</t>
  </si>
  <si>
    <t>安徽颍上二期</t>
  </si>
  <si>
    <t>华东-津-202112011</t>
  </si>
  <si>
    <t>天津崔黄口韵达（直线）</t>
  </si>
  <si>
    <t>华东-皖-202112014</t>
  </si>
  <si>
    <t>临泉中通</t>
  </si>
  <si>
    <t>华东-渝-202112021</t>
  </si>
  <si>
    <t>璧山共派</t>
  </si>
  <si>
    <t>华南-粤-202112013</t>
  </si>
  <si>
    <t>深圳光明中通（直线）-按票充值</t>
  </si>
  <si>
    <t>华南-粤-202112006</t>
  </si>
  <si>
    <t>佛山江湾韵达（直线）</t>
  </si>
  <si>
    <t>华东-川-202112018</t>
  </si>
  <si>
    <t>四川西昌韵达</t>
  </si>
  <si>
    <t>000525</t>
  </si>
  <si>
    <t>绵阳韵达-取消</t>
  </si>
  <si>
    <t>华南-粤-202112007</t>
  </si>
  <si>
    <t>福永韵达（直线）</t>
  </si>
  <si>
    <t>华东-川-202112019</t>
  </si>
  <si>
    <t>达州韵达</t>
  </si>
  <si>
    <t>华南-内蒙-202112008</t>
  </si>
  <si>
    <t>乌兰浩特二期</t>
  </si>
  <si>
    <t>华南-粤-202112011</t>
  </si>
  <si>
    <t>佛山桂城韵达（直线）</t>
  </si>
  <si>
    <t>华东-沪-202101001</t>
  </si>
  <si>
    <t>上海南翔中通</t>
  </si>
  <si>
    <t>华东-苏-202101003</t>
  </si>
  <si>
    <t>南通通州中通</t>
  </si>
  <si>
    <t>华东-皖-202102003</t>
  </si>
  <si>
    <t>阜阳圆通改造</t>
  </si>
  <si>
    <t>华东-闽-202103002</t>
  </si>
  <si>
    <t>莆田申通三期（出港）</t>
  </si>
  <si>
    <t>000534</t>
  </si>
  <si>
    <t>下骆宅韵达</t>
  </si>
  <si>
    <t>000535</t>
  </si>
  <si>
    <t>仙游共派一期搬迁增购</t>
  </si>
  <si>
    <t>华东-浙-202103007</t>
  </si>
  <si>
    <t>金华市金东区坻田圆通</t>
  </si>
  <si>
    <t>华东-鲁-202103008</t>
  </si>
  <si>
    <t>南坊中通</t>
  </si>
  <si>
    <t>华南-粤-202107002</t>
  </si>
  <si>
    <t>惠东韵达（直线）</t>
  </si>
  <si>
    <t>华东-浙-202104001</t>
  </si>
  <si>
    <t>金华丰网搬迁</t>
  </si>
  <si>
    <t>华东-浙-202104002</t>
  </si>
  <si>
    <t>平阳韵达</t>
  </si>
  <si>
    <t>华东-闽-202204008A</t>
  </si>
  <si>
    <t>石狮申通</t>
  </si>
  <si>
    <t>华东-浙-202105002</t>
  </si>
  <si>
    <t>秋涛路圆通进港（硬件）</t>
  </si>
  <si>
    <t>000543</t>
  </si>
  <si>
    <t>秋涛路圆通进港韵达接口费</t>
  </si>
  <si>
    <t>华东-闽-202105002-1</t>
  </si>
  <si>
    <t>莆田申通四期（进港）</t>
  </si>
  <si>
    <t>华南-粤-202105001</t>
  </si>
  <si>
    <t>塘厦圆通</t>
  </si>
  <si>
    <t>华南-粤-202104001</t>
  </si>
  <si>
    <t>江高中通</t>
  </si>
  <si>
    <t>华南-粤-202105002</t>
  </si>
  <si>
    <t>光明圆通</t>
  </si>
  <si>
    <t>华东-浙-202106002</t>
  </si>
  <si>
    <t>嘉兴圆通四期（嘉兴秀洲圆通三期）</t>
  </si>
  <si>
    <t>华南-粤-202106001</t>
  </si>
  <si>
    <t>潮州湘桥圆通（直线）</t>
  </si>
  <si>
    <t>华东-鲁-202106017</t>
  </si>
  <si>
    <t>日照圆通（硬件）</t>
  </si>
  <si>
    <t>华南-粤-202107001</t>
  </si>
  <si>
    <t>大朗圆通二期搬迁</t>
  </si>
  <si>
    <t>华南-粤-202108001</t>
  </si>
  <si>
    <t>空港圆通</t>
  </si>
  <si>
    <t>华东-鲁-202108002</t>
  </si>
  <si>
    <t>诸城圆通（硬件）</t>
  </si>
  <si>
    <t>华东-鲁-202108001</t>
  </si>
  <si>
    <t>莒县百世韵达（直线）</t>
  </si>
  <si>
    <t>华东-冀-202108010</t>
  </si>
  <si>
    <t>廊坊香河圆通建包仓（硬件）</t>
  </si>
  <si>
    <t>华南-冀-202108002</t>
  </si>
  <si>
    <t>河北清河圆通</t>
  </si>
  <si>
    <t>华东-豫-202107009</t>
  </si>
  <si>
    <t>郑州百世集包仓</t>
  </si>
  <si>
    <t>华东-浙-202004004</t>
  </si>
  <si>
    <t>义乌圆通搬迁</t>
  </si>
  <si>
    <t>华东-浙-202004005</t>
  </si>
  <si>
    <t>海宁圆通出港二期</t>
  </si>
  <si>
    <t>华东-浙-202006002</t>
  </si>
  <si>
    <t>义乌圆通进港搬迁</t>
  </si>
  <si>
    <t>000117</t>
  </si>
  <si>
    <t>衡水圆通增购</t>
  </si>
  <si>
    <t>华东-浙-202008003</t>
  </si>
  <si>
    <t>桐乡韵达四期</t>
  </si>
  <si>
    <t>000119</t>
  </si>
  <si>
    <t>河南许昌跨境仓</t>
  </si>
  <si>
    <t>华南-内蒙-201904002A</t>
  </si>
  <si>
    <t>包头圆通-维保费</t>
  </si>
  <si>
    <t>华东-浙-202008009</t>
  </si>
  <si>
    <t>廿三里圆通</t>
  </si>
  <si>
    <t>华东-浙-202007002</t>
  </si>
  <si>
    <t>杭州中心（三层）</t>
  </si>
  <si>
    <t>000123</t>
  </si>
  <si>
    <t>莆田申通搬迁</t>
  </si>
  <si>
    <t>华东-贵-202003005</t>
  </si>
  <si>
    <t>贵阳息烽共派</t>
  </si>
  <si>
    <t>华南-鄂-202005001</t>
  </si>
  <si>
    <t>湖北荆门京山共派</t>
  </si>
  <si>
    <t>华东-鄂-202008015</t>
  </si>
  <si>
    <t>孝感圆通</t>
  </si>
  <si>
    <t>华东-冀-202203001</t>
  </si>
  <si>
    <t>石家庄众邮</t>
  </si>
  <si>
    <t>华东-津-202012006</t>
  </si>
  <si>
    <t>徐水韵达</t>
  </si>
  <si>
    <t>华东-鲁-202003002</t>
  </si>
  <si>
    <t>滨州圆通</t>
  </si>
  <si>
    <t>华东-内蒙-202007005</t>
  </si>
  <si>
    <t>赤峰中通</t>
  </si>
  <si>
    <t>000131</t>
  </si>
  <si>
    <t>盛泽仓一期搬迁-取消</t>
  </si>
  <si>
    <t>华南-粤-202001001</t>
  </si>
  <si>
    <t>普宁东圆通二期</t>
  </si>
  <si>
    <t>000133</t>
  </si>
  <si>
    <t>普宁东圆通二期流水线</t>
  </si>
  <si>
    <t>华东-浙-202003001</t>
  </si>
  <si>
    <t>永康圆通进港（二期）</t>
  </si>
  <si>
    <t>华南-粤-202003005</t>
  </si>
  <si>
    <t>珠海圆通</t>
  </si>
  <si>
    <t>华南-鲁-202003006</t>
  </si>
  <si>
    <t>莒南共派</t>
  </si>
  <si>
    <t>华南-粤-202003003</t>
  </si>
  <si>
    <t>深圳福星龙岗圆通</t>
  </si>
  <si>
    <t>000138</t>
  </si>
  <si>
    <t>FLASH</t>
  </si>
  <si>
    <t>000139</t>
  </si>
  <si>
    <t>HUB</t>
  </si>
  <si>
    <t>华东-浙-202006006-1</t>
  </si>
  <si>
    <t>青岩刘韵达</t>
  </si>
  <si>
    <t>华东-浙-202003002</t>
  </si>
  <si>
    <t>永康韵达</t>
  </si>
  <si>
    <t>华东-浙-202003003</t>
  </si>
  <si>
    <t>义乌苏溪圆通出港</t>
  </si>
  <si>
    <t>华东-浙-202003006</t>
  </si>
  <si>
    <t>桐乡韵达三期</t>
  </si>
  <si>
    <t>华南-粤-202004002</t>
  </si>
  <si>
    <t>潮安金石圆通</t>
  </si>
  <si>
    <t>000145</t>
  </si>
  <si>
    <t>山西太谷圆通</t>
  </si>
  <si>
    <t>华东-苏-202004005</t>
  </si>
  <si>
    <t>常熟圆通三期</t>
  </si>
  <si>
    <t>华东-浙-202004003</t>
  </si>
  <si>
    <t>萧山韵达</t>
  </si>
  <si>
    <t>华东-甘-202004002</t>
  </si>
  <si>
    <t>甘肃平凉圆通</t>
  </si>
  <si>
    <t>华东-皖-202005001</t>
  </si>
  <si>
    <t>黄山邮政</t>
  </si>
  <si>
    <t>华东-浙-202005002-1</t>
  </si>
  <si>
    <t>海宁申通</t>
  </si>
  <si>
    <t>华东-苏-202005004</t>
  </si>
  <si>
    <t>海安共派</t>
  </si>
  <si>
    <t>华东-渝-202005003</t>
  </si>
  <si>
    <t>重庆大学城共派</t>
  </si>
  <si>
    <t>华南-新-202005002</t>
  </si>
  <si>
    <t>新疆喀什中通</t>
  </si>
  <si>
    <t>华南-粤-202006001</t>
  </si>
  <si>
    <t>佛山三水共派</t>
  </si>
  <si>
    <t>000155</t>
  </si>
  <si>
    <t>桐乡圆通二期</t>
  </si>
  <si>
    <t>000156</t>
  </si>
  <si>
    <t>东阳圆通</t>
  </si>
  <si>
    <t>华东-川-202006003-1</t>
  </si>
  <si>
    <t>雅安圆通二期</t>
  </si>
  <si>
    <t>华东-浙-202006005</t>
  </si>
  <si>
    <t>海宁韵达进港/周王庙韵达</t>
  </si>
  <si>
    <t>华东-浙-202007001</t>
  </si>
  <si>
    <t>浦江圆通</t>
  </si>
  <si>
    <t>华东-皖-202202011</t>
  </si>
  <si>
    <t>亳州韵达（尾款转抽票）</t>
  </si>
  <si>
    <t>华南-桂-202007001</t>
  </si>
  <si>
    <t>贵港中通</t>
  </si>
  <si>
    <t>华东-辽-202007004</t>
  </si>
  <si>
    <t>盘锦圆通</t>
  </si>
  <si>
    <t>华南-豫-202007002</t>
  </si>
  <si>
    <t>河南郑州共派</t>
  </si>
  <si>
    <t>华南-湘-202007003</t>
  </si>
  <si>
    <t>湖南平江共配</t>
  </si>
  <si>
    <t>华南-冀-202007004</t>
  </si>
  <si>
    <t>沧州圆通</t>
  </si>
  <si>
    <t>000166</t>
  </si>
  <si>
    <t>河北邢台平乡圆通</t>
  </si>
  <si>
    <t>华南-鄂-202007006</t>
  </si>
  <si>
    <t>荆门市区共派</t>
  </si>
  <si>
    <t>华南-粤-202007007</t>
  </si>
  <si>
    <t>仙梅圆通</t>
  </si>
  <si>
    <t>华东-赣-202008001</t>
  </si>
  <si>
    <t>横峰圆通</t>
  </si>
  <si>
    <t>华东-赣-202008002</t>
  </si>
  <si>
    <t>赣州圆通</t>
  </si>
  <si>
    <t>华南-鄂-202008001</t>
  </si>
  <si>
    <t>天门共派</t>
  </si>
  <si>
    <t>华东-粤-202008003</t>
  </si>
  <si>
    <t>惠州江北韵达</t>
  </si>
  <si>
    <t>华东-浙-202008004</t>
  </si>
  <si>
    <t>嘉兴中通</t>
  </si>
  <si>
    <t>华东-渝-202008005</t>
  </si>
  <si>
    <t>重庆九龙坡共派</t>
  </si>
  <si>
    <t>华南-鄂-202008002</t>
  </si>
  <si>
    <t>恩施共派</t>
  </si>
  <si>
    <t>华南-粤-202008003</t>
  </si>
  <si>
    <t>佛山南海圆通</t>
  </si>
  <si>
    <t>华东-浙-202008005</t>
  </si>
  <si>
    <t>余杭乔司圆通</t>
  </si>
  <si>
    <t>华东-津-202008006</t>
  </si>
  <si>
    <t>天津武清圆通</t>
  </si>
  <si>
    <t>华南-粤-202008004</t>
  </si>
  <si>
    <t>肇庆共派</t>
  </si>
  <si>
    <t>华东-渝-202008007</t>
  </si>
  <si>
    <t>重庆沙坪坝共派</t>
  </si>
  <si>
    <t>000181</t>
  </si>
  <si>
    <t>厦门圆通二期（搬迁）</t>
  </si>
  <si>
    <t>000182</t>
  </si>
  <si>
    <t>惠州邮政改造-取消</t>
  </si>
  <si>
    <t>华南-桂-202008006</t>
  </si>
  <si>
    <t>百色圆通</t>
  </si>
  <si>
    <t>华南-桂-202008007</t>
  </si>
  <si>
    <t>桂平圆通</t>
  </si>
  <si>
    <t>华东-川-202008011</t>
  </si>
  <si>
    <t>乐山圆通</t>
  </si>
  <si>
    <t>华东-川-202008012</t>
  </si>
  <si>
    <t>龙泉圆通</t>
  </si>
  <si>
    <t>华南-桂-202008008</t>
  </si>
  <si>
    <t>广西北海圆通</t>
  </si>
  <si>
    <t>华东-闽-202008013</t>
  </si>
  <si>
    <t>泉州圆通（尾款转抽票）</t>
  </si>
  <si>
    <t>华东-川-202008014</t>
  </si>
  <si>
    <t>自贡圆通</t>
  </si>
  <si>
    <t>华东-鲁-202008017</t>
  </si>
  <si>
    <t>沂水圆通</t>
  </si>
  <si>
    <t>华东-津-202009001</t>
  </si>
  <si>
    <t>天津塘沽共派</t>
  </si>
  <si>
    <t>华东-甘-202009002</t>
  </si>
  <si>
    <t>甘肃静宁共派</t>
  </si>
  <si>
    <t>华南-粤-202009001-1</t>
  </si>
  <si>
    <t>花山中通</t>
  </si>
  <si>
    <t>华东-浙-202009003</t>
  </si>
  <si>
    <t>丽水邮政（直线）</t>
  </si>
  <si>
    <t>华南-冀-202009003</t>
  </si>
  <si>
    <t>清河中通</t>
  </si>
  <si>
    <t>华东-浙-202009004</t>
  </si>
  <si>
    <t>金华圆通三期</t>
  </si>
  <si>
    <t>华东-浙-202009005</t>
  </si>
  <si>
    <t>南湖圆通（尾款转抽票）</t>
  </si>
  <si>
    <t>华东-晋-202009006</t>
  </si>
  <si>
    <t>汾阳共派</t>
  </si>
  <si>
    <t>华东-桂-202009007</t>
  </si>
  <si>
    <t>柳州北圆通</t>
  </si>
  <si>
    <t>华东-沪-202009008</t>
  </si>
  <si>
    <t>上海下沙圆通</t>
  </si>
  <si>
    <t>华东-苏-202009009</t>
  </si>
  <si>
    <t>昆山蓬朗圆通</t>
  </si>
  <si>
    <t>华南-粤-202009004-1</t>
  </si>
  <si>
    <t>佛山邮政/佛山狮山邮政</t>
  </si>
  <si>
    <t>华南-粤-202009005</t>
  </si>
  <si>
    <t>阳江邮政</t>
  </si>
  <si>
    <t>华东-鲁-202009010</t>
  </si>
  <si>
    <t>聊城圆通</t>
  </si>
  <si>
    <t>华东-川-202009011</t>
  </si>
  <si>
    <t>龙泉韵达</t>
  </si>
  <si>
    <t>华东-晋-202009012</t>
  </si>
  <si>
    <t>山西榆次共派</t>
  </si>
  <si>
    <t>华东-苏-202009013</t>
  </si>
  <si>
    <t>湖州邮政</t>
  </si>
  <si>
    <t>华东-闽-202009019</t>
  </si>
  <si>
    <t>成都圆通搬迁（福州圆通中心）</t>
  </si>
  <si>
    <t>华东-鲁-202009015</t>
  </si>
  <si>
    <t>郯城共派（圆通韵达）</t>
  </si>
  <si>
    <t>华南-粤-202009006</t>
  </si>
  <si>
    <t>南沙东涌圆通</t>
  </si>
  <si>
    <t>华南-粤-202009002</t>
  </si>
  <si>
    <t>潮州百世</t>
  </si>
  <si>
    <t>华东-闽-202010001</t>
  </si>
  <si>
    <t>龙岩共派</t>
  </si>
  <si>
    <t>华东-闽-202010002-1</t>
  </si>
  <si>
    <t>莆田韵达</t>
  </si>
  <si>
    <t>华东-渝-202010004</t>
  </si>
  <si>
    <t>重庆武隆共派</t>
  </si>
  <si>
    <t>华南-吉-202010001</t>
  </si>
  <si>
    <t>吉林德惠共派\吉林长春共配</t>
  </si>
  <si>
    <t>华东-浙-202011-001</t>
  </si>
  <si>
    <t>上虞共派</t>
  </si>
  <si>
    <t>华东-京-202011-002</t>
  </si>
  <si>
    <t>北京丰台共派</t>
  </si>
  <si>
    <t>华东-沪-202011-003</t>
  </si>
  <si>
    <t>上海中通/江桥中通（尾款转抽票）</t>
  </si>
  <si>
    <t>华东-渝-202011004</t>
  </si>
  <si>
    <t>巫山共派</t>
  </si>
  <si>
    <t>华南-粤-202011001</t>
  </si>
  <si>
    <t>吴川共派</t>
  </si>
  <si>
    <t>000221</t>
  </si>
  <si>
    <t>杭州中心升级改造（杭州中心搬迁）</t>
  </si>
  <si>
    <t>华东-苏-202011-006-1</t>
  </si>
  <si>
    <t>启东共派</t>
  </si>
  <si>
    <t>000223</t>
  </si>
  <si>
    <t>南村圆通增购</t>
  </si>
  <si>
    <t>华南-粤-201905001WB</t>
  </si>
  <si>
    <t>渔沙坦中通-维保费</t>
  </si>
  <si>
    <t>华东-闽-202012001</t>
  </si>
  <si>
    <t>漳浦共派</t>
  </si>
  <si>
    <t>华东-鲁-202012002</t>
  </si>
  <si>
    <t>河东圆通</t>
  </si>
  <si>
    <t>华南-粤-202012001</t>
  </si>
  <si>
    <t>凤岗圆通</t>
  </si>
  <si>
    <t>华南-粤-202012002</t>
  </si>
  <si>
    <t>揭东圆通</t>
  </si>
  <si>
    <t>华南-粤-202012003</t>
  </si>
  <si>
    <t>广州大源圆通二期</t>
  </si>
  <si>
    <t>000230</t>
  </si>
  <si>
    <t>河南新乡圆通</t>
  </si>
  <si>
    <t>华东-新-202012007</t>
  </si>
  <si>
    <t>新疆和田圆通（直线）</t>
  </si>
  <si>
    <t>华东-浙-202012008</t>
  </si>
  <si>
    <t>杭州钱塘圆通</t>
  </si>
  <si>
    <t>华东-新-202012009</t>
  </si>
  <si>
    <t>新疆和田中通（直线）</t>
  </si>
  <si>
    <t>华东-新-202012010</t>
  </si>
  <si>
    <t>新疆和田百世（直线）</t>
  </si>
  <si>
    <t>华东-新-202012011</t>
  </si>
  <si>
    <t>新疆和田申通（直线）</t>
  </si>
  <si>
    <t>华东-浙-202012012</t>
  </si>
  <si>
    <t>临平韵达</t>
  </si>
  <si>
    <t>华东-浙-202012013</t>
  </si>
  <si>
    <t>桐乡韵达五期</t>
  </si>
  <si>
    <t>华东-浙-202012014</t>
  </si>
  <si>
    <t>永康圆通一期改造</t>
  </si>
  <si>
    <t>华东-浙-202012016-1</t>
  </si>
  <si>
    <t>逍林圆通</t>
  </si>
  <si>
    <t>华东-鲁-202003007</t>
  </si>
  <si>
    <t>邹城中通百世</t>
  </si>
  <si>
    <t>华南-粤-202004001</t>
  </si>
  <si>
    <t>花都韵达</t>
  </si>
  <si>
    <t>华东-浙-202004001</t>
  </si>
  <si>
    <t>苏溪荷叶塘韵达</t>
  </si>
  <si>
    <t>华东-粤-202004002</t>
  </si>
  <si>
    <t>观澜圆通</t>
  </si>
  <si>
    <t>华东-浙-202005001</t>
  </si>
  <si>
    <t>北苑韵达出港（二期）</t>
  </si>
  <si>
    <t>华东-粤-202006001</t>
  </si>
  <si>
    <t>东海中通</t>
  </si>
  <si>
    <t>华东-鲁-202007001-1</t>
  </si>
  <si>
    <t>山东聊城中通申通</t>
  </si>
  <si>
    <t>华东-粤-202007002</t>
  </si>
  <si>
    <t>中山横栏圆通</t>
  </si>
  <si>
    <t>华东-鲁-202008001</t>
  </si>
  <si>
    <t>莒南共派二期</t>
  </si>
  <si>
    <t>华东-闽-202008002</t>
  </si>
  <si>
    <t>仙游共派二期</t>
  </si>
  <si>
    <t>000250</t>
  </si>
  <si>
    <t>天津滨海共派</t>
  </si>
  <si>
    <t>华东-沪-202009003</t>
  </si>
  <si>
    <t>上海嘉定圆通</t>
  </si>
  <si>
    <t>华南-粤-202011002</t>
  </si>
  <si>
    <t>南村圆通</t>
  </si>
  <si>
    <t>华东-闽-202009004</t>
  </si>
  <si>
    <t>泉州百世</t>
  </si>
  <si>
    <t>000254</t>
  </si>
  <si>
    <t>漳州圆通建包仓</t>
  </si>
  <si>
    <t>000255</t>
  </si>
  <si>
    <t>郯城韵达</t>
  </si>
  <si>
    <t>华东-浙-202009007</t>
  </si>
  <si>
    <t>金义韵达</t>
  </si>
  <si>
    <t>华南-粤-202010001</t>
  </si>
  <si>
    <t>花都顺丰\太和仓韵达</t>
  </si>
  <si>
    <t>000258</t>
  </si>
  <si>
    <t>莒南共派一期增购</t>
  </si>
  <si>
    <t>华东-浙-202011001</t>
  </si>
  <si>
    <t>下沙中通进港</t>
  </si>
  <si>
    <t>华东-粤-202011003</t>
  </si>
  <si>
    <t>中山北圆通（中山小榄圆通）</t>
  </si>
  <si>
    <t>华东-浙-202012001</t>
  </si>
  <si>
    <t>秋涛路圆通改造</t>
  </si>
  <si>
    <t>华东-粤-202012003-1</t>
  </si>
  <si>
    <t>虎门圆通转运中心</t>
  </si>
  <si>
    <t>华东-粤-202011002</t>
  </si>
  <si>
    <t>汕头韵达</t>
  </si>
  <si>
    <t>华东-苏-201905007</t>
  </si>
  <si>
    <t>常熟圆通进港</t>
  </si>
  <si>
    <t>000050</t>
  </si>
  <si>
    <t>温岭韵达（三期）</t>
  </si>
  <si>
    <t>华南-内蒙-201904002</t>
  </si>
  <si>
    <t>包头圆通</t>
  </si>
  <si>
    <t>000052</t>
  </si>
  <si>
    <t>包头圆通二期</t>
  </si>
  <si>
    <t>000053</t>
  </si>
  <si>
    <t>包头圆通增补</t>
  </si>
  <si>
    <t>000054</t>
  </si>
  <si>
    <t>义乌东苑韵达二期</t>
  </si>
  <si>
    <t>000055</t>
  </si>
  <si>
    <t>东莞大朗圆通</t>
  </si>
  <si>
    <t>华东-浙-201905002</t>
  </si>
  <si>
    <t>北仑韵达</t>
  </si>
  <si>
    <t>华南-粤-201907002</t>
  </si>
  <si>
    <t>惠州邮政</t>
  </si>
  <si>
    <t>华东-川-201908003</t>
  </si>
  <si>
    <t>四川雅安申通</t>
  </si>
  <si>
    <t>000060</t>
  </si>
  <si>
    <t>桐乡韵达二期</t>
  </si>
  <si>
    <t>华东-苏-201906001</t>
  </si>
  <si>
    <t>常熟圆通出港</t>
  </si>
  <si>
    <t>华南-冀-201906002</t>
  </si>
  <si>
    <t>邯郸武安共配仓（河北邯郸集包仓）</t>
  </si>
  <si>
    <t>000063</t>
  </si>
  <si>
    <t>四川雅安圆通</t>
  </si>
  <si>
    <t>华东-浙-201907003</t>
  </si>
  <si>
    <t>温岭圆通</t>
  </si>
  <si>
    <t>华南-湘-201906001</t>
  </si>
  <si>
    <t>长沙百世</t>
  </si>
  <si>
    <t>华东-苏-201908006</t>
  </si>
  <si>
    <t>徐州韵达</t>
  </si>
  <si>
    <t>华东-渝-201909005</t>
  </si>
  <si>
    <t>重庆沙坪坝韵达</t>
  </si>
  <si>
    <t>000068</t>
  </si>
  <si>
    <t>永康圆通</t>
  </si>
  <si>
    <t>华南-赣-201907003</t>
  </si>
  <si>
    <t>景德镇圆通</t>
  </si>
  <si>
    <t>华南-粤-201904003</t>
  </si>
  <si>
    <t>深圳观澜百世</t>
  </si>
  <si>
    <t>000071</t>
  </si>
  <si>
    <t>海拉尔韵达</t>
  </si>
  <si>
    <t>华东-粤-201909010</t>
  </si>
  <si>
    <t>东莞大朗韵达</t>
  </si>
  <si>
    <t>000073</t>
  </si>
  <si>
    <t>乌兰察布韵达</t>
  </si>
  <si>
    <t>华东-闽-201903001</t>
  </si>
  <si>
    <t>莆田圆通三期</t>
  </si>
  <si>
    <t>000075</t>
  </si>
  <si>
    <t>商丘申通改造</t>
  </si>
  <si>
    <t>000076</t>
  </si>
  <si>
    <t>余杭圆通（搬迁）</t>
  </si>
  <si>
    <t>000077</t>
  </si>
  <si>
    <t>莆田圆通四期</t>
  </si>
  <si>
    <t>华东-浙-201904001</t>
  </si>
  <si>
    <t>平湖圆通</t>
  </si>
  <si>
    <t>000079</t>
  </si>
  <si>
    <t>汕尾圆通</t>
  </si>
  <si>
    <t>华南-冀-201904001</t>
  </si>
  <si>
    <t>秦皇岛圆通中通</t>
  </si>
  <si>
    <t>华东-浙-201904002</t>
  </si>
  <si>
    <t>龙湾圆通</t>
  </si>
  <si>
    <t>华东-浙-201904003</t>
  </si>
  <si>
    <t>瓯海圆通</t>
  </si>
  <si>
    <t>华南-粤-201905001</t>
  </si>
  <si>
    <t>渔沙坦中通</t>
  </si>
  <si>
    <t>000084</t>
  </si>
  <si>
    <t>宁波圆通</t>
  </si>
  <si>
    <t>华东-浙-201905003</t>
  </si>
  <si>
    <t>湖州圆通三期</t>
  </si>
  <si>
    <t>000086</t>
  </si>
  <si>
    <t>成都圆通</t>
  </si>
  <si>
    <t>华东-浙-201905005</t>
  </si>
  <si>
    <t>临海圆通</t>
  </si>
  <si>
    <t>华东-鄂-201907002</t>
  </si>
  <si>
    <t>麻城共配</t>
  </si>
  <si>
    <t>华东-皖-201907004</t>
  </si>
  <si>
    <t>六安韵达</t>
  </si>
  <si>
    <t>华东-冀-201908002</t>
  </si>
  <si>
    <t>晋州圆通</t>
  </si>
  <si>
    <t>华东-冀-201908001</t>
  </si>
  <si>
    <t>白沟圆通</t>
  </si>
  <si>
    <t>华东-浙-201908005</t>
  </si>
  <si>
    <t>许村盐仓圆通</t>
  </si>
  <si>
    <t>华南-粤-201909001</t>
  </si>
  <si>
    <t>揭阳韵达</t>
  </si>
  <si>
    <t>华东-鲁-202110014</t>
  </si>
  <si>
    <t>德州圆通韵达申通</t>
  </si>
  <si>
    <t>000095</t>
  </si>
  <si>
    <t>德州圆通韵达申通增购</t>
  </si>
  <si>
    <t>000096</t>
  </si>
  <si>
    <t>东莞长安韵达</t>
  </si>
  <si>
    <t>华东-苏-201909001-1</t>
  </si>
  <si>
    <t>盛泽仓共配仓</t>
  </si>
  <si>
    <t>华东-闽-201909003S</t>
  </si>
  <si>
    <t>仙游共派</t>
  </si>
  <si>
    <t>华东-浙-201909003</t>
  </si>
  <si>
    <t>义乌邮政</t>
  </si>
  <si>
    <t>华东-粤-201909004</t>
  </si>
  <si>
    <t>东莞塘厦韵达</t>
  </si>
  <si>
    <t>华东-晋-201909009</t>
  </si>
  <si>
    <t>晋城韵达</t>
  </si>
  <si>
    <t>000102</t>
  </si>
  <si>
    <t>乌兰浩特韵达</t>
  </si>
  <si>
    <t>000103</t>
  </si>
  <si>
    <t>北京黑户庄</t>
  </si>
  <si>
    <t>华南-冀-201909002</t>
  </si>
  <si>
    <t>河北衡水申通</t>
  </si>
  <si>
    <t>华南-冀-201909003</t>
  </si>
  <si>
    <t>任丘圆通（肃宁圆通）</t>
  </si>
  <si>
    <t>华南-粤-201909003</t>
  </si>
  <si>
    <t>普宁东圆通</t>
  </si>
  <si>
    <t>华东-苏-201909012</t>
  </si>
  <si>
    <t>连云港圆通</t>
  </si>
  <si>
    <t>华南-粤-201909004</t>
  </si>
  <si>
    <t>南海平洲中通</t>
  </si>
  <si>
    <t>华东-苏-201910001</t>
  </si>
  <si>
    <t>南通圆通</t>
  </si>
  <si>
    <t>华东-苏-201910002</t>
  </si>
  <si>
    <t>苏州相城圆通</t>
  </si>
  <si>
    <t>华南-鄂-20191001</t>
  </si>
  <si>
    <t>荆门钟祥共配仓</t>
  </si>
  <si>
    <t>华东-浙-201912001</t>
  </si>
  <si>
    <t>义乌江湾中通</t>
  </si>
  <si>
    <t>华东-浙-201912002</t>
  </si>
  <si>
    <t>瑞安圆通</t>
  </si>
  <si>
    <t>000008</t>
  </si>
  <si>
    <t>湖州圆通(二套)</t>
  </si>
  <si>
    <t>000009</t>
  </si>
  <si>
    <t>海宁圆通进港（二期）</t>
  </si>
  <si>
    <t>华东-浙-201809002</t>
  </si>
  <si>
    <t>义乌圆通进港改造</t>
  </si>
  <si>
    <t>000011</t>
  </si>
  <si>
    <t>江阴韵达</t>
  </si>
  <si>
    <t>华东-浙-201805002</t>
  </si>
  <si>
    <t>泽国韵达</t>
  </si>
  <si>
    <t>华南-粤-202204003</t>
  </si>
  <si>
    <t>南村中通</t>
  </si>
  <si>
    <t>000014</t>
  </si>
  <si>
    <t>温岭牧屿韵达</t>
  </si>
  <si>
    <t>000015</t>
  </si>
  <si>
    <t>莆田申通（第一套）</t>
  </si>
  <si>
    <t>华东-浙-201809004</t>
  </si>
  <si>
    <t>黄岩圆通</t>
  </si>
  <si>
    <t>华东-浙-201809001</t>
  </si>
  <si>
    <t>慈溪圆通</t>
  </si>
  <si>
    <t>华东-苏-201807006</t>
  </si>
  <si>
    <t>扬州圆通</t>
  </si>
  <si>
    <t>华东-浙-201808001</t>
  </si>
  <si>
    <t>义乌北苑韵达</t>
  </si>
  <si>
    <t>000020</t>
  </si>
  <si>
    <t>义乌圆通</t>
  </si>
  <si>
    <t>华东-苏-201803001</t>
  </si>
  <si>
    <t>淮安圆通</t>
  </si>
  <si>
    <t>华南-浙-201810001</t>
  </si>
  <si>
    <t>路桥中通</t>
  </si>
  <si>
    <t>000023</t>
  </si>
  <si>
    <t>桐乡韵达</t>
  </si>
  <si>
    <t>华东-浙-201807004</t>
  </si>
  <si>
    <t>路桥韵达</t>
  </si>
  <si>
    <t>华东-鄂-201809004</t>
  </si>
  <si>
    <t>武汉东西湖区圆通</t>
  </si>
  <si>
    <t>000026</t>
  </si>
  <si>
    <t>金华江南圆通</t>
  </si>
  <si>
    <t>000027</t>
  </si>
  <si>
    <t>莆田申通进港（搬迁）</t>
  </si>
  <si>
    <t>000028</t>
  </si>
  <si>
    <t>秋涛路圆通</t>
  </si>
  <si>
    <t>华东-浙-201808003</t>
  </si>
  <si>
    <t>桐乡圆通</t>
  </si>
  <si>
    <t>华东-浙-201810002</t>
  </si>
  <si>
    <t>绍兴圆通</t>
  </si>
  <si>
    <t>华东-闽-202008008</t>
  </si>
  <si>
    <t>厦门圆通</t>
  </si>
  <si>
    <t>华东-浙-201807001</t>
  </si>
  <si>
    <t>义乌东苑韵达</t>
  </si>
  <si>
    <t>000033</t>
  </si>
  <si>
    <t>深圳二级仓</t>
  </si>
  <si>
    <t>000034</t>
  </si>
  <si>
    <t>杭州二级仓</t>
  </si>
  <si>
    <t>000035</t>
  </si>
  <si>
    <t>杭州中心圆通</t>
  </si>
  <si>
    <t>华南-冀-201809001</t>
  </si>
  <si>
    <t>河北衡水圆通</t>
  </si>
  <si>
    <t>华东-浙-201807005</t>
  </si>
  <si>
    <t>瑞安韵达</t>
  </si>
  <si>
    <t>000038</t>
  </si>
  <si>
    <t>海宁韵达</t>
  </si>
  <si>
    <t>华南-浙-201811001</t>
  </si>
  <si>
    <t>苍南韵达</t>
  </si>
  <si>
    <t>华东-沪-201806001</t>
  </si>
  <si>
    <t>浦东百世</t>
  </si>
  <si>
    <t>华东-鄂-201810001</t>
  </si>
  <si>
    <t>武汉圆通</t>
  </si>
  <si>
    <t>000042</t>
  </si>
  <si>
    <t>义乌北苑韵达增补</t>
  </si>
  <si>
    <t>000043</t>
  </si>
  <si>
    <t>阜阳圆通</t>
  </si>
  <si>
    <t>000044</t>
  </si>
  <si>
    <t>南昌圆通</t>
  </si>
  <si>
    <t>华南-粤-202204003A</t>
  </si>
  <si>
    <t>南村中通（维保费）</t>
  </si>
  <si>
    <t>华南-粤-201808001</t>
  </si>
  <si>
    <t>深圳坂田中通</t>
  </si>
  <si>
    <t>华东-苏-201809004</t>
  </si>
  <si>
    <t>无锡圆通</t>
  </si>
  <si>
    <t>000048</t>
  </si>
  <si>
    <t>嘉兴圆通（改造）</t>
  </si>
  <si>
    <t>000006</t>
  </si>
  <si>
    <t>温岭韵达（一期）</t>
  </si>
  <si>
    <t>000007</t>
  </si>
  <si>
    <t>余杭圆通</t>
  </si>
  <si>
    <t>000001</t>
  </si>
  <si>
    <t>湖州圆通一期</t>
  </si>
  <si>
    <t>000002</t>
  </si>
  <si>
    <t>海宁圆通</t>
  </si>
  <si>
    <t>000003</t>
  </si>
  <si>
    <t>太和韵达</t>
  </si>
  <si>
    <t>000004</t>
  </si>
  <si>
    <t>潮南中通</t>
  </si>
  <si>
    <t>000005</t>
  </si>
  <si>
    <t>潮南中通-维保费</t>
  </si>
  <si>
    <t>华南-粤-202203005</t>
  </si>
  <si>
    <t>勒流中通（直线）-按票充值</t>
  </si>
  <si>
    <t>华东-浙-202203005</t>
  </si>
  <si>
    <t>桐乡韵达六期</t>
  </si>
  <si>
    <t>华东-豫-202203004</t>
  </si>
  <si>
    <t>新乡圆通搬迁</t>
  </si>
  <si>
    <t>华南-粤-202203002</t>
  </si>
  <si>
    <t>深圳甘坑韵达（直线）</t>
  </si>
  <si>
    <t>华东-鲁-202203001</t>
  </si>
  <si>
    <t>德州极兔-接口费</t>
  </si>
  <si>
    <t>华南-陕-202203013</t>
  </si>
  <si>
    <t>西安五校韵达（直线）</t>
  </si>
  <si>
    <t>华东-苏-202202014</t>
  </si>
  <si>
    <t>连云港极兔-取消</t>
  </si>
  <si>
    <t>华东-沪-202203003</t>
  </si>
  <si>
    <t>上海奉贤极兔</t>
  </si>
  <si>
    <t>华南-粤-202202012-1</t>
  </si>
  <si>
    <t>佛山盐步共派（直线）-按票充值</t>
  </si>
  <si>
    <t>华东-浙-202202010</t>
  </si>
  <si>
    <t>诸暨韵达</t>
  </si>
  <si>
    <t>华东-津-202202009</t>
  </si>
  <si>
    <t>天津滨海共派二期</t>
  </si>
  <si>
    <t>华南-赣-202202011</t>
  </si>
  <si>
    <t>江西乐平共派</t>
  </si>
  <si>
    <t>华东-豫-202202013</t>
  </si>
  <si>
    <t>濮阳圆通</t>
  </si>
  <si>
    <t>华东-川-202202008</t>
  </si>
  <si>
    <t>宜宾韵达-按票充值</t>
  </si>
  <si>
    <t>华东-鄂-202202007</t>
  </si>
  <si>
    <t>麻城共派新增接口</t>
  </si>
  <si>
    <t>华东-浙-202202004</t>
  </si>
  <si>
    <t>龙湾圆通-增补</t>
  </si>
  <si>
    <t>华南-吉-202202009</t>
  </si>
  <si>
    <t>通榆共派</t>
  </si>
  <si>
    <t>华南-陕-202202010</t>
  </si>
  <si>
    <t>西安高新韵达（直线）</t>
  </si>
  <si>
    <t>华东-闽-202202005</t>
  </si>
  <si>
    <t>石狮申通进港（直线）</t>
  </si>
  <si>
    <t>000057</t>
  </si>
  <si>
    <t>北仑韵达二期</t>
  </si>
  <si>
    <t>华南-新-202203006</t>
  </si>
  <si>
    <t>新疆喀什韵达</t>
  </si>
  <si>
    <t>华东-闽-202203009</t>
  </si>
  <si>
    <t>莆田圆通五期-取消</t>
  </si>
  <si>
    <t>华东-冀-202203008</t>
  </si>
  <si>
    <t>白沟圆通二期（直线）</t>
  </si>
  <si>
    <t>华东-蒙-202203007</t>
  </si>
  <si>
    <t>乌兰浩特团结屯极兔</t>
  </si>
  <si>
    <t>华东-冀-202203006</t>
  </si>
  <si>
    <t>石家庄西兆通中通</t>
  </si>
  <si>
    <t>000563</t>
  </si>
  <si>
    <t>东升横岗圆通</t>
  </si>
  <si>
    <t>000564</t>
  </si>
  <si>
    <t>惠安共派（设备）</t>
  </si>
  <si>
    <t>000476</t>
  </si>
  <si>
    <t>西安明德堡共派</t>
  </si>
  <si>
    <t>华东-浙-201809003</t>
  </si>
  <si>
    <t>萧山中部圆通</t>
  </si>
  <si>
    <t>000566</t>
  </si>
  <si>
    <t>周口淮阳圆通-取消</t>
  </si>
  <si>
    <t>000567</t>
  </si>
  <si>
    <t>广安圆通-取消</t>
  </si>
  <si>
    <t>000568</t>
  </si>
  <si>
    <t>四川攀枝花圆通-取消</t>
  </si>
  <si>
    <t>000569</t>
  </si>
  <si>
    <t>济宁兖州圆通-取消</t>
  </si>
  <si>
    <t>000570</t>
  </si>
  <si>
    <t>佛山松岗圆通（直线）-按票充值</t>
  </si>
  <si>
    <t>华南-苏-202105002</t>
  </si>
  <si>
    <t>常州新北共派（直线）</t>
  </si>
  <si>
    <t>华东-豫-202203010</t>
  </si>
  <si>
    <t>三门峡共派（增购）</t>
  </si>
  <si>
    <t>华东-浙-202203011</t>
  </si>
  <si>
    <t>崇福共派</t>
  </si>
  <si>
    <t>华南-湘-202203008</t>
  </si>
  <si>
    <t>岳阳申通</t>
  </si>
  <si>
    <t>华东-冀-202203014</t>
  </si>
  <si>
    <t>河北安平共派</t>
  </si>
  <si>
    <t>华南-桂-202203010</t>
  </si>
  <si>
    <t>南宁青秀共派（直线）</t>
  </si>
  <si>
    <t>华东-粤-202203012</t>
  </si>
  <si>
    <t>观澜圆通增购</t>
  </si>
  <si>
    <t>华东-苏-202203013</t>
  </si>
  <si>
    <t>太仓圆通</t>
  </si>
  <si>
    <t>华南-粤-202203009</t>
  </si>
  <si>
    <t>佛山金沙共派（直线）</t>
  </si>
  <si>
    <t>华南-粤-202203011</t>
  </si>
  <si>
    <t>深圳民治韵达（直线）</t>
  </si>
  <si>
    <t>华东-川-202203015</t>
  </si>
  <si>
    <t>四川屏山共派（直线）-按票充值</t>
  </si>
  <si>
    <t>CGWX001</t>
  </si>
  <si>
    <t>秀品</t>
  </si>
  <si>
    <t>000572</t>
  </si>
  <si>
    <t>常州圆通</t>
  </si>
  <si>
    <t>华东-豫-202203020</t>
  </si>
  <si>
    <t>漯河共派</t>
  </si>
  <si>
    <t>华东-新-202203019</t>
  </si>
  <si>
    <t>库尔勒中通</t>
  </si>
  <si>
    <t>华东-闽-202203018</t>
  </si>
  <si>
    <t>厦门翔安共配</t>
  </si>
  <si>
    <t>华东-苏-202203016</t>
  </si>
  <si>
    <t>徐州韵达云仓</t>
  </si>
  <si>
    <t>华南-鄂-202203014</t>
  </si>
  <si>
    <t>阳新共派搬迁增购</t>
  </si>
  <si>
    <t>华南-粤-202203012</t>
  </si>
  <si>
    <t>增城永和韵达（直线）</t>
  </si>
  <si>
    <t>华南-粤-202203016</t>
  </si>
  <si>
    <t>人和圆通</t>
  </si>
  <si>
    <t>华东-皖-202203022</t>
  </si>
  <si>
    <t>芜湖圆通</t>
  </si>
  <si>
    <t>华东-宁-20220321</t>
  </si>
  <si>
    <t>银川共派（直线）</t>
  </si>
  <si>
    <t>CGWX002</t>
  </si>
  <si>
    <t>标杩</t>
  </si>
  <si>
    <t>CGWX003</t>
  </si>
  <si>
    <t>应杰</t>
  </si>
  <si>
    <t>华南-陕-202203017</t>
  </si>
  <si>
    <t>咸阳极兔-取消</t>
  </si>
  <si>
    <t>华南-鄂-202203015</t>
  </si>
  <si>
    <t>武汉鲁巷网格仓（直线）</t>
  </si>
  <si>
    <t>华南-赣-202203013</t>
  </si>
  <si>
    <t>南昌象湖共配（直线）</t>
  </si>
  <si>
    <t>CGWX004</t>
  </si>
  <si>
    <t>海宁康园</t>
  </si>
  <si>
    <t>华东-渝-202203023</t>
  </si>
  <si>
    <t>重庆茶园韵达</t>
  </si>
  <si>
    <t>华东-川-202203025</t>
  </si>
  <si>
    <t>巴中韵达（直线）</t>
  </si>
  <si>
    <t>华南-鄂-202203019</t>
  </si>
  <si>
    <t>武汉杨汊湖共派（直线）-取消</t>
  </si>
  <si>
    <t>华东-鄂-202203017</t>
  </si>
  <si>
    <t>湖北阳新韵达</t>
  </si>
  <si>
    <t>华南-粤-202203003</t>
  </si>
  <si>
    <t>广州黄埔网格仓（直线）</t>
  </si>
  <si>
    <t>华东-浙-20220326</t>
  </si>
  <si>
    <t>杭州闲林韵达（直线）</t>
  </si>
  <si>
    <t>000573</t>
  </si>
  <si>
    <t>其他</t>
  </si>
  <si>
    <t>000000</t>
  </si>
  <si>
    <t>无</t>
  </si>
  <si>
    <t>华南-云-202203020</t>
  </si>
  <si>
    <t>云南昭通共派</t>
  </si>
  <si>
    <t>华东-浙-202203027</t>
  </si>
  <si>
    <t>义乌公路港韵达</t>
  </si>
  <si>
    <t>华东-鄂-202204002</t>
  </si>
  <si>
    <t>武汉光谷共配（直线）</t>
  </si>
  <si>
    <t>000574</t>
  </si>
  <si>
    <t>北仑圆通</t>
  </si>
  <si>
    <t>华南-湘-202204001</t>
  </si>
  <si>
    <t>长沙百世新增接口（丰网）</t>
  </si>
  <si>
    <t>华南-粤-202204003-1</t>
  </si>
  <si>
    <t>南村中通供包台改造</t>
  </si>
  <si>
    <t>华东-川-202204005</t>
  </si>
  <si>
    <t>成都大丰圆通搬迁</t>
  </si>
  <si>
    <t>华东-冀-202204004</t>
  </si>
  <si>
    <t>白沟圆通三期</t>
  </si>
  <si>
    <t>华南-粤-202204005</t>
  </si>
  <si>
    <t>汕头邮政（直线）</t>
  </si>
  <si>
    <t>华东-青-202201020</t>
  </si>
  <si>
    <t>西宁圆通中心</t>
  </si>
  <si>
    <t>华南-云-202203004</t>
  </si>
  <si>
    <t>昆明茨坝网格仓（直线）</t>
  </si>
  <si>
    <t>华南-粤-202204007</t>
  </si>
  <si>
    <t>中山百世(极兔)拆迁</t>
  </si>
  <si>
    <t>华南-粤-202204008</t>
  </si>
  <si>
    <t>揭阳空港韵达二期</t>
  </si>
  <si>
    <t>华东-浙-202204006</t>
  </si>
  <si>
    <t>宁波北仑韵达二期</t>
  </si>
  <si>
    <t>华南-粤-202204004</t>
  </si>
  <si>
    <t>佛山乐从共派（直线）</t>
  </si>
  <si>
    <t>华南-粤-202204002</t>
  </si>
  <si>
    <t>中山沙溪韵达（直线）</t>
  </si>
  <si>
    <t>华东-浙-202204007</t>
  </si>
  <si>
    <t>萧山河上邮政（直线）</t>
  </si>
  <si>
    <t>华东-浙-202204008</t>
  </si>
  <si>
    <t>西湖蒋村邮政（直线）</t>
  </si>
  <si>
    <t>华南-粤-202204010</t>
  </si>
  <si>
    <t>峰望邮政（直线）</t>
  </si>
  <si>
    <t>华南-粤-202204011</t>
  </si>
  <si>
    <t>福建泉州摆轮</t>
  </si>
  <si>
    <t>华东-川-202204009</t>
  </si>
  <si>
    <t>雅安圆通三期（直线）</t>
  </si>
  <si>
    <t>华南-粤-202204012</t>
  </si>
  <si>
    <t>惠州黄埠韵达（直线）</t>
  </si>
  <si>
    <t>华南-粤-202204009</t>
  </si>
  <si>
    <t>中山三乡韵达（直线）</t>
  </si>
  <si>
    <t>华南-粤-202204013</t>
  </si>
  <si>
    <t>中山港口韵达（直线）</t>
  </si>
  <si>
    <t>华南-陕-202204014</t>
  </si>
  <si>
    <t>西安西部大道韵达（直线）</t>
  </si>
  <si>
    <t>华南-陕-202204015</t>
  </si>
  <si>
    <t>西安临潼韵达（直线）</t>
  </si>
  <si>
    <t>华东-浙-202204010</t>
  </si>
  <si>
    <t>廿三里圆通搬迁</t>
  </si>
  <si>
    <t>华东-渝-202204011</t>
  </si>
  <si>
    <t>重庆西南大学共派（直线）</t>
  </si>
  <si>
    <t>华南-粤-202204016</t>
  </si>
  <si>
    <t>龙归韵达（新增第二层）</t>
  </si>
  <si>
    <t>华南-鄂-202204017</t>
  </si>
  <si>
    <t>黄浦圆通二期搬迁改造</t>
  </si>
  <si>
    <t>华东-鄂-202204012</t>
  </si>
  <si>
    <t>武汉海航二期（搬迁）</t>
  </si>
  <si>
    <t>华东-浙-202204013</t>
  </si>
  <si>
    <t>金华浦江极兔（直线）</t>
  </si>
  <si>
    <t>华东-浙-202204014</t>
  </si>
  <si>
    <t>苍南圆通接口</t>
  </si>
  <si>
    <t>CGWX005</t>
  </si>
  <si>
    <t>骏业</t>
  </si>
  <si>
    <t>华南-鄂-202204019</t>
  </si>
  <si>
    <t>武汉新竹共派（直线）</t>
  </si>
  <si>
    <t>华东-鲁-202204015</t>
  </si>
  <si>
    <t>河东圆通搬迁</t>
  </si>
  <si>
    <t>华南-鄂-202204018</t>
  </si>
  <si>
    <t>藏龙岛共派（申通+丰网）（直线）</t>
  </si>
  <si>
    <t>华南-湘-202205001</t>
  </si>
  <si>
    <t>岳阳中通</t>
  </si>
  <si>
    <t>华东-蒙-202205004</t>
  </si>
  <si>
    <t>赤峰极兔</t>
  </si>
  <si>
    <t>华南-桂-202205002</t>
  </si>
  <si>
    <t>桂林邮政处理中心项目改造</t>
  </si>
  <si>
    <t>华南-湘-202205003</t>
  </si>
  <si>
    <t>长沙学士韵达网络仓（直线）</t>
  </si>
  <si>
    <t>华东-浙-202205005</t>
  </si>
  <si>
    <t>永康圆通进港（直线）</t>
  </si>
  <si>
    <t>华东-渝-202205006</t>
  </si>
  <si>
    <t>九龙坡共派搬迁</t>
  </si>
  <si>
    <t>华南-黑-202205004</t>
  </si>
  <si>
    <t>牡丹江共派</t>
  </si>
  <si>
    <t>华东-鲁-202205008</t>
  </si>
  <si>
    <t>青州圆通智能监控</t>
  </si>
  <si>
    <t>华南-鄂-202204019-01</t>
  </si>
  <si>
    <t>武汉新竹路共派-接口费</t>
  </si>
  <si>
    <t>华东-豫-202205001</t>
  </si>
  <si>
    <t>夏邑共派</t>
  </si>
  <si>
    <t>华东-浙-202205003</t>
  </si>
  <si>
    <t>温岭泽国韵达二期</t>
  </si>
  <si>
    <t>华南-新-202203006-1</t>
  </si>
  <si>
    <t>新疆喀什韵达-软件</t>
  </si>
  <si>
    <t>华南-粤-202205005</t>
  </si>
  <si>
    <t>揭阳申通</t>
  </si>
  <si>
    <t>华南-赣-202205007</t>
  </si>
  <si>
    <t>江西新余共派（直线）</t>
  </si>
  <si>
    <t>华南-粤-202205006</t>
  </si>
  <si>
    <t>里水中通-取消</t>
  </si>
  <si>
    <t>华南-鄂-202205008</t>
  </si>
  <si>
    <t>鄂州中通（直线）</t>
  </si>
  <si>
    <t>华东-甘-202205002</t>
  </si>
  <si>
    <t>甘肃陇西圆通（直线）</t>
  </si>
  <si>
    <t>华南-赣-202205010</t>
  </si>
  <si>
    <t>江西都昌共派（直线）</t>
  </si>
  <si>
    <t>华东-浙-202205009</t>
  </si>
  <si>
    <t>温岭中通</t>
  </si>
  <si>
    <t>华南-黑-202205009</t>
  </si>
  <si>
    <t>大庆申通</t>
  </si>
  <si>
    <t>华东-浙-202205010</t>
  </si>
  <si>
    <t>余杭邮政</t>
  </si>
  <si>
    <t>华东-苏-202205012</t>
  </si>
  <si>
    <t>邳州共派</t>
  </si>
  <si>
    <t>华南-蒙-202201023</t>
  </si>
  <si>
    <t>乌海共派新增增口（极兔）</t>
  </si>
  <si>
    <t>华东-闽-202205011</t>
  </si>
  <si>
    <t>莆田丰网</t>
  </si>
  <si>
    <t>华南-辽-202205013</t>
  </si>
  <si>
    <t>辽宁抚顺韵达（直线）</t>
  </si>
  <si>
    <t>华南-鄂-202205014</t>
  </si>
  <si>
    <t>武汉石桥共派（直线）</t>
  </si>
  <si>
    <t>华南-陕-202205012</t>
  </si>
  <si>
    <t>西安长安三韵达（直线）</t>
  </si>
  <si>
    <t>应杰-浙-202010001</t>
  </si>
  <si>
    <t>丽水圆通</t>
  </si>
  <si>
    <t>华东-苏-202009013WB</t>
  </si>
  <si>
    <t>湖州邮政维保费</t>
  </si>
  <si>
    <t>华东-冀-202205014</t>
  </si>
  <si>
    <t>廊坊文安中通（直线）</t>
  </si>
  <si>
    <t>华东-浙-202203013-B</t>
  </si>
  <si>
    <t>丽水云和圆通（增补）</t>
  </si>
  <si>
    <t>华东-苏-202205017</t>
  </si>
  <si>
    <t>连云港赣榆韵达</t>
  </si>
  <si>
    <t>华东-苏-202205016</t>
  </si>
  <si>
    <t>连云港韵达</t>
  </si>
  <si>
    <t>华东-苏-202206001</t>
  </si>
  <si>
    <t>扬州仪征申通</t>
  </si>
  <si>
    <t>华东-晋-202205015</t>
  </si>
  <si>
    <t>山西长治中通</t>
  </si>
  <si>
    <t>华东-鄂-202205018</t>
  </si>
  <si>
    <t>天门韵达</t>
  </si>
  <si>
    <t>华东-豫-202204016</t>
  </si>
  <si>
    <t>郑州百世拆机</t>
  </si>
  <si>
    <t>华东-渝-202205007</t>
  </si>
  <si>
    <t>重庆人和网格仓（直线）</t>
  </si>
  <si>
    <t>华南-桂-202205015</t>
  </si>
  <si>
    <t>南宁北湖网格仓（直线）</t>
  </si>
  <si>
    <t>华南-鄂-202205016</t>
  </si>
  <si>
    <t>武汉流芳网格仓（直线）</t>
  </si>
  <si>
    <t>华东-皖-202206002</t>
  </si>
  <si>
    <t>黄山韵达</t>
  </si>
  <si>
    <t>SH001</t>
  </si>
  <si>
    <t>海盐中通</t>
  </si>
  <si>
    <t>华东-浙-202012016-2</t>
  </si>
  <si>
    <t>慈溪逍林圆通搬迁</t>
  </si>
  <si>
    <t>华东-浙-202008004WB</t>
  </si>
  <si>
    <t>嘉兴中通维保费</t>
  </si>
  <si>
    <t>华东-鲁-202003002WB</t>
  </si>
  <si>
    <t>滨州圆通维保费</t>
  </si>
  <si>
    <t>华东-晋-202206003</t>
  </si>
  <si>
    <t>山西大同极兔</t>
  </si>
  <si>
    <t>华东-豫-202206004</t>
  </si>
  <si>
    <t>平舆共派</t>
  </si>
  <si>
    <t>华东-渝-202206005</t>
  </si>
  <si>
    <t>万州韵达（直线)-取消</t>
  </si>
  <si>
    <t>华南-陕-202205011</t>
  </si>
  <si>
    <t>咸阳中通搬迁改造</t>
  </si>
  <si>
    <t>华南-辽-202206003</t>
  </si>
  <si>
    <t>大连金州韵达（直线）</t>
  </si>
  <si>
    <t>华东-豫-202206007</t>
  </si>
  <si>
    <t>蔚县共派增购</t>
  </si>
  <si>
    <t>华东-闽-202206008</t>
  </si>
  <si>
    <t>漳平共派增购</t>
  </si>
  <si>
    <t>华南-鄂-202206002</t>
  </si>
  <si>
    <t>湖北黄梅黄冈共派</t>
  </si>
  <si>
    <t>华南-冀-202206001</t>
  </si>
  <si>
    <t>承德滦平共派（直线）</t>
  </si>
  <si>
    <t>华南-吉-202110001-1</t>
  </si>
  <si>
    <t>榆树共派新增极兔接口</t>
  </si>
  <si>
    <t>华南-桂-202111001</t>
  </si>
  <si>
    <t>桂林临桂中通新增极兔接口-取消</t>
  </si>
  <si>
    <t>华东-晋-202206009</t>
  </si>
  <si>
    <t>晋城沁水共派-取消</t>
  </si>
  <si>
    <t>华南-粤-202206004</t>
  </si>
  <si>
    <t>佛山里水中通（直线）</t>
  </si>
  <si>
    <t>华东-鲁-202206020</t>
  </si>
  <si>
    <t>胶州韵达</t>
  </si>
  <si>
    <t>华东-川-202206010</t>
  </si>
  <si>
    <t>成都温江天府增购</t>
  </si>
  <si>
    <t>华东-鲁-202202003-B</t>
  </si>
  <si>
    <t>青州圆通增补</t>
  </si>
  <si>
    <t>华南-鄂-202203015-1</t>
  </si>
  <si>
    <t>武汉鲁巷网格仓新增中通接口</t>
  </si>
  <si>
    <t>华东-湘-202112004-1</t>
  </si>
  <si>
    <t>湖南怀化共派-增补</t>
  </si>
  <si>
    <t>华东-浙-202206012</t>
  </si>
  <si>
    <t>濮院共派</t>
  </si>
  <si>
    <t>华南-粤-202206006</t>
  </si>
  <si>
    <t>贵屿中通</t>
  </si>
  <si>
    <t>华东-蒙-202206013</t>
  </si>
  <si>
    <t>赤峰中通搬迁</t>
  </si>
  <si>
    <t>华东-浙-202206006</t>
  </si>
  <si>
    <t>平湖圆通三期（直线）</t>
  </si>
  <si>
    <t>华东-闽-202203009-1</t>
  </si>
  <si>
    <t>莆田圆通自动供件</t>
  </si>
  <si>
    <t>华南-吉-202206005</t>
  </si>
  <si>
    <t>长春北湖网格仓（直线）</t>
  </si>
  <si>
    <t>华东-鲁-202206016</t>
  </si>
  <si>
    <t>涑河南二期</t>
  </si>
  <si>
    <t>华东-浙-202206015</t>
  </si>
  <si>
    <t>温岭大溪中通</t>
  </si>
  <si>
    <t>华东-皖-202206014</t>
  </si>
  <si>
    <t>铜陵共派增购</t>
  </si>
  <si>
    <t>华南-粤-20220401601</t>
  </si>
  <si>
    <t>龙归韵达改造</t>
  </si>
  <si>
    <t>华东-闽-202207001</t>
  </si>
  <si>
    <t>福建大田溪鸟（直线）</t>
  </si>
  <si>
    <t>华东-浙-202106002A</t>
  </si>
  <si>
    <t>嘉兴秀洲圆通-维保费</t>
  </si>
  <si>
    <t>华东-渝-202206017</t>
  </si>
  <si>
    <t>成都华阳韵达-取消</t>
  </si>
  <si>
    <t>华南-桂-202206009</t>
  </si>
  <si>
    <t>广西北海韵达-取消</t>
  </si>
  <si>
    <t>华南-黑-202206008</t>
  </si>
  <si>
    <t>哈尔滨幸福网格仓（直线）-取消</t>
  </si>
  <si>
    <t>华南-粤-202206007</t>
  </si>
  <si>
    <t>陆丰韵达网格仓（直线）</t>
  </si>
  <si>
    <t>华东-浙-202006006WB</t>
  </si>
  <si>
    <t>青岩刘韵达-维保费</t>
  </si>
  <si>
    <t>华南-粤-202107002WB</t>
  </si>
  <si>
    <t>惠东韵达维保费</t>
  </si>
  <si>
    <t>华南-吉-202207001</t>
  </si>
  <si>
    <t>吉林磐石共派（增购相机）</t>
  </si>
  <si>
    <t>华南-桂-202207002</t>
  </si>
  <si>
    <t>广西博白中通</t>
  </si>
  <si>
    <t>华东-豫-202207003</t>
  </si>
  <si>
    <t>夏邑申通</t>
  </si>
  <si>
    <t>华东-浙-201905003WB</t>
  </si>
  <si>
    <t>湖州圆通三期维保费</t>
  </si>
  <si>
    <t>华东-冀-202207006</t>
  </si>
  <si>
    <t>石家庄京广网格仓（直线）</t>
  </si>
  <si>
    <t>华南-桂-202207007</t>
  </si>
  <si>
    <t>广西安吉邮政</t>
  </si>
  <si>
    <t>华南-粤-202207003</t>
  </si>
  <si>
    <t>里水申通三期</t>
  </si>
  <si>
    <t>华南-粤-202207006</t>
  </si>
  <si>
    <t>大沥北韵达增购</t>
  </si>
  <si>
    <t>华南-吉-202207004</t>
  </si>
  <si>
    <t>榆树共派（增购相机）</t>
  </si>
  <si>
    <t>华南-冀-202207005</t>
  </si>
  <si>
    <t>衡水圆通二期（增购相机）</t>
  </si>
  <si>
    <t>华东-晋-202207002</t>
  </si>
  <si>
    <t>山西运城河津共派</t>
  </si>
  <si>
    <t>华东-冀-202207005</t>
  </si>
  <si>
    <t>霸州中通（直线）</t>
  </si>
  <si>
    <t>华东-川-202207004</t>
  </si>
  <si>
    <t>乐山韵达</t>
  </si>
  <si>
    <t>华东-浙-202207007</t>
  </si>
  <si>
    <t>下沙中通（直线）改造</t>
  </si>
  <si>
    <t>华东-浙-202207008</t>
  </si>
  <si>
    <t>萧山韵达搬迁</t>
  </si>
  <si>
    <t>华南-赣-202207008</t>
  </si>
  <si>
    <t>江西鄱阳共派</t>
  </si>
  <si>
    <t>华南-冀-202207010</t>
  </si>
  <si>
    <t>正定圆通（徐水圆通搬迁）</t>
  </si>
  <si>
    <t>华东-津-202207011</t>
  </si>
  <si>
    <t>天津北辰邮政（直线）</t>
  </si>
  <si>
    <t>华东-豫-202207012</t>
  </si>
  <si>
    <t>河南确山共配</t>
  </si>
  <si>
    <t>华东-浙-20220324</t>
  </si>
  <si>
    <t>绍兴路韵达（直线）接口费</t>
  </si>
  <si>
    <t>华东-闽-202207013</t>
  </si>
  <si>
    <t>石狮韵达（直线）</t>
  </si>
  <si>
    <t>CGWX006</t>
  </si>
  <si>
    <t>居尚</t>
  </si>
  <si>
    <t>华南-云-202207011</t>
  </si>
  <si>
    <t>云南景洪共派搬迁改造</t>
  </si>
  <si>
    <t>华南-粤-202207012</t>
  </si>
  <si>
    <t>揭阳空港韵达二期增购改造</t>
  </si>
  <si>
    <t>华南-粤-202207013</t>
  </si>
  <si>
    <t>花都阿康健康（直线）</t>
  </si>
  <si>
    <t>华东-浙-202207014</t>
  </si>
  <si>
    <t>富阳圆通（直线）</t>
  </si>
  <si>
    <t>华东-浙-202207014-1</t>
  </si>
  <si>
    <t>富阳圆通（直线）软件</t>
  </si>
  <si>
    <t>华东-豫-202207015</t>
  </si>
  <si>
    <t>荥阳圆通</t>
  </si>
  <si>
    <t>应杰-赣-202102002</t>
  </si>
  <si>
    <t>弋阳共派（直线）</t>
  </si>
  <si>
    <t>华南-粤-202207015</t>
  </si>
  <si>
    <t>汕尾圆通三期相机增购</t>
  </si>
  <si>
    <t>华东-闽-202207018</t>
  </si>
  <si>
    <t>莆田中通</t>
  </si>
  <si>
    <t>华东-浙-202207017B</t>
  </si>
  <si>
    <t>温岭申通增购</t>
  </si>
  <si>
    <t>华东-皖-202207016</t>
  </si>
  <si>
    <t>合肥包河申通</t>
  </si>
  <si>
    <t>华东-京-202207019</t>
  </si>
  <si>
    <t>北京通马路韵达（直线）</t>
  </si>
  <si>
    <t>华南-粤-202207017</t>
  </si>
  <si>
    <t>汕尾市城区中通（直线）</t>
  </si>
  <si>
    <t>华南-赣-202207016</t>
  </si>
  <si>
    <t>吉安永丰中通</t>
  </si>
  <si>
    <t>YFZX</t>
  </si>
  <si>
    <t>研发中心</t>
  </si>
  <si>
    <t>华南-湘-202207014</t>
  </si>
  <si>
    <t>岳阳湘阴共派（直线）</t>
  </si>
  <si>
    <t>华南-陕-202207019</t>
  </si>
  <si>
    <t>陕西镇巴共派（直线）</t>
  </si>
  <si>
    <t>华东-闽-202207021</t>
  </si>
  <si>
    <t>泉州邮政进港</t>
  </si>
  <si>
    <t>华东-闽-202207020</t>
  </si>
  <si>
    <t>泉州邮政出港</t>
  </si>
  <si>
    <t>华南-琼-202207020</t>
  </si>
  <si>
    <t>三亚韵达网格仓（直线）</t>
  </si>
  <si>
    <t>华南-鄂-202207021</t>
  </si>
  <si>
    <t>武汉奓山镇韵达</t>
  </si>
  <si>
    <t>000576</t>
  </si>
  <si>
    <t>东升圆通二期</t>
  </si>
  <si>
    <t>华南-吉-202207024</t>
  </si>
  <si>
    <t>吉林蛟河共派</t>
  </si>
  <si>
    <t>华东-浙-202207024</t>
  </si>
  <si>
    <t>义乌韵达二号库改造</t>
  </si>
  <si>
    <t>华东-新-202207023</t>
  </si>
  <si>
    <t>新疆直线搬迁</t>
  </si>
  <si>
    <t>CGWX007</t>
  </si>
  <si>
    <t>汇傲创</t>
  </si>
  <si>
    <t>华东-鲁-202208003</t>
  </si>
  <si>
    <t>滕州物流园极兔接口费</t>
  </si>
  <si>
    <t>华南-赣-202208002</t>
  </si>
  <si>
    <t>赣州全南共配</t>
  </si>
  <si>
    <t>华东-贵-202207025</t>
  </si>
  <si>
    <t>息烽共派增购</t>
  </si>
  <si>
    <t>华东-京-202208002</t>
  </si>
  <si>
    <t>密云韵达（直线）</t>
  </si>
  <si>
    <t>华东-浙-202208001B</t>
  </si>
  <si>
    <t>廿三里圆通（直线）</t>
  </si>
  <si>
    <t>华南-赣-202208001</t>
  </si>
  <si>
    <t>江西永丰圆通（直线）</t>
  </si>
  <si>
    <t>应杰-贵-202103001</t>
  </si>
  <si>
    <t>贵州毕节中通（直线）</t>
  </si>
  <si>
    <t>华南-鄂-202207018</t>
  </si>
  <si>
    <t>湖北枣阳共派</t>
  </si>
  <si>
    <t>华东-豫-202208010</t>
  </si>
  <si>
    <t>虞城共派</t>
  </si>
  <si>
    <t>华东-苏-202208009</t>
  </si>
  <si>
    <t>扬州中通</t>
  </si>
  <si>
    <t>华东-浙-202208008</t>
  </si>
  <si>
    <t>平湖新埭韵达</t>
  </si>
  <si>
    <t>华南-鄂-202208005</t>
  </si>
  <si>
    <t>藏龙岛二部共派（直线）</t>
  </si>
  <si>
    <t>华东-皖-202208007</t>
  </si>
  <si>
    <t>安徽砀山韵达</t>
  </si>
  <si>
    <t>华东-京-202208005</t>
  </si>
  <si>
    <t>北京永丰中通（直线）</t>
  </si>
  <si>
    <t>华东-鲁-202208006</t>
  </si>
  <si>
    <t>郯城共派丰网接口</t>
  </si>
  <si>
    <t>华南-陕-202208004</t>
  </si>
  <si>
    <t>三桥韵达网格仓（直线）</t>
  </si>
  <si>
    <t>华南-粤-202207023</t>
  </si>
  <si>
    <t>韶关共派</t>
  </si>
  <si>
    <t>华南-湘-202207022</t>
  </si>
  <si>
    <t>安仁共派</t>
  </si>
  <si>
    <t>华东-冀-202208004</t>
  </si>
  <si>
    <t>河北顺平共派（直线）</t>
  </si>
  <si>
    <t>华东-浙-202208014</t>
  </si>
  <si>
    <t>廿三里圆通增购</t>
  </si>
  <si>
    <t>华东-冀-202208013</t>
  </si>
  <si>
    <t>徐水韵达新增中通接口-取消</t>
  </si>
  <si>
    <t>华东-津-202207022</t>
  </si>
  <si>
    <t>天津东丽共派（直线）</t>
  </si>
  <si>
    <t>华东-川-202208012</t>
  </si>
  <si>
    <t>成都跳蹬河北路网格仓（直线）</t>
  </si>
  <si>
    <t>华东-沪-202208011</t>
  </si>
  <si>
    <t>上海梅陇网格仓（直线）</t>
  </si>
  <si>
    <t>华东-苏-202208021</t>
  </si>
  <si>
    <t>吴江菀坪出港</t>
  </si>
  <si>
    <t>华东-苏-202208016</t>
  </si>
  <si>
    <t>吴江城区共派</t>
  </si>
  <si>
    <t>华南-粤-201904003WB</t>
  </si>
  <si>
    <t>深圳观澜极兔（原百世）-维保费</t>
  </si>
  <si>
    <t>华南-桂-202208006</t>
  </si>
  <si>
    <t>广西玉林邮政</t>
  </si>
  <si>
    <t>华东-苏-202208018</t>
  </si>
  <si>
    <t>盱眙共派</t>
  </si>
  <si>
    <t>华南-冀-202208007</t>
  </si>
  <si>
    <t>河北宁晋极兔</t>
  </si>
  <si>
    <t>华东-苏-202208017</t>
  </si>
  <si>
    <t>太仓韵达（直线）-按票充值</t>
  </si>
  <si>
    <t>华东-皖-202201013A</t>
  </si>
  <si>
    <t>合肥合作化南路网格仓（直线）</t>
  </si>
  <si>
    <t>华东-苏-202208022</t>
  </si>
  <si>
    <t>盛泽共派</t>
  </si>
  <si>
    <t>华东-苏-202208015</t>
  </si>
  <si>
    <t>吴江菀坪共派回迁</t>
  </si>
  <si>
    <t>华南-粤-202208010</t>
  </si>
  <si>
    <t>佛山南海平洲中通（直线）</t>
  </si>
  <si>
    <t>华东-京-202208019</t>
  </si>
  <si>
    <t>丰台共派增购</t>
  </si>
  <si>
    <t>华东-京-202208020</t>
  </si>
  <si>
    <t>狼垡共派增购</t>
  </si>
  <si>
    <t>华南-冀-202208008</t>
  </si>
  <si>
    <t>河北清河极兔</t>
  </si>
  <si>
    <t>华南-冀-201909003WB</t>
  </si>
  <si>
    <t>河北肃宁圆通-维保费</t>
  </si>
  <si>
    <t>华东-闽-202209028</t>
  </si>
  <si>
    <t>漳浦共派丰网接口</t>
  </si>
  <si>
    <t>华东-皖-202208025</t>
  </si>
  <si>
    <t>安徽濉溪共派</t>
  </si>
  <si>
    <t>华南-泰-202208011</t>
  </si>
  <si>
    <t>FLASH项目增购</t>
  </si>
  <si>
    <t>华东-川-202208024</t>
  </si>
  <si>
    <t>成都双流共派（直线）</t>
  </si>
  <si>
    <t>华东-浙-202208023</t>
  </si>
  <si>
    <t>临平韵达搬迁</t>
  </si>
  <si>
    <t>应杰-鲁-202108001</t>
  </si>
  <si>
    <t>山东蒙阴共派（直线）</t>
  </si>
  <si>
    <t>华南-桂-202208009</t>
  </si>
  <si>
    <t>广西玉林陆川共派</t>
  </si>
  <si>
    <t>华东-津-202208029</t>
  </si>
  <si>
    <t>天津西青张家窝共派</t>
  </si>
  <si>
    <t>华南-粤-202208012</t>
  </si>
  <si>
    <t>江高中通增购</t>
  </si>
  <si>
    <t>华东-闽-202208030</t>
  </si>
  <si>
    <t>莆田圆通六期</t>
  </si>
  <si>
    <t>华东-苏-202208026</t>
  </si>
  <si>
    <t>南京幕府网格仓（直线）</t>
  </si>
  <si>
    <t>华东-京-202208028</t>
  </si>
  <si>
    <t>北京大红门网格仓（直线）</t>
  </si>
  <si>
    <t>应杰-浙-202104001</t>
  </si>
  <si>
    <t>海宁中通直线</t>
  </si>
  <si>
    <t>应杰-鲁-202105001</t>
  </si>
  <si>
    <t>山东临沭共派</t>
  </si>
  <si>
    <t>应杰-浙-202105001</t>
  </si>
  <si>
    <t>临平圆通（应杰直线）</t>
  </si>
  <si>
    <t>应杰-鲁-202106001</t>
  </si>
  <si>
    <t>山东莒县圆通</t>
  </si>
  <si>
    <t>应杰-晋-202107001</t>
  </si>
  <si>
    <t>高平圆通直线</t>
  </si>
  <si>
    <t>应杰-晋-202107002</t>
  </si>
  <si>
    <t>介休圆通直线</t>
  </si>
  <si>
    <t>应杰-浙-202107001</t>
  </si>
  <si>
    <t>临平运河圆通</t>
  </si>
  <si>
    <t>应杰-浙-202108001</t>
  </si>
  <si>
    <t>富阳韵达直线</t>
  </si>
  <si>
    <t>应杰-川-202109001</t>
  </si>
  <si>
    <t>温江柳城圆通</t>
  </si>
  <si>
    <t>应杰-豫-202010001</t>
  </si>
  <si>
    <t>三门峡中通</t>
  </si>
  <si>
    <t>应杰-冀-202110001</t>
  </si>
  <si>
    <t>河北定兴共派</t>
  </si>
  <si>
    <t>应杰-京-202110001</t>
  </si>
  <si>
    <t>北京大兴中通</t>
  </si>
  <si>
    <t>应杰-宁-202001001</t>
  </si>
  <si>
    <t>宁夏圆通直线</t>
  </si>
  <si>
    <t>应杰-津-202009001</t>
  </si>
  <si>
    <t>天津静海圆通（直线）</t>
  </si>
  <si>
    <t>华东-豫-202208027</t>
  </si>
  <si>
    <t>三门峡灵宝共派（直线）</t>
  </si>
  <si>
    <t>华东-沪-202208031</t>
  </si>
  <si>
    <t>上海北沈路网格仓（直线）</t>
  </si>
  <si>
    <t>华东-沪-202208032</t>
  </si>
  <si>
    <t>上海浦东祝桥网格仓（直线）</t>
  </si>
  <si>
    <t>应杰-浙-202102001</t>
  </si>
  <si>
    <t>温岭圆通直线</t>
  </si>
  <si>
    <t>华东-皖-202208035</t>
  </si>
  <si>
    <t>合肥瑶海区网格仓（直线）</t>
  </si>
  <si>
    <t>华东-苏-202208036</t>
  </si>
  <si>
    <t>南京珠江镇网格仓（直线）</t>
  </si>
  <si>
    <t>华东-苏-202208039</t>
  </si>
  <si>
    <t>南京岱山网格仓（直线）</t>
  </si>
  <si>
    <t>华南-粤-202208014</t>
  </si>
  <si>
    <t>广州滨江中通改造</t>
  </si>
  <si>
    <t>华南-粤-202208013</t>
  </si>
  <si>
    <t>普宁东圆通三期</t>
  </si>
  <si>
    <t>华南-粤-202208015</t>
  </si>
  <si>
    <t>广州丰和圆通</t>
  </si>
  <si>
    <t>华东-渝-202208034</t>
  </si>
  <si>
    <t>巫山共派增极兔接口</t>
  </si>
  <si>
    <t>华东-冀-202208037</t>
  </si>
  <si>
    <t>白沟圆通直线搬迁</t>
  </si>
  <si>
    <t>华东-浙-202208038</t>
  </si>
  <si>
    <t>萧山共派</t>
  </si>
  <si>
    <t>华南-冀-202208016</t>
  </si>
  <si>
    <t>邯郸武安共派搬迁（永年中通）</t>
  </si>
  <si>
    <t>华东-浙-202208041</t>
  </si>
  <si>
    <t>秋涛路大货分拣</t>
  </si>
  <si>
    <t>华东-冀-202208042</t>
  </si>
  <si>
    <t>河北胜芳中通（直线）</t>
  </si>
  <si>
    <t>华东-鲁-202208043</t>
  </si>
  <si>
    <t>山东鱼台共派</t>
  </si>
  <si>
    <t>华东-鲁-202208044</t>
  </si>
  <si>
    <t>山东临沂丰网</t>
  </si>
  <si>
    <t>华东-苏-202208045</t>
  </si>
  <si>
    <t>苏州虎丘韵达（直线）</t>
  </si>
  <si>
    <t>华东-冀-202208040</t>
  </si>
  <si>
    <t>石家庄韵达（直线）</t>
  </si>
  <si>
    <t>华南-甘-202208017</t>
  </si>
  <si>
    <t>甘肃兰州邮政（电控）</t>
  </si>
  <si>
    <t>华南-鄂-202209002</t>
  </si>
  <si>
    <t>荆门京山共派增购</t>
  </si>
  <si>
    <t>华东-鲁-202209003</t>
  </si>
  <si>
    <t>聊城中通二期</t>
  </si>
  <si>
    <t>华东-皖-202209002</t>
  </si>
  <si>
    <t>黄山中通（直线）</t>
  </si>
  <si>
    <t>华南-鄂-202209001</t>
  </si>
  <si>
    <t>凤华天城共派（直线）</t>
  </si>
  <si>
    <t>华东-鲁-202209001</t>
  </si>
  <si>
    <t>滕州中通</t>
  </si>
  <si>
    <t>华东-浙-202208046</t>
  </si>
  <si>
    <t>上溪邮政</t>
  </si>
  <si>
    <t>华东-苏-202208047</t>
  </si>
  <si>
    <t>赣榆中通-取消</t>
  </si>
  <si>
    <t>华南-湘-202205003A</t>
  </si>
  <si>
    <t>长沙学士韵达网络仓搬迁</t>
  </si>
  <si>
    <t>华东-苏-202209004</t>
  </si>
  <si>
    <t>江苏江阴工业路网格仓（直线）</t>
  </si>
  <si>
    <t>华东-苏-202209005</t>
  </si>
  <si>
    <t>常熟天镜网格仓（直线）</t>
  </si>
  <si>
    <t>华东-苏-202209006</t>
  </si>
  <si>
    <t>苏州郭巷网格仓（直线）</t>
  </si>
  <si>
    <t>华东-豫-202209007</t>
  </si>
  <si>
    <t>商丘申通进港</t>
  </si>
  <si>
    <t>华东-苏-202209030</t>
  </si>
  <si>
    <t>苏州车坊网格仓（直线）</t>
  </si>
  <si>
    <t>华南-蒙-202209023</t>
  </si>
  <si>
    <t>包头圆通三期新增接口</t>
  </si>
  <si>
    <t>华南-粤-202209007</t>
  </si>
  <si>
    <t>河源东源共派</t>
  </si>
  <si>
    <t>CGWX008</t>
  </si>
  <si>
    <t>启源</t>
  </si>
  <si>
    <t>华东-沪-202209010</t>
  </si>
  <si>
    <t>上海子洲路网格仓（直线）</t>
  </si>
  <si>
    <t>应杰-浙-202009002</t>
  </si>
  <si>
    <t>下沙中通-直线</t>
  </si>
  <si>
    <t>华东-苏-202209011</t>
  </si>
  <si>
    <t>苏州常熟莫城网格仓（直线）</t>
  </si>
  <si>
    <t>华南-鄂-202209005</t>
  </si>
  <si>
    <t>恩施宣恩共派</t>
  </si>
  <si>
    <t>华南-粤-202209006</t>
  </si>
  <si>
    <t>陆丰共派直线</t>
  </si>
  <si>
    <t>华东-粤-202111007B</t>
  </si>
  <si>
    <t>桂林临桂中通新增邮政接口-取消</t>
  </si>
  <si>
    <t>华东-冀-202209009</t>
  </si>
  <si>
    <t>邯郸共派（直线）</t>
  </si>
  <si>
    <t>华东-川-202209012</t>
  </si>
  <si>
    <t>龙泉极兔</t>
  </si>
  <si>
    <t>华南-粤-202209008</t>
  </si>
  <si>
    <t>汕尾城区共派</t>
  </si>
  <si>
    <t>华东-桂-202111007C</t>
  </si>
  <si>
    <t>桂林临桂中通增购服务器</t>
  </si>
  <si>
    <t>华南-粤-202209004</t>
  </si>
  <si>
    <t>花东小件申通出港直线-按票充值</t>
  </si>
  <si>
    <t>华东-冀-202209013</t>
  </si>
  <si>
    <t>高碑店共派（直线）</t>
  </si>
  <si>
    <t>华东-川-202209015</t>
  </si>
  <si>
    <t>雅安名山圆通</t>
  </si>
  <si>
    <t>华南-鄂-202209009</t>
  </si>
  <si>
    <t>白沙洲共派直线</t>
  </si>
  <si>
    <t>华南-粤-202209010</t>
  </si>
  <si>
    <t>邮政华南仓</t>
  </si>
  <si>
    <t>华东-川-202209014</t>
  </si>
  <si>
    <t>四川仪陇共派</t>
  </si>
  <si>
    <t>华南-桂-202209011</t>
  </si>
  <si>
    <t>北海圆通搬迁</t>
  </si>
  <si>
    <t>华东-浙-202208046B</t>
  </si>
  <si>
    <t>上溪邮政增购（大溪中通搬迁）</t>
  </si>
  <si>
    <t>华东-浙-202209018</t>
  </si>
  <si>
    <t>拱墅韵达搬迁（直线）-按票充值</t>
  </si>
  <si>
    <t>华南-辽-202209018</t>
  </si>
  <si>
    <t>辽宁法库共派</t>
  </si>
  <si>
    <t>华南-蒙-202209019</t>
  </si>
  <si>
    <t>乌兰浩特申通</t>
  </si>
  <si>
    <t>华东-鲁-202009010WB</t>
  </si>
  <si>
    <t>山东-聊城圆通-维保费</t>
  </si>
  <si>
    <t>华东-冀-202209017</t>
  </si>
  <si>
    <t>邯郸永年圆通</t>
  </si>
  <si>
    <t>华东-冀-202209016</t>
  </si>
  <si>
    <t>河北邢台圆通</t>
  </si>
  <si>
    <t>华南-冀-202209015</t>
  </si>
  <si>
    <t>河北故城圆通</t>
  </si>
  <si>
    <t>华南-粤-202209014</t>
  </si>
  <si>
    <t>惠州博罗圆通-取消</t>
  </si>
  <si>
    <t>华南-粤-202209016</t>
  </si>
  <si>
    <t>肇庆怀集共派（直线）</t>
  </si>
  <si>
    <t>华南-蒙-202209020</t>
  </si>
  <si>
    <t>四子王旗共派直线</t>
  </si>
  <si>
    <t>华南-鄂-202209013</t>
  </si>
  <si>
    <t>襄阳襄城区共派直线</t>
  </si>
  <si>
    <t>华南-粤-202012003WB</t>
  </si>
  <si>
    <t>大源圆通二期-维保费</t>
  </si>
  <si>
    <t>华南-鄂-202209022</t>
  </si>
  <si>
    <t>随州中通</t>
  </si>
  <si>
    <t>华东-赣-202008002WB</t>
  </si>
  <si>
    <t>江西赣州圆通-维保费</t>
  </si>
  <si>
    <t>CGWX009</t>
  </si>
  <si>
    <t>泽业</t>
  </si>
  <si>
    <t>华南-粤-202209012</t>
  </si>
  <si>
    <t>福永韵达直线搬迁</t>
  </si>
  <si>
    <t>华南-琼-202209017</t>
  </si>
  <si>
    <t>海口圆通中心搬迁</t>
  </si>
  <si>
    <t>华东-豫-202209022</t>
  </si>
  <si>
    <t>郑州三全路网格仓（直线）</t>
  </si>
  <si>
    <t>华东-豫-202209021</t>
  </si>
  <si>
    <t>郑州龙子湖网格仓（直线）</t>
  </si>
  <si>
    <t>华东-豫-202207015B</t>
  </si>
  <si>
    <t>荥阳圆通增购</t>
  </si>
  <si>
    <t>华南-贵-202209021</t>
  </si>
  <si>
    <t>贵州六枝共配直线</t>
  </si>
  <si>
    <t>华东-浙-202209019</t>
  </si>
  <si>
    <t>瑞安韵达二期</t>
  </si>
  <si>
    <t>华东-浙-202209020</t>
  </si>
  <si>
    <t>黄岩园通二期</t>
  </si>
  <si>
    <t>华东-皖-202209026</t>
  </si>
  <si>
    <t>合肥柏堰网格仓（直线）</t>
  </si>
  <si>
    <t>华东-渝-202209023</t>
  </si>
  <si>
    <t>九龙坡共派（新）</t>
  </si>
  <si>
    <t>华东-浙-202209025</t>
  </si>
  <si>
    <t>富阳圆通极兔接口</t>
  </si>
  <si>
    <t>华南-冀-202209003</t>
  </si>
  <si>
    <t>高阳中通二期</t>
  </si>
  <si>
    <t>华东-浙-202209027</t>
  </si>
  <si>
    <t>杭州建德共派</t>
  </si>
  <si>
    <t>华南-桂-202209024</t>
  </si>
  <si>
    <t>广西桂林平乐共派</t>
  </si>
  <si>
    <t>华南-鄂-202210007</t>
  </si>
  <si>
    <t>荆门钟祥共配增购</t>
  </si>
  <si>
    <t>华东-浙-202209024</t>
  </si>
  <si>
    <t>富阳邮政</t>
  </si>
  <si>
    <t>华南-陕-202204015A</t>
  </si>
  <si>
    <t>西安临潼韵达新增丰网接口</t>
  </si>
  <si>
    <t>华南-冀-202209015A</t>
  </si>
  <si>
    <t>河北故城圆通增购</t>
  </si>
  <si>
    <t>华南-沙特-202209025</t>
  </si>
  <si>
    <t>沙特利雅得RDC</t>
  </si>
  <si>
    <t>华南-粤-202209026</t>
  </si>
  <si>
    <t>惠东邮政直线</t>
  </si>
  <si>
    <t>华东-渝-202205006A</t>
  </si>
  <si>
    <t>九龙坡-永川共派增购</t>
  </si>
  <si>
    <t>华东-浙-202210001</t>
  </si>
  <si>
    <t>杭州崇化邮政（直线）</t>
  </si>
  <si>
    <t>华东-浙-202210002</t>
  </si>
  <si>
    <t>杭州靖江邮政（直线）</t>
  </si>
  <si>
    <t>华东-浙-202210003</t>
  </si>
  <si>
    <t>杭州富阳邮政（直线）</t>
  </si>
  <si>
    <t>华东-浙-202210004</t>
  </si>
  <si>
    <t>杭州闲林邮政（直线）</t>
  </si>
  <si>
    <t>华东-浙-202210005</t>
  </si>
  <si>
    <t>杭州临平车站路邮政（直线）</t>
  </si>
  <si>
    <t>华东-浙-202210006</t>
  </si>
  <si>
    <t>杭州乔司邮政（直线）</t>
  </si>
  <si>
    <t>华南-桂-202209027</t>
  </si>
  <si>
    <t>南宁武鸣邮政（直线）</t>
  </si>
  <si>
    <t>华南-桂-202209028</t>
  </si>
  <si>
    <t>钦州灵山邮政</t>
  </si>
  <si>
    <t>华南-粤-202209029</t>
  </si>
  <si>
    <t>珠海金鼎韵达网格仓（直线）</t>
  </si>
  <si>
    <t>华东-豫-202210015</t>
  </si>
  <si>
    <t>濮阳申通</t>
  </si>
  <si>
    <t>华东-浙-202210018</t>
  </si>
  <si>
    <t>平湖新埭监控对接费</t>
  </si>
  <si>
    <t>华东-冀-202210011</t>
  </si>
  <si>
    <t>河北平山共派（直线）</t>
  </si>
  <si>
    <t>华东-冀-202210008</t>
  </si>
  <si>
    <t>高阳韵达系统费</t>
  </si>
  <si>
    <t>华东-渝-202210007</t>
  </si>
  <si>
    <t>重庆井口共派</t>
  </si>
  <si>
    <t>华东-浙-202210009</t>
  </si>
  <si>
    <t>青州丰网接口</t>
  </si>
  <si>
    <t>华东-渝-202210010</t>
  </si>
  <si>
    <t>重庆大学城共派接口</t>
  </si>
  <si>
    <t>华东-皖-202210012</t>
  </si>
  <si>
    <t>安徽蚌埠怀远共派（直线）</t>
  </si>
  <si>
    <t>华东-苏-202210013</t>
  </si>
  <si>
    <t>南京江北共派</t>
  </si>
  <si>
    <t>华东-晋-202210014</t>
  </si>
  <si>
    <t>山西临汾乡宁共派</t>
  </si>
  <si>
    <t>华东-豫-202210016</t>
  </si>
  <si>
    <t>河南伊川共派</t>
  </si>
  <si>
    <t>华东-冀-202210017</t>
  </si>
  <si>
    <t>邯郸魏县共配</t>
  </si>
  <si>
    <t>华南-鄂-202210005</t>
  </si>
  <si>
    <t>蔡甸共派新增摄像头</t>
  </si>
  <si>
    <t>华东-沪-202210020</t>
  </si>
  <si>
    <t>上海通州路网格仓（直线）</t>
  </si>
  <si>
    <t>华南-吉-202210006</t>
  </si>
  <si>
    <t>吉林申通二期（直线）-按票充值</t>
  </si>
  <si>
    <t>华东-鄂-202210019</t>
  </si>
  <si>
    <t>天门韵达增购</t>
  </si>
  <si>
    <t>华南-陕-202210001</t>
  </si>
  <si>
    <t>陕西榆林极兔（直线）</t>
  </si>
  <si>
    <t>华南-陕-202210003</t>
  </si>
  <si>
    <t>陕西榆林米脂（直线）</t>
  </si>
  <si>
    <t>华南-青-202210002</t>
  </si>
  <si>
    <t>青海平安共配（直线）</t>
  </si>
  <si>
    <t>华南-贵-202210008</t>
  </si>
  <si>
    <t>贵州铜仁松桃共配直线</t>
  </si>
  <si>
    <t>华南-贵-202210009</t>
  </si>
  <si>
    <t>贵州铜仁玉屏共配直线</t>
  </si>
  <si>
    <t>华南-鄂-202210012</t>
  </si>
  <si>
    <t>武汉黄家湖共派新增接口</t>
  </si>
  <si>
    <t>华东-浙-202012008WB</t>
  </si>
  <si>
    <t>杭州-钱塘圆通-维保费</t>
  </si>
  <si>
    <t>华南-贵-202210004</t>
  </si>
  <si>
    <t>贵州青年路网格仓（直线）</t>
  </si>
  <si>
    <t>ZD002</t>
  </si>
  <si>
    <t>西安西部大道韵达-改造（直线）</t>
  </si>
  <si>
    <t>华南-粤-202210013</t>
  </si>
  <si>
    <t>东莞厚街窄带直线</t>
  </si>
  <si>
    <t>华南-粤-202210014</t>
  </si>
  <si>
    <t>东莞清溪窄带直线</t>
  </si>
  <si>
    <t>华南-粤-202210015</t>
  </si>
  <si>
    <t>东莞南城申通</t>
  </si>
  <si>
    <t>华南-粤-202210017</t>
  </si>
  <si>
    <t>广东鹤山共派直线</t>
  </si>
  <si>
    <t>华南-鄂-202210018</t>
  </si>
  <si>
    <t>湖北武汉邮政项目A直线</t>
  </si>
  <si>
    <t>华南-鄂-202210019</t>
  </si>
  <si>
    <t>湖北武汉邮政项目B直线</t>
  </si>
  <si>
    <t>华南-湘-202210010</t>
  </si>
  <si>
    <t>湖南岳阳汨罗共配</t>
  </si>
  <si>
    <t>华东-闽-202210022</t>
  </si>
  <si>
    <t>厦门集美共派（直线）</t>
  </si>
  <si>
    <t>华南-鄂-202210011</t>
  </si>
  <si>
    <t>湖北十堰茅箭共配直线</t>
  </si>
  <si>
    <t>华南-桂-202210020</t>
  </si>
  <si>
    <t>广西防城港上思共配直线</t>
  </si>
  <si>
    <t>华南-粤-202210021</t>
  </si>
  <si>
    <t>广东湛江申通</t>
  </si>
  <si>
    <t>华南-赣-202210023</t>
  </si>
  <si>
    <t>江西寻乌韵达极兔（直线）</t>
  </si>
  <si>
    <t>华南-津-202210022</t>
  </si>
  <si>
    <t>天津韵达电机增购</t>
  </si>
  <si>
    <t>华东-浙-202210023</t>
  </si>
  <si>
    <t>周王庙韵达增购</t>
  </si>
  <si>
    <t>华东-渝-202210025</t>
  </si>
  <si>
    <t>璧山共派增购</t>
  </si>
  <si>
    <t>华东-苏-202210027</t>
  </si>
  <si>
    <t>江苏新沂极兔</t>
  </si>
  <si>
    <t>华东-苏-202209006A</t>
  </si>
  <si>
    <t>苏州郭巷网格仓（直线）增购</t>
  </si>
  <si>
    <t>华南-陕-202210024</t>
  </si>
  <si>
    <t>陕西铜川共派直线</t>
  </si>
  <si>
    <t>华东-闽-202210026</t>
  </si>
  <si>
    <t>泉州清濛圆通（直线）</t>
  </si>
  <si>
    <t>华南-粤-202210025</t>
  </si>
  <si>
    <t>湛江韵达网格仓直线</t>
  </si>
  <si>
    <t>华南-粤-202210027</t>
  </si>
  <si>
    <t>佛山里水邮政直线</t>
  </si>
  <si>
    <t>华南-赣-202202-011</t>
  </si>
  <si>
    <t>江西乐平共配增购</t>
  </si>
  <si>
    <t>华东-冀-202210008B</t>
  </si>
  <si>
    <t>高阳韵达</t>
  </si>
  <si>
    <t>华东-鲁-202210027</t>
  </si>
  <si>
    <t>山东兰陵共派</t>
  </si>
  <si>
    <t>华东-鲁-202210028</t>
  </si>
  <si>
    <t>山东乐陵共派</t>
  </si>
  <si>
    <t>华东-豫-202210024</t>
  </si>
  <si>
    <t>河南栾川共派</t>
  </si>
  <si>
    <t>华南-赣-202210026</t>
  </si>
  <si>
    <t>江西丰城中通（直线）</t>
  </si>
  <si>
    <t>华南-粤-202211001</t>
  </si>
  <si>
    <t>广东乐昌共派（直线）</t>
  </si>
  <si>
    <t>ZD004</t>
  </si>
  <si>
    <t>沙坪坝中通</t>
  </si>
  <si>
    <t>华南-粤-202211004</t>
  </si>
  <si>
    <t>汕尾圆通三期相机增购（新）</t>
  </si>
  <si>
    <t>华东-闽-202210021</t>
  </si>
  <si>
    <t>漳平增购服务器</t>
  </si>
  <si>
    <t>华南-鄂-202209009A</t>
  </si>
  <si>
    <t>白沙洲共配新增丰网接口</t>
  </si>
  <si>
    <t>华南-贵-202211002</t>
  </si>
  <si>
    <t>贵州铜仁石阡共派（直线）</t>
  </si>
  <si>
    <t>华东-苏-202211001</t>
  </si>
  <si>
    <t>扬州中通增购</t>
  </si>
  <si>
    <t>华东-闽-202211003</t>
  </si>
  <si>
    <t>厦门三明建宁共派（直线）</t>
  </si>
  <si>
    <t>华东-皖-202211002</t>
  </si>
  <si>
    <t>合肥瑶海共派（直线）</t>
  </si>
  <si>
    <t>YF0001</t>
  </si>
  <si>
    <t>标杩直线样机</t>
  </si>
  <si>
    <t>华南-粤-202211003</t>
  </si>
  <si>
    <t>汕尾城区圆通直线</t>
  </si>
  <si>
    <t>华东-苏-202211004</t>
  </si>
  <si>
    <t>南京亚东新城共配-按票充值</t>
  </si>
  <si>
    <t>华东-浙-202211005</t>
  </si>
  <si>
    <t>平湖韵达接口</t>
  </si>
  <si>
    <t>华东-皖-202211007</t>
  </si>
  <si>
    <t>亳州谯城韵达-取消</t>
  </si>
  <si>
    <t>华东-蒙-202211006</t>
  </si>
  <si>
    <t>海拉尔韵达丰网接口</t>
  </si>
  <si>
    <t>华南-桂-202205002A</t>
  </si>
  <si>
    <t>桂林邮政中心增补</t>
  </si>
  <si>
    <t>华南-鄂-202211005</t>
  </si>
  <si>
    <t>中南民族大学共配（直线）</t>
  </si>
  <si>
    <t>华南-鄂-202211006</t>
  </si>
  <si>
    <t>湖北武汉汉南共配（直线）</t>
  </si>
  <si>
    <t>华东-苏-202208017B</t>
  </si>
  <si>
    <t>太仓韵达拆机</t>
  </si>
  <si>
    <t>华南-粤-202201002A</t>
  </si>
  <si>
    <t>塘厦丰网拆机补充协议</t>
  </si>
  <si>
    <t>YF0002</t>
  </si>
  <si>
    <t>研发中心400直线样机</t>
  </si>
  <si>
    <t>华东-川-202211010</t>
  </si>
  <si>
    <t>广安韵达</t>
  </si>
  <si>
    <t>华南-琼-202211007</t>
  </si>
  <si>
    <t>海南澄迈共配（直线）</t>
  </si>
  <si>
    <t>华南-湘-202211009</t>
  </si>
  <si>
    <t>湖南平江圆通增购</t>
  </si>
  <si>
    <t>华东-豫-202211012</t>
  </si>
  <si>
    <t>获嘉共派增购</t>
  </si>
  <si>
    <t>华东-川-202211013</t>
  </si>
  <si>
    <t>德昌韵达（直线）</t>
  </si>
  <si>
    <t>华东-鲁-202211011</t>
  </si>
  <si>
    <t>滕州中通增购</t>
  </si>
  <si>
    <t>华南-粤-202211012</t>
  </si>
  <si>
    <t>东莞石碣中通</t>
  </si>
  <si>
    <t>华南-桂-202211010</t>
  </si>
  <si>
    <t>广西钦州邮政</t>
  </si>
  <si>
    <t>华南-粤-202211011</t>
  </si>
  <si>
    <t>南沙东涌圆通拆机</t>
  </si>
  <si>
    <t>华南-鄂-202211008</t>
  </si>
  <si>
    <t>武汉藏龙岛共派二期搬迁</t>
  </si>
  <si>
    <t>华南-粤-202211013</t>
  </si>
  <si>
    <t>阿康健康搬迁改造</t>
  </si>
  <si>
    <t>华南-粤-202211014</t>
  </si>
  <si>
    <t>清远佛冈共配</t>
  </si>
  <si>
    <t>华南-鄂-202211015</t>
  </si>
  <si>
    <t>随州韵达（直线）</t>
  </si>
  <si>
    <t>华南-粤-202211016</t>
  </si>
  <si>
    <t>惠州邮政中心（新海）</t>
  </si>
  <si>
    <t>华南-蒙-202211017</t>
  </si>
  <si>
    <t>乌海圆通新增丰网接口</t>
  </si>
  <si>
    <t>华东-川-202212001</t>
  </si>
  <si>
    <t>成都临江中路新南门车站网格仓-取消</t>
  </si>
  <si>
    <t>YF0003</t>
  </si>
  <si>
    <t>骏业环线样机</t>
  </si>
  <si>
    <t>YF0004</t>
  </si>
  <si>
    <t>骏业直线样机</t>
  </si>
  <si>
    <t>YF0005</t>
  </si>
  <si>
    <t>纠偏</t>
  </si>
  <si>
    <t>YF0006</t>
  </si>
  <si>
    <t>拉距五面扫</t>
  </si>
  <si>
    <t>YF0007</t>
  </si>
  <si>
    <t>全自动供件</t>
  </si>
  <si>
    <t>YF0008</t>
  </si>
  <si>
    <t>线体五面扫</t>
  </si>
  <si>
    <t>YF0009</t>
  </si>
  <si>
    <t>摩擦动力新结构</t>
  </si>
  <si>
    <t>YF0010</t>
  </si>
  <si>
    <t>摆臂分拣设备</t>
  </si>
  <si>
    <t>华南-鄂-202212001</t>
  </si>
  <si>
    <t>武汉黄家湖共派改造</t>
  </si>
  <si>
    <t>华南-陕-202203013A</t>
  </si>
  <si>
    <t>西安五校韵达（直线）-拆机</t>
  </si>
  <si>
    <t>华南-粤-202007007WB</t>
  </si>
  <si>
    <t>揭阳仙梅圆通-维保费</t>
  </si>
  <si>
    <t>华南-桂-202212003</t>
  </si>
  <si>
    <t>广西横州共派</t>
  </si>
  <si>
    <t>华南-粤-202212002A</t>
  </si>
  <si>
    <t>深圳福星龙岗圆通-拆机</t>
  </si>
  <si>
    <t>华东-沪-202009008A</t>
  </si>
  <si>
    <t>上海下沙圆通-拆机</t>
  </si>
  <si>
    <t>华东-浙-202009005A</t>
  </si>
  <si>
    <t>南湖圆通-拆机</t>
  </si>
  <si>
    <t>华东-苏-202009009A</t>
  </si>
  <si>
    <t>昆山蓬朗圆通-拆机</t>
  </si>
  <si>
    <t>华东-桂-202009007A</t>
  </si>
  <si>
    <t>柳州北圆通-拆机</t>
  </si>
  <si>
    <t>华东-沪-202011-003A</t>
  </si>
  <si>
    <t>上海中通/江桥中通-拆机</t>
  </si>
  <si>
    <t>华南-粤-202201005A</t>
  </si>
  <si>
    <t>顺德共派-拆机</t>
  </si>
  <si>
    <t>000516A</t>
  </si>
  <si>
    <t>漳州圆通建包仓-拆机</t>
  </si>
  <si>
    <t>000570A</t>
  </si>
  <si>
    <t>佛山松岗圆通（直线）-按票充值-拆机</t>
  </si>
  <si>
    <t>华东-浙-202004004A</t>
  </si>
  <si>
    <t>义乌圆通搬迁-拆机</t>
  </si>
  <si>
    <t>000476A</t>
  </si>
  <si>
    <t>西安明德堡共派-拆机</t>
  </si>
  <si>
    <t>000576A</t>
  </si>
  <si>
    <t>东升圆通二期-拆机</t>
  </si>
  <si>
    <t>华南-苏-202105002A</t>
  </si>
  <si>
    <t>常州新北共派(直线)-拆机</t>
  </si>
  <si>
    <t>华南-黑-202110004A</t>
  </si>
  <si>
    <t>牡丹江韵达（直线）-拆机</t>
  </si>
  <si>
    <t>华东-浙-201808001A</t>
  </si>
  <si>
    <t>义乌北苑韵达-拆机</t>
  </si>
  <si>
    <t>华东-浙-202301007</t>
  </si>
  <si>
    <t>温州乐清共派（直线）</t>
  </si>
  <si>
    <t>华东-豫-202212003</t>
  </si>
  <si>
    <t>河南通许共派</t>
  </si>
  <si>
    <t>华东-浙-202212006</t>
  </si>
  <si>
    <t>瑞安圆通加层改造</t>
  </si>
  <si>
    <t>华南-粤-202309019</t>
  </si>
  <si>
    <t>里水申通四期</t>
  </si>
  <si>
    <t>华南-赣-202212005</t>
  </si>
  <si>
    <t>江西万载共派</t>
  </si>
  <si>
    <t>华东-湘-202212004</t>
  </si>
  <si>
    <t>湖南怀化共派二期</t>
  </si>
  <si>
    <t>华东-京-202212005</t>
  </si>
  <si>
    <t>北京昌平共派-按票充值</t>
  </si>
  <si>
    <t>华南-粤-202111008A</t>
  </si>
  <si>
    <t>花山中通进港（直线）-拆机</t>
  </si>
  <si>
    <t>000577</t>
  </si>
  <si>
    <t>惠州冰塘韵达（直线）</t>
  </si>
  <si>
    <t>000577A</t>
  </si>
  <si>
    <t>惠州冰塘韵达（直线）-拆机</t>
  </si>
  <si>
    <t>华东-豫-202211015</t>
  </si>
  <si>
    <t>濮阳共派</t>
  </si>
  <si>
    <t>华东-晋-202211016</t>
  </si>
  <si>
    <t>山西河津夏县共派（直线）</t>
  </si>
  <si>
    <t>华南-粤-202212007</t>
  </si>
  <si>
    <t>深圳华强韵达（直线）</t>
  </si>
  <si>
    <t>华南-赣-202305007</t>
  </si>
  <si>
    <t>江西丰城中通直线搬迁</t>
  </si>
  <si>
    <t>华东-晋-202301006</t>
  </si>
  <si>
    <t>太原古交共派（直线）</t>
  </si>
  <si>
    <t>华东-浙-202102003A</t>
  </si>
  <si>
    <t>慈溪圆通一期改造\慈溪圆通二期-拆机</t>
  </si>
  <si>
    <t>华南-赣-202103005WB</t>
  </si>
  <si>
    <t>修水共配-维保费</t>
  </si>
  <si>
    <t>华南-赣-202212010</t>
  </si>
  <si>
    <t>江西吉安共派</t>
  </si>
  <si>
    <t>华南-赣-202212008</t>
  </si>
  <si>
    <t>江西宜春邮政</t>
  </si>
  <si>
    <t>华南-云-202212009</t>
  </si>
  <si>
    <t>云南曲靖申通</t>
  </si>
  <si>
    <t>华东-皖-202212009</t>
  </si>
  <si>
    <t>安徽蚌埠韵达</t>
  </si>
  <si>
    <t>华南-皖-202212012</t>
  </si>
  <si>
    <t>安徽无为圆通搬迁</t>
  </si>
  <si>
    <t>华东-鄂-202008015（WB）</t>
  </si>
  <si>
    <t>孝感圆通-维保费</t>
  </si>
  <si>
    <t>华东-冀-202212010</t>
  </si>
  <si>
    <t>沧州青县共派</t>
  </si>
  <si>
    <t>华东-苏-202212008</t>
  </si>
  <si>
    <t>江苏新沂共派</t>
  </si>
  <si>
    <t>华东-闽-202210026A</t>
  </si>
  <si>
    <t>泉州清濛圆通（直线）-拆机</t>
  </si>
  <si>
    <t>华东-浙-202012016-2A</t>
  </si>
  <si>
    <t>慈溪逍林圆通搬迁-拆机</t>
  </si>
  <si>
    <t>华东-京-202301002</t>
  </si>
  <si>
    <t>北京十八里店共派（直线）-按票充值</t>
  </si>
  <si>
    <t>华南-粤-202301002</t>
  </si>
  <si>
    <t>中山古镇极兔</t>
  </si>
  <si>
    <t>华南-粤-202301001</t>
  </si>
  <si>
    <t>人和圆通搬迁改造</t>
  </si>
  <si>
    <t>华东-浙-202207008A</t>
  </si>
  <si>
    <t>萧山韵达搬迁-拆机</t>
  </si>
  <si>
    <t>华南-湘-202301004</t>
  </si>
  <si>
    <t>湖南永州宁远共派</t>
  </si>
  <si>
    <t>华南-新-202301003</t>
  </si>
  <si>
    <t>新疆克拉玛依共配</t>
  </si>
  <si>
    <t>华东-闽-202301001</t>
  </si>
  <si>
    <t>福建平潭共配</t>
  </si>
  <si>
    <t>华东-甘-202301003</t>
  </si>
  <si>
    <t>甘肃民勤共派（直线）</t>
  </si>
  <si>
    <t>YF0011</t>
  </si>
  <si>
    <t>居尚200样机</t>
  </si>
  <si>
    <t>华南-粤-201808001WB</t>
  </si>
  <si>
    <t>深圳坂田中通-维保费</t>
  </si>
  <si>
    <t>华东-沪-202304015</t>
  </si>
  <si>
    <t>上海浦东金桥网格仓（直线）</t>
  </si>
  <si>
    <t>华南-冀-202301007</t>
  </si>
  <si>
    <t>秦皇岛二期</t>
  </si>
  <si>
    <t>华东-浙-202302001</t>
  </si>
  <si>
    <t>温岭申通搬迁</t>
  </si>
  <si>
    <t>华东-鲁-202302004</t>
  </si>
  <si>
    <t>山东鄄城共配</t>
  </si>
  <si>
    <t>华东-沪-202302005</t>
  </si>
  <si>
    <t>上海浦东三林西韵达（直线）-按票充值</t>
  </si>
  <si>
    <t>华南-辽-202301006</t>
  </si>
  <si>
    <t>辽宁盘锦共配（直线）</t>
  </si>
  <si>
    <t>华南-冀-202301008</t>
  </si>
  <si>
    <t>河北肃宁圆通二期</t>
  </si>
  <si>
    <t>华东-川-202302002</t>
  </si>
  <si>
    <t>沐川共派（直线）-取消</t>
  </si>
  <si>
    <t>华东-浙-202302003</t>
  </si>
  <si>
    <t>绍兴共派</t>
  </si>
  <si>
    <t>华南-墨西哥-202301005</t>
  </si>
  <si>
    <t>墨西哥RDC项目</t>
  </si>
  <si>
    <t>华东-浙-202302006</t>
  </si>
  <si>
    <t>湖州圆通出港改造</t>
  </si>
  <si>
    <t>华南-湘-201906001WB</t>
  </si>
  <si>
    <t>长沙岳麓共派（原百世）-维保费-取消</t>
  </si>
  <si>
    <t>华南-蒙-202302002</t>
  </si>
  <si>
    <t>乌海圆通增补</t>
  </si>
  <si>
    <t>华东-皖-202208007A</t>
  </si>
  <si>
    <t>砀山韵达增购</t>
  </si>
  <si>
    <t>CGWX010</t>
  </si>
  <si>
    <t>凌跃</t>
  </si>
  <si>
    <t>华东-浙-202302007</t>
  </si>
  <si>
    <t>杭州同城邮政优速</t>
  </si>
  <si>
    <t>华南-鄂-202302004</t>
  </si>
  <si>
    <t>湖北孝感汉口北申通</t>
  </si>
  <si>
    <t>华南-湘-202302005</t>
  </si>
  <si>
    <t>湖南洪江共配（直线）-取消</t>
  </si>
  <si>
    <t>华南-桂-202302008</t>
  </si>
  <si>
    <t>广西玉林韵达</t>
  </si>
  <si>
    <t>华南-粤-202302006</t>
  </si>
  <si>
    <t>广州竹料中通</t>
  </si>
  <si>
    <t>华南-粤-202302007</t>
  </si>
  <si>
    <t>广州江高中通（直线）</t>
  </si>
  <si>
    <t>华南-粤-202302003</t>
  </si>
  <si>
    <t>深圳横岗极兔</t>
  </si>
  <si>
    <t>华南-桂-202302009</t>
  </si>
  <si>
    <t>南宁青秀共派新增丰网接口</t>
  </si>
  <si>
    <t>华东-皖-202302008</t>
  </si>
  <si>
    <t>滨湖韵达网格仓（直线）</t>
  </si>
  <si>
    <t>华南-青-202302001</t>
  </si>
  <si>
    <t>青海海东化隆共配（直线）</t>
  </si>
  <si>
    <t>华东-浙-202302011</t>
  </si>
  <si>
    <t>黄岩古城极兔</t>
  </si>
  <si>
    <t>华东-冀-202302010</t>
  </si>
  <si>
    <t>廊坊大城中通（直线）</t>
  </si>
  <si>
    <t>华东-京-202302012</t>
  </si>
  <si>
    <t>北京丰台共派（直线）1</t>
  </si>
  <si>
    <t>华东-京-202302013</t>
  </si>
  <si>
    <t>北京丰台共派（直线）2</t>
  </si>
  <si>
    <t>华东-冀-202302009</t>
  </si>
  <si>
    <t>河北肃宁韵达-按票充值</t>
  </si>
  <si>
    <t>华南-蒙-202302010</t>
  </si>
  <si>
    <t>内蒙古满洲里申通（直线）</t>
  </si>
  <si>
    <t>华南-鄂-202302012</t>
  </si>
  <si>
    <t>湖北孝感共派</t>
  </si>
  <si>
    <t>华南-粤-202302011</t>
  </si>
  <si>
    <t>黄埔网格仓极兔对接</t>
  </si>
  <si>
    <t>华南-赣-202302013</t>
  </si>
  <si>
    <t>江西修水共派增购</t>
  </si>
  <si>
    <t>华东-浙-202302015</t>
  </si>
  <si>
    <t>杭州城西网格仓</t>
  </si>
  <si>
    <t>华东-内蒙-202109013WB</t>
  </si>
  <si>
    <t>包头韵达-维保费</t>
  </si>
  <si>
    <t>华东-浙-202302016</t>
  </si>
  <si>
    <t>萧山共派二期搬迁</t>
  </si>
  <si>
    <t>华东-豫-202302018</t>
  </si>
  <si>
    <t>河南武陟圆通-取消</t>
  </si>
  <si>
    <t>华东-豫-202302017</t>
  </si>
  <si>
    <t>河南武陟中通-取消</t>
  </si>
  <si>
    <t>华南-粤-202302020</t>
  </si>
  <si>
    <t>东莞蜂暴云仓</t>
  </si>
  <si>
    <t>华南-粤-202302021</t>
  </si>
  <si>
    <t>深圳横岗申通</t>
  </si>
  <si>
    <t>华东-川-202302021</t>
  </si>
  <si>
    <t>四川阆中共派</t>
  </si>
  <si>
    <t>华东-渝-202302022</t>
  </si>
  <si>
    <t>沙坪坝共派（中通+申通）</t>
  </si>
  <si>
    <t>华东-甘-202302020</t>
  </si>
  <si>
    <t>敦煌共派（直线）</t>
  </si>
  <si>
    <t>华南-粤-202302019</t>
  </si>
  <si>
    <t>中山沙溪申通（直线）</t>
  </si>
  <si>
    <t>华南-宁-202302016</t>
  </si>
  <si>
    <t>宁夏银川贺兰中通（直线）</t>
  </si>
  <si>
    <t>华南-宁-202302014</t>
  </si>
  <si>
    <t>宁夏银川西夏区中通</t>
  </si>
  <si>
    <t>华南-宁-202302017</t>
  </si>
  <si>
    <t>宁夏中宁县中通</t>
  </si>
  <si>
    <t>华南-宁-202302015</t>
  </si>
  <si>
    <t>宁夏中卫中通</t>
  </si>
  <si>
    <t>华南-粤-202302018</t>
  </si>
  <si>
    <t>广东阳江中通</t>
  </si>
  <si>
    <t>华东-冀-202302019</t>
  </si>
  <si>
    <t>平山共派（中通韵达丰网）</t>
  </si>
  <si>
    <t>华南-鄂-202302026</t>
  </si>
  <si>
    <t>咸宁共派</t>
  </si>
  <si>
    <t>华南-鄂-202302025</t>
  </si>
  <si>
    <t>白沙洲共派ORC接口</t>
  </si>
  <si>
    <t>华东-赣-202303001</t>
  </si>
  <si>
    <t>南昌小蓝圆通搬迁</t>
  </si>
  <si>
    <t>华南-贵-202302024</t>
  </si>
  <si>
    <t>贵阳云岩共派（直线）</t>
  </si>
  <si>
    <t>华南-贵-202303003</t>
  </si>
  <si>
    <t>贵州水城共配（直线）</t>
  </si>
  <si>
    <t>华南-粤-202303002</t>
  </si>
  <si>
    <t>人和圆通（直线）</t>
  </si>
  <si>
    <t>华东-冀-202302024</t>
  </si>
  <si>
    <t>邯郸共派新增极兔</t>
  </si>
  <si>
    <t>华东-甘-202303002</t>
  </si>
  <si>
    <t>嘉峪关中通（直线）</t>
  </si>
  <si>
    <t>华南-湘-202303006</t>
  </si>
  <si>
    <t>湖南湘潭共派（直线）</t>
  </si>
  <si>
    <t>华南-粤-202302022</t>
  </si>
  <si>
    <t>佛山金沙共派搬迁改造</t>
  </si>
  <si>
    <t>华南-粤-202303001</t>
  </si>
  <si>
    <t>盐步共派直线二期-按票充值</t>
  </si>
  <si>
    <t>华东-皖-202302023</t>
  </si>
  <si>
    <t>安徽蚌埠怀远共派（直线）增购</t>
  </si>
  <si>
    <t>华南-黑-202302023</t>
  </si>
  <si>
    <t>黑龙江嘉荫共配</t>
  </si>
  <si>
    <t>华南-湘-202303007</t>
  </si>
  <si>
    <t>长沙岳麓中通-取消</t>
  </si>
  <si>
    <t>华东-川-202303003</t>
  </si>
  <si>
    <t>德阳中江圆通-按票充值</t>
  </si>
  <si>
    <t>华东-京-202303005</t>
  </si>
  <si>
    <t>北京朝阳区共派（直线）-按票充值</t>
  </si>
  <si>
    <t>华南-桂-202303004</t>
  </si>
  <si>
    <t>防城港中通（直线）</t>
  </si>
  <si>
    <t>华东-川-202303004</t>
  </si>
  <si>
    <t>雅安九襄摆臂</t>
  </si>
  <si>
    <t>华东-闽-202303006</t>
  </si>
  <si>
    <t>蕉城区共派一期（直线）</t>
  </si>
  <si>
    <t>华南-冀-202303008</t>
  </si>
  <si>
    <t>河北肃宁申通</t>
  </si>
  <si>
    <t>华南-贵-202303010</t>
  </si>
  <si>
    <t>贵州天柱共配（直线）</t>
  </si>
  <si>
    <t>华东-渝-202303007</t>
  </si>
  <si>
    <t>重庆丰都共派</t>
  </si>
  <si>
    <t>华南-琼-202303012</t>
  </si>
  <si>
    <t>海口秀英共派（直线）</t>
  </si>
  <si>
    <t>华南-沪-202303011</t>
  </si>
  <si>
    <t>上海宝山圆通（包头圆通一期搬迁）</t>
  </si>
  <si>
    <t>华南-鄂-202303009</t>
  </si>
  <si>
    <t>鄂州葛店申通</t>
  </si>
  <si>
    <t>华东-甘-202303008</t>
  </si>
  <si>
    <t>天祝共派（直线）</t>
  </si>
  <si>
    <t>华东-闽-202303009</t>
  </si>
  <si>
    <t>莆田中通二部</t>
  </si>
  <si>
    <t>华东-渝-202303025</t>
  </si>
  <si>
    <t>重庆石柱共派</t>
  </si>
  <si>
    <t>华东-冀-202303011</t>
  </si>
  <si>
    <t>黄骅中通-按票充值</t>
  </si>
  <si>
    <t>华南-粤-202011002WB</t>
  </si>
  <si>
    <t>广州南村圆通-维保费</t>
  </si>
  <si>
    <t>华东-浙-202209027A</t>
  </si>
  <si>
    <t>建德中通增购</t>
  </si>
  <si>
    <t>华东-苏-202303013</t>
  </si>
  <si>
    <t>无锡政和网格仓（直线）</t>
  </si>
  <si>
    <t>华东-皖-202303010</t>
  </si>
  <si>
    <t>淮南韵达</t>
  </si>
  <si>
    <t>DW2023001</t>
  </si>
  <si>
    <t>廿三里邮政</t>
  </si>
  <si>
    <t>华东-冀-202101002WB</t>
  </si>
  <si>
    <t>河北蔚县共派直线-维保费</t>
  </si>
  <si>
    <t>华东-川-202303014</t>
  </si>
  <si>
    <t>四川德阳共派</t>
  </si>
  <si>
    <t>华东-闽-202303015</t>
  </si>
  <si>
    <t>福建漳州南靖共派（直线）</t>
  </si>
  <si>
    <t>华南-蒙-202303016</t>
  </si>
  <si>
    <t>内蒙古赤峰韵达</t>
  </si>
  <si>
    <t>华南-蒙-202303015</t>
  </si>
  <si>
    <t>内蒙古通辽韵达</t>
  </si>
  <si>
    <t>华南-粤-202003005CJ</t>
  </si>
  <si>
    <t>珠海圆通拆机</t>
  </si>
  <si>
    <t>华南-黑-202303014</t>
  </si>
  <si>
    <t>黑龙江延寿共派</t>
  </si>
  <si>
    <t>华东-京-202303016</t>
  </si>
  <si>
    <t>北京昌平申通-按票充值</t>
  </si>
  <si>
    <t>华南-桂-202303018</t>
  </si>
  <si>
    <t>广西梧州韵达（直线）</t>
  </si>
  <si>
    <t>华南-粤-202303020</t>
  </si>
  <si>
    <t>潮州申通进港</t>
  </si>
  <si>
    <t>华南-桂-202205002WB</t>
  </si>
  <si>
    <t>广西桂林邮政-维保费</t>
  </si>
  <si>
    <t>华南-粤-202303021</t>
  </si>
  <si>
    <t>增城永和韵达新增极兔接口</t>
  </si>
  <si>
    <t>YF0012</t>
  </si>
  <si>
    <t>研发中心环线样机</t>
  </si>
  <si>
    <t>YF0013</t>
  </si>
  <si>
    <t>研发中心直线样机</t>
  </si>
  <si>
    <t>华南-粤-202303017</t>
  </si>
  <si>
    <t>广州同城邮政</t>
  </si>
  <si>
    <t>华南-粤-202303005</t>
  </si>
  <si>
    <t>光明中通加大改造</t>
  </si>
  <si>
    <t>华南-桂-202303023</t>
  </si>
  <si>
    <t>南宁兴宁共派</t>
  </si>
  <si>
    <t>华南-陇-202303025</t>
  </si>
  <si>
    <t>甘肃酒泉申通</t>
  </si>
  <si>
    <t>华南-京-202303026</t>
  </si>
  <si>
    <t>北京顺义邮政</t>
  </si>
  <si>
    <t>华东-浙-202303019</t>
  </si>
  <si>
    <t>杭州九堡圆通</t>
  </si>
  <si>
    <t>华东-新-202303020</t>
  </si>
  <si>
    <t>库尔勒极兔</t>
  </si>
  <si>
    <t>华东-新-202303021</t>
  </si>
  <si>
    <t>昌吉极兔（直线）</t>
  </si>
  <si>
    <t>华南-蒙-202303022</t>
  </si>
  <si>
    <t>鄂尔多斯共派直线</t>
  </si>
  <si>
    <t>华东-闽-202303017</t>
  </si>
  <si>
    <t>蕉城区共派二期（直线）</t>
  </si>
  <si>
    <t>华东-甘-202303022</t>
  </si>
  <si>
    <t>玉门共派（直线）</t>
  </si>
  <si>
    <t>华南-粤-202303027</t>
  </si>
  <si>
    <t>深圳坪山申通</t>
  </si>
  <si>
    <t>华南-粤-202303032</t>
  </si>
  <si>
    <t>深圳罗湖共派直线</t>
  </si>
  <si>
    <t>华南-粤-202303030</t>
  </si>
  <si>
    <t>惠东中通环线</t>
  </si>
  <si>
    <t>华南-粤-202303029</t>
  </si>
  <si>
    <t>惠东中通直线</t>
  </si>
  <si>
    <t>华东-皖-202303024</t>
  </si>
  <si>
    <t>宁国共派搬迁</t>
  </si>
  <si>
    <t>华南-冀-202303028</t>
  </si>
  <si>
    <t>衡水圆通三期</t>
  </si>
  <si>
    <t>华东-浙-202302007B</t>
  </si>
  <si>
    <t>杭州同城邮政优速补充协议</t>
  </si>
  <si>
    <t>华东-苏-202209008</t>
  </si>
  <si>
    <t>苏州甪胜网格仓（直线）</t>
  </si>
  <si>
    <t>华东-皖-202303026</t>
  </si>
  <si>
    <t>铜陵韵达</t>
  </si>
  <si>
    <t>华东-苏-202304001</t>
  </si>
  <si>
    <t>句容极兔</t>
  </si>
  <si>
    <t>华南-粤-202304001</t>
  </si>
  <si>
    <t>佛山南海圆通搬迁</t>
  </si>
  <si>
    <t>华南-滇-202306006</t>
  </si>
  <si>
    <t>西双版纳申通</t>
  </si>
  <si>
    <t>华东-浙-202304005</t>
  </si>
  <si>
    <t>浙江嘉善共派</t>
  </si>
  <si>
    <t>华东-新-202304004</t>
  </si>
  <si>
    <t>新疆伊宁共派</t>
  </si>
  <si>
    <t>华东-鲁-202303023</t>
  </si>
  <si>
    <t>青岛黄岛江山中路网格仓（直线）</t>
  </si>
  <si>
    <t>DW2023002</t>
  </si>
  <si>
    <t>东莞塘厦中通</t>
  </si>
  <si>
    <t>华东-青-202304007</t>
  </si>
  <si>
    <t>青海海东循化共配（直线）</t>
  </si>
  <si>
    <t>华南-陇-202303028</t>
  </si>
  <si>
    <t>甘肃华亭共派直线</t>
  </si>
  <si>
    <t>YF0014</t>
  </si>
  <si>
    <t>胜尔泰翻板机样机</t>
  </si>
  <si>
    <t>华南-晋-202304014</t>
  </si>
  <si>
    <t>京东年框-取消</t>
  </si>
  <si>
    <t>华南-粤-202304002</t>
  </si>
  <si>
    <t>广州中通云仓直线-按票充值</t>
  </si>
  <si>
    <t>华东-豫-202304002</t>
  </si>
  <si>
    <t>开封韵达（直线）-取消</t>
  </si>
  <si>
    <t>华东-皖-202304008</t>
  </si>
  <si>
    <t>滁州韵达建包仓</t>
  </si>
  <si>
    <t>华东-鲁-202304009</t>
  </si>
  <si>
    <t>青岛平度申通出港</t>
  </si>
  <si>
    <t>华东-浙-202304010</t>
  </si>
  <si>
    <t>嘉善中通</t>
  </si>
  <si>
    <t>YF0015</t>
  </si>
  <si>
    <t>君乐直线样机</t>
  </si>
  <si>
    <t>华南-沙特-202304003</t>
  </si>
  <si>
    <t>沙特利雅得RDC增补</t>
  </si>
  <si>
    <t>华东-皖-202203003-A</t>
  </si>
  <si>
    <t>庐江共配-丰网接口</t>
  </si>
  <si>
    <t>华南-晋-202304006</t>
  </si>
  <si>
    <t>京东高平</t>
  </si>
  <si>
    <t>华东-渝-202304006</t>
  </si>
  <si>
    <t>西南大学城直线拆机</t>
  </si>
  <si>
    <t>华南-赣-202304007</t>
  </si>
  <si>
    <t>余干共派二期</t>
  </si>
  <si>
    <t>华南-贵-202304008</t>
  </si>
  <si>
    <t>贵定中通直线</t>
  </si>
  <si>
    <t>华东-新-202304013</t>
  </si>
  <si>
    <t>新疆奎屯中通（直线）</t>
  </si>
  <si>
    <t>华南-滇-202304011</t>
  </si>
  <si>
    <t>云南曲靖韵达</t>
  </si>
  <si>
    <t>华南-鄂-202304012</t>
  </si>
  <si>
    <t>黄陂共派直线</t>
  </si>
  <si>
    <t>华东-冀-202201006A</t>
  </si>
  <si>
    <t>南宫邮政供包台增购</t>
  </si>
  <si>
    <t>华南-粤-202304009</t>
  </si>
  <si>
    <t>里水极兔</t>
  </si>
  <si>
    <t>华东-浙-202304014</t>
  </si>
  <si>
    <t>义乌北苑邮政</t>
  </si>
  <si>
    <t>华南-滇-202304004</t>
  </si>
  <si>
    <t>云南蒙自共派直线</t>
  </si>
  <si>
    <t>华南-粤-202304010</t>
  </si>
  <si>
    <t>唯品会华南客退</t>
  </si>
  <si>
    <t>华南-蒙-202303031</t>
  </si>
  <si>
    <t>内蒙古阿拉善共派</t>
  </si>
  <si>
    <t>华东-苏-202304012</t>
  </si>
  <si>
    <t>苏州金鸡湖网格仓直线</t>
  </si>
  <si>
    <t>华南-甘-202304015</t>
  </si>
  <si>
    <t>平凉韵达共配直线</t>
  </si>
  <si>
    <t>YF0016</t>
  </si>
  <si>
    <t>RD01</t>
  </si>
  <si>
    <t>YF0017</t>
  </si>
  <si>
    <t>RD02</t>
  </si>
  <si>
    <t>YF0018</t>
  </si>
  <si>
    <t>RD03</t>
  </si>
  <si>
    <t>YF0019</t>
  </si>
  <si>
    <t>RD04</t>
  </si>
  <si>
    <t>YF0020</t>
  </si>
  <si>
    <t>RD05</t>
  </si>
  <si>
    <t>华东-豫-202304017</t>
  </si>
  <si>
    <t>开封圆通搬迁-取消</t>
  </si>
  <si>
    <t>华东-皖-202304018</t>
  </si>
  <si>
    <t>包河韵达仓</t>
  </si>
  <si>
    <t>华南-粤-202304016</t>
  </si>
  <si>
    <t>惠州邮政拆改</t>
  </si>
  <si>
    <t>华南-贵-202304005</t>
  </si>
  <si>
    <t>贵州安龙共配直线</t>
  </si>
  <si>
    <t>华南-粤-202204003WB</t>
  </si>
  <si>
    <t>广州南村中通-维保费</t>
  </si>
  <si>
    <t>华东-京-202304016</t>
  </si>
  <si>
    <t>石景山共派-按票充值</t>
  </si>
  <si>
    <t>华南-粤-202304018</t>
  </si>
  <si>
    <t>增城永和韵达增购</t>
  </si>
  <si>
    <t>华东-苏-202304022</t>
  </si>
  <si>
    <t>仪征韵达（直线）-按票充值</t>
  </si>
  <si>
    <t>华东-津-202203007A</t>
  </si>
  <si>
    <t>天津武清共派韵达接口</t>
  </si>
  <si>
    <t>华东-京-202304023</t>
  </si>
  <si>
    <t>北京玉带河韵达（直线）按票充值</t>
  </si>
  <si>
    <t>华南-甘-202304020</t>
  </si>
  <si>
    <t>武威申通</t>
  </si>
  <si>
    <t>DW2023003</t>
  </si>
  <si>
    <t>对外-新乡圆通（康奋威）</t>
  </si>
  <si>
    <t>YF0021</t>
  </si>
  <si>
    <t>韵昌翻板机样</t>
  </si>
  <si>
    <t>华东-青-202304019</t>
  </si>
  <si>
    <t>西宁圆通中心加层</t>
  </si>
  <si>
    <t>华东-浙-202304020</t>
  </si>
  <si>
    <t>萧山亚运村共派</t>
  </si>
  <si>
    <t>华东-冀-202304021</t>
  </si>
  <si>
    <t>石家庄开发区网格仓直线</t>
  </si>
  <si>
    <t>华东-新-202304024</t>
  </si>
  <si>
    <t>新疆精河共派直线</t>
  </si>
  <si>
    <t>华东-冀-202304025</t>
  </si>
  <si>
    <t>辛集圆通</t>
  </si>
  <si>
    <t>华东-晋-202304011</t>
  </si>
  <si>
    <t>临汾浮山共配（直线）</t>
  </si>
  <si>
    <t>华南-鄂-202304019</t>
  </si>
  <si>
    <t>湖北夷陵共派</t>
  </si>
  <si>
    <t>华南-川-202305004</t>
  </si>
  <si>
    <t>唯品会西南客退</t>
  </si>
  <si>
    <t>华南-粤-202305005</t>
  </si>
  <si>
    <t>芳村中西区中通（直线）</t>
  </si>
  <si>
    <t>华南-赣-202305002</t>
  </si>
  <si>
    <t>于都中通二期</t>
  </si>
  <si>
    <t>华东-冀-202305001</t>
  </si>
  <si>
    <t>衡水阜城共派（直线）-按票充值</t>
  </si>
  <si>
    <t>华南-粤-202305008</t>
  </si>
  <si>
    <t>芳村东区龙溪中通直线</t>
  </si>
  <si>
    <t>华南-赣-202305006</t>
  </si>
  <si>
    <t>修水共派直线</t>
  </si>
  <si>
    <t>华东-浙-202305009</t>
  </si>
  <si>
    <t>天门申通</t>
  </si>
  <si>
    <t>华东-浙-202204010WB</t>
  </si>
  <si>
    <t>廿三里圆通搬迁-维保费</t>
  </si>
  <si>
    <t>华东-浙-202302015A</t>
  </si>
  <si>
    <t>城西网格仓（增加极兔接口）</t>
  </si>
  <si>
    <t>华东-闽-202305003</t>
  </si>
  <si>
    <t>秀屿中通</t>
  </si>
  <si>
    <t>华南-吉-202305009</t>
  </si>
  <si>
    <t>松原共配申通对接</t>
  </si>
  <si>
    <t>华东-苏-202305002</t>
  </si>
  <si>
    <t>徐州沛县共配</t>
  </si>
  <si>
    <t>华南-晋-202305010</t>
  </si>
  <si>
    <t>山西晋城申通转运中心增购</t>
  </si>
  <si>
    <t>华东-新-202305011</t>
  </si>
  <si>
    <t>新疆哈密共派</t>
  </si>
  <si>
    <t>DW2023004</t>
  </si>
  <si>
    <t>肇庆广宁共派</t>
  </si>
  <si>
    <t>华东-皖-202305008</t>
  </si>
  <si>
    <t>合肥经开区网格仓</t>
  </si>
  <si>
    <t>华南-湘-202305011</t>
  </si>
  <si>
    <t>湖南邵阳洞口共配（直线）</t>
  </si>
  <si>
    <t>华东-鲁-202305004</t>
  </si>
  <si>
    <t>诸城邮政</t>
  </si>
  <si>
    <t>华东-浙-202305006</t>
  </si>
  <si>
    <t>余姚极兔</t>
  </si>
  <si>
    <t>华东-冀-202302014</t>
  </si>
  <si>
    <t>保定蠡县共派</t>
  </si>
  <si>
    <t>华南-赣-202305012</t>
  </si>
  <si>
    <t>江西上饶县韵达极兔</t>
  </si>
  <si>
    <t>华南-粤-202106001WB</t>
  </si>
  <si>
    <t>潮州湘桥圆通-维保费</t>
  </si>
  <si>
    <t>华南-粤-202401034</t>
  </si>
  <si>
    <t>汕头谷饶圆通改造升级</t>
  </si>
  <si>
    <t>华东-甘-202302020A</t>
  </si>
  <si>
    <t>敦煌共派增购</t>
  </si>
  <si>
    <t>YF0022</t>
  </si>
  <si>
    <t>泽业400样机</t>
  </si>
  <si>
    <t>YF0023</t>
  </si>
  <si>
    <t>泽业500样机</t>
  </si>
  <si>
    <t>华南-赣-202307014</t>
  </si>
  <si>
    <t>景德镇圆通二期+景德镇圆通二期出港</t>
  </si>
  <si>
    <t>华南-赣-202305014</t>
  </si>
  <si>
    <t>江西抚州宜黄共配（直线）</t>
  </si>
  <si>
    <t>华南-陕-202305015</t>
  </si>
  <si>
    <t>陕西陇县共配</t>
  </si>
  <si>
    <t>华南-粤-202305016</t>
  </si>
  <si>
    <t>花都狮岭韵达网格仓直线</t>
  </si>
  <si>
    <t>华南-粤-202305020</t>
  </si>
  <si>
    <t>广州新市韵达网格仓-取消</t>
  </si>
  <si>
    <t>华南-湘-202305019</t>
  </si>
  <si>
    <t>湖南娄底韵达</t>
  </si>
  <si>
    <t>华南-陇-202303024</t>
  </si>
  <si>
    <t>甘肃山丹共配</t>
  </si>
  <si>
    <t>华东-晋-202305010</t>
  </si>
  <si>
    <t>介休圆通改造</t>
  </si>
  <si>
    <t>华东-粤-202111008A</t>
  </si>
  <si>
    <t>深圳光明共派（直线）-拆机</t>
  </si>
  <si>
    <t>华南-吉-202305023</t>
  </si>
  <si>
    <t>通榆共派增购</t>
  </si>
  <si>
    <t>华南-青-202305021</t>
  </si>
  <si>
    <t>青海海南州共和共配（直线）-取消</t>
  </si>
  <si>
    <t>华南-鄂-202305022</t>
  </si>
  <si>
    <t>恩施中通</t>
  </si>
  <si>
    <t>华东-冀-202305016</t>
  </si>
  <si>
    <t>晋州申通-按票充值</t>
  </si>
  <si>
    <t>华东-鲁-202305014</t>
  </si>
  <si>
    <t>莱州申通（直线）</t>
  </si>
  <si>
    <t>华东-冀-202305017</t>
  </si>
  <si>
    <t>晋州圆通二期</t>
  </si>
  <si>
    <t>华东-鲁-202305015</t>
  </si>
  <si>
    <t>平度申通二期</t>
  </si>
  <si>
    <t>华东-浙-202305020</t>
  </si>
  <si>
    <t>盐仓圆通二期</t>
  </si>
  <si>
    <t>华南-津-202305024</t>
  </si>
  <si>
    <t>天津河西共派中通对接</t>
  </si>
  <si>
    <t>华南-黑-202305003</t>
  </si>
  <si>
    <t>黑龙江五常共派</t>
  </si>
  <si>
    <t>华东-京-202305022</t>
  </si>
  <si>
    <t>北京昌平申通二期-按票充值</t>
  </si>
  <si>
    <t>华南-冀-202306003</t>
  </si>
  <si>
    <t>河北行唐中通（直线）</t>
  </si>
  <si>
    <t>华东-川-202305025</t>
  </si>
  <si>
    <t>青白江圆通</t>
  </si>
  <si>
    <t>华南-吉-202306002</t>
  </si>
  <si>
    <t>松原共配相机增购</t>
  </si>
  <si>
    <t>华东-川-202305026</t>
  </si>
  <si>
    <t>邻水中通-按票充值</t>
  </si>
  <si>
    <t>华东-闽-202305024</t>
  </si>
  <si>
    <t>安海中通</t>
  </si>
  <si>
    <t>华东-冀-202306001</t>
  </si>
  <si>
    <t>沧州吴桥共派（直线）</t>
  </si>
  <si>
    <t>华东-青-202305013</t>
  </si>
  <si>
    <t>青海湟源共配</t>
  </si>
  <si>
    <t>华东-闽-202305012</t>
  </si>
  <si>
    <t>福建龙岩武平共配（直线）</t>
  </si>
  <si>
    <t>华东-浙-202306002</t>
  </si>
  <si>
    <t>九堡圆通供包台增购</t>
  </si>
  <si>
    <t>华南-赣-202306005</t>
  </si>
  <si>
    <t>修水共派2号机</t>
  </si>
  <si>
    <t>华东-浙-202306003</t>
  </si>
  <si>
    <t>临平韵达改造</t>
  </si>
  <si>
    <t>YF0024</t>
  </si>
  <si>
    <t>研发中心双层供包台测试</t>
  </si>
  <si>
    <t>YF0025</t>
  </si>
  <si>
    <t>播种墙分拣设备</t>
  </si>
  <si>
    <t>YF0026</t>
  </si>
  <si>
    <t>大件分拣（君乐）</t>
  </si>
  <si>
    <t>YF0027</t>
  </si>
  <si>
    <t>泽业环线样机</t>
  </si>
  <si>
    <t>华东-鲁-202305021</t>
  </si>
  <si>
    <t>昌邑邮政</t>
  </si>
  <si>
    <t>华南-冀-202306001</t>
  </si>
  <si>
    <t>河北枣强申通</t>
  </si>
  <si>
    <t>华东-晋-202305023</t>
  </si>
  <si>
    <t>山西黎城共派（直线）</t>
  </si>
  <si>
    <t>华南-鄂-202306011</t>
  </si>
  <si>
    <t>武汉江岸二七共派（直线）</t>
  </si>
  <si>
    <t>华东-苏-201910002A</t>
  </si>
  <si>
    <t>苏州相城圆通接口费</t>
  </si>
  <si>
    <t>华南-蒙-202306009</t>
  </si>
  <si>
    <t>包头圆通三期自动供包</t>
  </si>
  <si>
    <t>华东-新-202306007</t>
  </si>
  <si>
    <t>新疆喀什极兔</t>
  </si>
  <si>
    <t>华南-冀-202306010</t>
  </si>
  <si>
    <t>河北衡水邮政</t>
  </si>
  <si>
    <t>华东-川-202306009</t>
  </si>
  <si>
    <t>四川大竹申通-按票充值</t>
  </si>
  <si>
    <t>华南-吉-202206005A</t>
  </si>
  <si>
    <t>长春北湖网格仓搬迁</t>
  </si>
  <si>
    <t>华东-皖-202306013</t>
  </si>
  <si>
    <t>安徽肥东韵达</t>
  </si>
  <si>
    <t>华东-美国-202305018</t>
  </si>
  <si>
    <t>美国SUYOU TRADING INC.项目</t>
  </si>
  <si>
    <t>华东-浙-202305019</t>
  </si>
  <si>
    <t>上虞中通</t>
  </si>
  <si>
    <t>华南-粤-202306007</t>
  </si>
  <si>
    <t>广州南沙韵达网格仓-取消</t>
  </si>
  <si>
    <t>华南-陇-202306004</t>
  </si>
  <si>
    <t>甘肃临潭共派直线</t>
  </si>
  <si>
    <t>华东-皖-202306014</t>
  </si>
  <si>
    <t>长丰韵达改造</t>
  </si>
  <si>
    <t>华南-滇-202306012</t>
  </si>
  <si>
    <t>云南宣威中通</t>
  </si>
  <si>
    <t>华东-浙-202306004</t>
  </si>
  <si>
    <t>嘉兴中通二期</t>
  </si>
  <si>
    <t>华东-新-202306005</t>
  </si>
  <si>
    <t>新疆吐鲁番共派（直线）</t>
  </si>
  <si>
    <t>华东-晋-202306006</t>
  </si>
  <si>
    <t>山西临汾吉县共派（直线）</t>
  </si>
  <si>
    <t>华南-湘-202306008</t>
  </si>
  <si>
    <t>湖南溆浦共配</t>
  </si>
  <si>
    <t>华东-浙-202306015</t>
  </si>
  <si>
    <t>黄岩中通二期</t>
  </si>
  <si>
    <t>华南-泰-202306013</t>
  </si>
  <si>
    <t>泰国项目流水线皮带增购</t>
  </si>
  <si>
    <t>华东-闽-202306018</t>
  </si>
  <si>
    <t>泉州百世二期</t>
  </si>
  <si>
    <t>YF0028</t>
  </si>
  <si>
    <t>名创翻板机</t>
  </si>
  <si>
    <t>华东-沪-202306012</t>
  </si>
  <si>
    <t>上海奉贤邮政</t>
  </si>
  <si>
    <t>华东-苏-202306010</t>
  </si>
  <si>
    <t>南京双拜巷网格仓</t>
  </si>
  <si>
    <t>华东-川-202306008</t>
  </si>
  <si>
    <t>四川渠县申通-按票充值</t>
  </si>
  <si>
    <t>华南-粤-202306015</t>
  </si>
  <si>
    <t>深圳清湖申通</t>
  </si>
  <si>
    <t>华南-粤-202306016</t>
  </si>
  <si>
    <t>普宁西圆通-按票充值</t>
  </si>
  <si>
    <t>华南-鄂-202306014</t>
  </si>
  <si>
    <t>湖北咸宁赤壁共派</t>
  </si>
  <si>
    <t>华南-泰-202306017</t>
  </si>
  <si>
    <t>泰国项目流水线配件及备件增购</t>
  </si>
  <si>
    <t>华东-冀-202306016</t>
  </si>
  <si>
    <t>河北唐山南堡共配（直线）</t>
  </si>
  <si>
    <t>华东-京-202306019</t>
  </si>
  <si>
    <t>北京房山共派（直线）</t>
  </si>
  <si>
    <t>华南-沪-202303011A</t>
  </si>
  <si>
    <t>上海宝山圆通增购</t>
  </si>
  <si>
    <t>DW2023005</t>
  </si>
  <si>
    <t>转塘圆通</t>
  </si>
  <si>
    <t>华东-川-202306020</t>
  </si>
  <si>
    <t>四川丹棱共派（直线）</t>
  </si>
  <si>
    <t>华东-京-202306021</t>
  </si>
  <si>
    <t>北京张家湾共派（直线）</t>
  </si>
  <si>
    <t>华东-甘-202306022</t>
  </si>
  <si>
    <t>甘肃榆中共派直线</t>
  </si>
  <si>
    <t>华东-闽-202306023</t>
  </si>
  <si>
    <t>霞浦中通</t>
  </si>
  <si>
    <t>华东-京-202306024</t>
  </si>
  <si>
    <t>北京通州万达共派（直线）-按票充值-取消</t>
  </si>
  <si>
    <t>华东-豫-202306025</t>
  </si>
  <si>
    <t>河南汝州共配直线</t>
  </si>
  <si>
    <t>华东-川-202306025</t>
  </si>
  <si>
    <t>新都韵达（直线）-按票充值</t>
  </si>
  <si>
    <t>CGWX011</t>
  </si>
  <si>
    <t>卓尚</t>
  </si>
  <si>
    <t>华东-浙-202307001</t>
  </si>
  <si>
    <t>瓯海中通</t>
  </si>
  <si>
    <t>华东-皖-202307002</t>
  </si>
  <si>
    <t>蒙城中通</t>
  </si>
  <si>
    <t>华南-粤-202307001</t>
  </si>
  <si>
    <t>揭阳揭东申通</t>
  </si>
  <si>
    <t>华东-冀-202307003</t>
  </si>
  <si>
    <t>保定清苑中通（直线）-按票充值</t>
  </si>
  <si>
    <t>华南-川-202306018</t>
  </si>
  <si>
    <t>唯品会西南仓环线改造</t>
  </si>
  <si>
    <t>华南-赣-202306020</t>
  </si>
  <si>
    <t>江西九江都昌共派</t>
  </si>
  <si>
    <t>华东-津-202307010</t>
  </si>
  <si>
    <t>天津河北区共派（直线）-按票充值</t>
  </si>
  <si>
    <t>华东-京-202307009</t>
  </si>
  <si>
    <t>北京大兴邮政分拨中心</t>
  </si>
  <si>
    <t>YF0029</t>
  </si>
  <si>
    <t>RD06</t>
  </si>
  <si>
    <t>华东-苏-202107013A</t>
  </si>
  <si>
    <t>稠江丰网转韵达接口费</t>
  </si>
  <si>
    <t>华南-赣-202205010A</t>
  </si>
  <si>
    <t>江西都昌共派（直线）-拆机</t>
  </si>
  <si>
    <t>CGWX012</t>
  </si>
  <si>
    <t>汇佳</t>
  </si>
  <si>
    <t>华南-粤-202111006WB</t>
  </si>
  <si>
    <t>东莞厚街韵达-维保费</t>
  </si>
  <si>
    <t>华东-冀-202307006</t>
  </si>
  <si>
    <t>晋州韵达-按票充值</t>
  </si>
  <si>
    <t>华东-蒙-202307005</t>
  </si>
  <si>
    <t>赤峰敖汉旗极兔（直线）-按票充值</t>
  </si>
  <si>
    <t>华东-苏-202307007</t>
  </si>
  <si>
    <t>秦淮五部共配</t>
  </si>
  <si>
    <t>华南-赣-202307003</t>
  </si>
  <si>
    <t>江西上饶中通</t>
  </si>
  <si>
    <t>华东-皖-202307013</t>
  </si>
  <si>
    <t>黄山邮政搬迁</t>
  </si>
  <si>
    <t>华东-沪-202307012</t>
  </si>
  <si>
    <t>上海松江西部韵达-按票充值</t>
  </si>
  <si>
    <t>华南-粤-202307004</t>
  </si>
  <si>
    <t>深圳万邦常平分拣中心</t>
  </si>
  <si>
    <t>华东-川-202307014</t>
  </si>
  <si>
    <t>四川温江中通-按票充值</t>
  </si>
  <si>
    <t>华南-贵-202307005</t>
  </si>
  <si>
    <t>贵州贞丰中通直线</t>
  </si>
  <si>
    <t>华东-浙-202307015</t>
  </si>
  <si>
    <t>余姚极兔二期</t>
  </si>
  <si>
    <t>华南-粤-202305016A</t>
  </si>
  <si>
    <t>花都狮岭韵达网格仓极兔对接</t>
  </si>
  <si>
    <t>华东-沪-202307017</t>
  </si>
  <si>
    <t>上海青浦韵达</t>
  </si>
  <si>
    <t>华东-浙-202307016</t>
  </si>
  <si>
    <t>武义邮政</t>
  </si>
  <si>
    <t>华东-皖-202307018</t>
  </si>
  <si>
    <t>蚌埠大学城韵达</t>
  </si>
  <si>
    <t>华南-粤-202307006</t>
  </si>
  <si>
    <t>茂名高州中通（直线）</t>
  </si>
  <si>
    <t>华东-川-202307019</t>
  </si>
  <si>
    <t>绵阳安县中通-按票充值</t>
  </si>
  <si>
    <t>华南-桂-202307007</t>
  </si>
  <si>
    <t>广西南宁良庆中通</t>
  </si>
  <si>
    <t>华南-粤-202307008</t>
  </si>
  <si>
    <t>潮州庵埠申通（任丘极兔搬迁）-取消</t>
  </si>
  <si>
    <t>华南-贵-202307002</t>
  </si>
  <si>
    <t>贵州铜仁印江共配直线</t>
  </si>
  <si>
    <t>华东-晋-202307023</t>
  </si>
  <si>
    <t>太谷圆通搬迁</t>
  </si>
  <si>
    <t>华东-津-202307024</t>
  </si>
  <si>
    <t>武清邮政</t>
  </si>
  <si>
    <t>华东-苏-202307025</t>
  </si>
  <si>
    <t>东海申通二期</t>
  </si>
  <si>
    <t>华东-鲁-202307026</t>
  </si>
  <si>
    <t>德州韵达-按票充值-取消</t>
  </si>
  <si>
    <t>华东-冀-202307027</t>
  </si>
  <si>
    <t>泊头中通（直线）-按票充值</t>
  </si>
  <si>
    <t>华南-冀-202307013</t>
  </si>
  <si>
    <t>河北保定蠡县中通</t>
  </si>
  <si>
    <t>华东-鲁-202307029</t>
  </si>
  <si>
    <t>聊城中通拆机</t>
  </si>
  <si>
    <t>华南-桂-202307009</t>
  </si>
  <si>
    <t>广西河池金城江邮政</t>
  </si>
  <si>
    <t>华南-粤-202307010</t>
  </si>
  <si>
    <t>广东廉江圆通（直线）</t>
  </si>
  <si>
    <t>华南-粤-202307011</t>
  </si>
  <si>
    <t>中山三角邮政</t>
  </si>
  <si>
    <t>华东-津-202307028</t>
  </si>
  <si>
    <t>天津静海韵达</t>
  </si>
  <si>
    <t>华东-晋-202307020</t>
  </si>
  <si>
    <t>山西代县共配直线</t>
  </si>
  <si>
    <t>华东-冀-202307022</t>
  </si>
  <si>
    <t>承德高新共配直线</t>
  </si>
  <si>
    <t>华南-陇-202307012</t>
  </si>
  <si>
    <t>甘肃陇南成县共派直线</t>
  </si>
  <si>
    <t>华东-浙-202107013WB</t>
  </si>
  <si>
    <t>金华稠江丰网建包仓维保费</t>
  </si>
  <si>
    <t>华南-青-202306019</t>
  </si>
  <si>
    <t>青海称多共派（直线）</t>
  </si>
  <si>
    <t>华东-川-202307030</t>
  </si>
  <si>
    <t>遂宁中通-按票充值</t>
  </si>
  <si>
    <t>华南-桂-202307016</t>
  </si>
  <si>
    <t>广西灵山中通（直线）</t>
  </si>
  <si>
    <t>华南-粤-202307017</t>
  </si>
  <si>
    <t>番禺石碁中通</t>
  </si>
  <si>
    <t>华东-闽-202307031</t>
  </si>
  <si>
    <t>石狮韵达搬迁</t>
  </si>
  <si>
    <t>华南-赣-202308003</t>
  </si>
  <si>
    <t>江西赣州寻乌中通</t>
  </si>
  <si>
    <t>华南-粤-202308001</t>
  </si>
  <si>
    <t>番禺石碁圆通</t>
  </si>
  <si>
    <t>华东-浙-202304010A</t>
  </si>
  <si>
    <t>嘉善共派增购</t>
  </si>
  <si>
    <t>华南-吉-202307018</t>
  </si>
  <si>
    <t>榆树共派新增韵达接口</t>
  </si>
  <si>
    <t>华东-鄂-202204002A</t>
  </si>
  <si>
    <t>武汉光谷共配（直线）-拆机</t>
  </si>
  <si>
    <t>华东-豫-202206007A</t>
  </si>
  <si>
    <t>蔚县共派新增极兔接口</t>
  </si>
  <si>
    <t>华东-晋-202308001</t>
  </si>
  <si>
    <t>忻州定襄共派</t>
  </si>
  <si>
    <t>华东-京-202306017</t>
  </si>
  <si>
    <t>北京国贸申通</t>
  </si>
  <si>
    <t>华南-粤-202001001WB</t>
  </si>
  <si>
    <t>普宁东圆通维保费</t>
  </si>
  <si>
    <t>华东-苏-202308002</t>
  </si>
  <si>
    <t>江阴祝塘韵达直线-按票充值</t>
  </si>
  <si>
    <t>华南-陕-202308004</t>
  </si>
  <si>
    <t>西安三原拼多多</t>
  </si>
  <si>
    <t>华南-鄂-202308007</t>
  </si>
  <si>
    <t>湖北屈家岭共配直线</t>
  </si>
  <si>
    <t>华南-粤-202307015</t>
  </si>
  <si>
    <t>花都狮岭邮政</t>
  </si>
  <si>
    <t>华南-粤-202308005</t>
  </si>
  <si>
    <t>广东大源极兔</t>
  </si>
  <si>
    <t>华东-浙-202308004</t>
  </si>
  <si>
    <t>顺丰义乌KA仓直线</t>
  </si>
  <si>
    <t>华南-湘-202308008</t>
  </si>
  <si>
    <t>湖南娄底中通直线</t>
  </si>
  <si>
    <t>华东-苏-202208021A</t>
  </si>
  <si>
    <t>吴江菀坪出港-拆机</t>
  </si>
  <si>
    <t>DW2023006</t>
  </si>
  <si>
    <t>乐清中通</t>
  </si>
  <si>
    <t>华南-粤-202308010</t>
  </si>
  <si>
    <t>广东廉江申通直线</t>
  </si>
  <si>
    <t>华南-粤-202308011</t>
  </si>
  <si>
    <t>佛山三水乐平共配</t>
  </si>
  <si>
    <t>华南-赣-202308013</t>
  </si>
  <si>
    <t>江西宜春中通</t>
  </si>
  <si>
    <t>华南-粤-202308006</t>
  </si>
  <si>
    <t>广州穗东邮政</t>
  </si>
  <si>
    <t>华南-吉-202210006A</t>
  </si>
  <si>
    <t>吉林申通二期（直线）拆机</t>
  </si>
  <si>
    <t>华东-苏-202308003</t>
  </si>
  <si>
    <t>南京马道街网格仓</t>
  </si>
  <si>
    <t>华东-川-202308011</t>
  </si>
  <si>
    <t>南充高坪共配</t>
  </si>
  <si>
    <t>华东-冀-202308013</t>
  </si>
  <si>
    <t>廊坊三河极兔</t>
  </si>
  <si>
    <t>华东-闽-202308006</t>
  </si>
  <si>
    <t>福建南平政和共派直线</t>
  </si>
  <si>
    <t>华东-渝-202308005</t>
  </si>
  <si>
    <t>永川共派</t>
  </si>
  <si>
    <t>华南-贵-202308015</t>
  </si>
  <si>
    <t>贵州都匀共配直线</t>
  </si>
  <si>
    <t>华东-闽-202308007</t>
  </si>
  <si>
    <t>旗山邮政</t>
  </si>
  <si>
    <t>华东-新-202308012</t>
  </si>
  <si>
    <t>伊宁申通</t>
  </si>
  <si>
    <t>华南-鄂-202308014</t>
  </si>
  <si>
    <t>湖北襄阳宜城共派</t>
  </si>
  <si>
    <t>华南-吉-202307020</t>
  </si>
  <si>
    <t>吉林长春双阳共配</t>
  </si>
  <si>
    <t>华东-浙-202204006WB</t>
  </si>
  <si>
    <t>宁波北仑韵达二期维保费</t>
  </si>
  <si>
    <t>华南-粤-202308018</t>
  </si>
  <si>
    <t>佛山陈村共派</t>
  </si>
  <si>
    <t>华南-粤-202308017</t>
  </si>
  <si>
    <t>虎门韵达直线</t>
  </si>
  <si>
    <t>华南-贵-202308022</t>
  </si>
  <si>
    <t>贵州织金极兔</t>
  </si>
  <si>
    <t>华南-桂-202308012</t>
  </si>
  <si>
    <t>广西田东百色共配</t>
  </si>
  <si>
    <t>华东-闽-202308008</t>
  </si>
  <si>
    <t>叶厦路邮政</t>
  </si>
  <si>
    <t>华南-滇-202308016</t>
  </si>
  <si>
    <t>云南建水中通</t>
  </si>
  <si>
    <t>华南-鄂-202308019</t>
  </si>
  <si>
    <t>流芳项目新增OCR接口</t>
  </si>
  <si>
    <t>华南-粤-202308021</t>
  </si>
  <si>
    <t>塘厦圆通二期</t>
  </si>
  <si>
    <t>华南-粤-202308020</t>
  </si>
  <si>
    <t>茂名电白中通直线</t>
  </si>
  <si>
    <t>华南-粤-202308024</t>
  </si>
  <si>
    <t>汕头龙湖中通</t>
  </si>
  <si>
    <t>华东-冀-202308016</t>
  </si>
  <si>
    <t>蠡县圆通</t>
  </si>
  <si>
    <t>000534A</t>
  </si>
  <si>
    <t>下骆宅韵达-拆机</t>
  </si>
  <si>
    <t>华东-冀-202308017</t>
  </si>
  <si>
    <t>徐水中通-按票充值</t>
  </si>
  <si>
    <t>华东-川-202308018</t>
  </si>
  <si>
    <t>自贡邮政</t>
  </si>
  <si>
    <t>华东-鄂-202308017</t>
  </si>
  <si>
    <t>湖北沙洋邮政</t>
  </si>
  <si>
    <t>华东-豫-202308019</t>
  </si>
  <si>
    <t>商丘梁园申通</t>
  </si>
  <si>
    <t>华南-青-202308026</t>
  </si>
  <si>
    <t>青海西宁中通-按票充值</t>
  </si>
  <si>
    <t>华东-冀-202308020</t>
  </si>
  <si>
    <t>辛集中通-按票充值</t>
  </si>
  <si>
    <t>华东-浙-202308022</t>
  </si>
  <si>
    <t>黄岩古城极兔增购格口错分系统</t>
  </si>
  <si>
    <t>华东-川-202308023</t>
  </si>
  <si>
    <t>西充中通-按票充值</t>
  </si>
  <si>
    <t>华南-湘-202308025</t>
  </si>
  <si>
    <t>湖南新邵县共配</t>
  </si>
  <si>
    <t>华南-贵-202308027</t>
  </si>
  <si>
    <t>贵州黔东南三穗共配直线</t>
  </si>
  <si>
    <t>华东-川-202308025</t>
  </si>
  <si>
    <t>乐山夹江中通直线</t>
  </si>
  <si>
    <t>华东-浙-202209020A</t>
  </si>
  <si>
    <t>台州黄岩圆通错分报警系统项目-取消</t>
  </si>
  <si>
    <t>华南-赣-202308028</t>
  </si>
  <si>
    <t>九江柴桑项目改造</t>
  </si>
  <si>
    <t>华东-晋-202308021</t>
  </si>
  <si>
    <t>山西汾西共配直线</t>
  </si>
  <si>
    <t>华南-吉-202308029</t>
  </si>
  <si>
    <t>吉林长春南关共配直线</t>
  </si>
  <si>
    <t>华东-浙-202308027</t>
  </si>
  <si>
    <t>转塘共派直线</t>
  </si>
  <si>
    <t>华东-川-202308029</t>
  </si>
  <si>
    <t>四川崇州中通-按票充值</t>
  </si>
  <si>
    <t>华东-苏-202403019</t>
  </si>
  <si>
    <t>扬州邗江韵达-按票充值</t>
  </si>
  <si>
    <t>华东-苏-202308028</t>
  </si>
  <si>
    <t>南通中邮</t>
  </si>
  <si>
    <t>华南-滇-202308031</t>
  </si>
  <si>
    <t>云南南涧共派直线</t>
  </si>
  <si>
    <t>华南-滇-202309002</t>
  </si>
  <si>
    <t>云南昆明晋城共派直线</t>
  </si>
  <si>
    <t>华东-新-202309001</t>
  </si>
  <si>
    <t>新疆和静县共派直线</t>
  </si>
  <si>
    <t>华东-冀-202309002</t>
  </si>
  <si>
    <t>河北深泽申通-按票充值</t>
  </si>
  <si>
    <t>华东-川-202309003</t>
  </si>
  <si>
    <t>温江申通-按票充值</t>
  </si>
  <si>
    <t>华南-沙特-202308030</t>
  </si>
  <si>
    <t>沙特RRDC输送线项目</t>
  </si>
  <si>
    <t>华东-浙-202012004A</t>
  </si>
  <si>
    <t>黄岩中通一期拆机</t>
  </si>
  <si>
    <t>华东-苏-202309004</t>
  </si>
  <si>
    <t>吴江中通</t>
  </si>
  <si>
    <t>华东-京-202309005</t>
  </si>
  <si>
    <t>北京通州邮政</t>
  </si>
  <si>
    <t>华东-豫-202309006</t>
  </si>
  <si>
    <t>虞城共配二期</t>
  </si>
  <si>
    <t>华南-桂-202309003</t>
  </si>
  <si>
    <t>广西浦北中通直线</t>
  </si>
  <si>
    <t>华东-鄂-202309008</t>
  </si>
  <si>
    <t>湖北十堰邮政</t>
  </si>
  <si>
    <t>华南-粤-202309004</t>
  </si>
  <si>
    <t>佛山三水顺丰直线</t>
  </si>
  <si>
    <t>华南-墨西哥-202301005D</t>
  </si>
  <si>
    <t>华灵云墨西哥增补</t>
  </si>
  <si>
    <t>ZD003</t>
  </si>
  <si>
    <t>荔城中通</t>
  </si>
  <si>
    <t>华东-冀-202309007</t>
  </si>
  <si>
    <t>新乐申通（直线）-按票充值</t>
  </si>
  <si>
    <t>华东-宁-202309009</t>
  </si>
  <si>
    <t>银川邮政-取消</t>
  </si>
  <si>
    <t>华东-京-202309012</t>
  </si>
  <si>
    <t>顺义南部共派直线</t>
  </si>
  <si>
    <t>华东-闽-202309011</t>
  </si>
  <si>
    <t>福建连城中通</t>
  </si>
  <si>
    <t>华南-云-202309006</t>
  </si>
  <si>
    <t>云南红河元阳共派直线</t>
  </si>
  <si>
    <t>华东-晋-202309013</t>
  </si>
  <si>
    <t>介休中通直线</t>
  </si>
  <si>
    <t>华南-桂-202308002</t>
  </si>
  <si>
    <t>广西桂林全州共配</t>
  </si>
  <si>
    <t>华东-浙-202308024</t>
  </si>
  <si>
    <t>温州邮政改造</t>
  </si>
  <si>
    <t>华南-辽-202309009</t>
  </si>
  <si>
    <t>沈阳新民中通直线</t>
  </si>
  <si>
    <t>华南-桂-202309007</t>
  </si>
  <si>
    <t>广西合浦中通</t>
  </si>
  <si>
    <t>华东-闽-202309014</t>
  </si>
  <si>
    <t>泉州东海中通二期</t>
  </si>
  <si>
    <t>华东-闽-202308015</t>
  </si>
  <si>
    <t>洛江中通</t>
  </si>
  <si>
    <t>华东-渝-202309016</t>
  </si>
  <si>
    <t>重庆江津邮政</t>
  </si>
  <si>
    <t>华东-鲁-202309020</t>
  </si>
  <si>
    <t>乐陵共派二期</t>
  </si>
  <si>
    <t>华东-鲁-202309021</t>
  </si>
  <si>
    <t>郯城共派搬迁</t>
  </si>
  <si>
    <t>华南-湘-202309008</t>
  </si>
  <si>
    <t>湖南临湘共配</t>
  </si>
  <si>
    <t>华东-川-202309017</t>
  </si>
  <si>
    <t>四川泸州纳溪中通直线（作废）-按票充值</t>
  </si>
  <si>
    <t>华南-桂-202309011</t>
  </si>
  <si>
    <t>广西玉林贺州输送设备</t>
  </si>
  <si>
    <t>华东-鄂-202309022</t>
  </si>
  <si>
    <t>湖北咸宁通山邮政</t>
  </si>
  <si>
    <t>华东-川-202309023</t>
  </si>
  <si>
    <t>西昌雷波韵达直线</t>
  </si>
  <si>
    <t>华南-赣-202309012</t>
  </si>
  <si>
    <t>南昌县小蓝中通</t>
  </si>
  <si>
    <t>华南-粤-202309013</t>
  </si>
  <si>
    <t>东莞大朗韵达搬迁</t>
  </si>
  <si>
    <t>华东-京-202309025</t>
  </si>
  <si>
    <t>北京海淀共派-按票充值</t>
  </si>
  <si>
    <t>华东-苏-202309027</t>
  </si>
  <si>
    <t>东海申通三期</t>
  </si>
  <si>
    <t>华东-新-202309024</t>
  </si>
  <si>
    <t>新疆和田共配直线</t>
  </si>
  <si>
    <t>华东-苏-202309019</t>
  </si>
  <si>
    <t>盐城市新街镇共配</t>
  </si>
  <si>
    <t>华南-辽-202309015</t>
  </si>
  <si>
    <t>辽宁盖州中通直线-取消</t>
  </si>
  <si>
    <t>华东-浙-202012014WB</t>
  </si>
  <si>
    <t>永康圆通出港维保费</t>
  </si>
  <si>
    <t>华东-闽-202010002-1WB</t>
  </si>
  <si>
    <t>莆田韵达维保费</t>
  </si>
  <si>
    <t>华东-藏-202309029</t>
  </si>
  <si>
    <t>西藏拉萨共配</t>
  </si>
  <si>
    <t>华东-苏-202309028</t>
  </si>
  <si>
    <t>苏州建包仓邮政搬迁</t>
  </si>
  <si>
    <t>华东-苏-202309031</t>
  </si>
  <si>
    <t>淮安金湖共配</t>
  </si>
  <si>
    <t>华东-晋-202309032</t>
  </si>
  <si>
    <t>灵石共配直线</t>
  </si>
  <si>
    <t>华南-赣-202309016</t>
  </si>
  <si>
    <t>江西南昌邮政</t>
  </si>
  <si>
    <t>华东-鲁-202309030</t>
  </si>
  <si>
    <t>临沂北城一部中通-按月充值</t>
  </si>
  <si>
    <t>华南-贵-202309017</t>
  </si>
  <si>
    <t>铜仁东陆港共配</t>
  </si>
  <si>
    <t>华南-粤-202309018</t>
  </si>
  <si>
    <t>东莞长安韵达二期</t>
  </si>
  <si>
    <t>华南-黑-202309022</t>
  </si>
  <si>
    <t>牡丹江邮政</t>
  </si>
  <si>
    <t>华南-黑-202309021</t>
  </si>
  <si>
    <t>佳木斯邮政</t>
  </si>
  <si>
    <t>华南-黑-202309020</t>
  </si>
  <si>
    <t>大庆邮政</t>
  </si>
  <si>
    <t>华东-辽-202308009</t>
  </si>
  <si>
    <t>圆通大连中心出港改造</t>
  </si>
  <si>
    <t>华南-赣-202309023</t>
  </si>
  <si>
    <t>景德镇韵达</t>
  </si>
  <si>
    <t>华南-赣-202309024</t>
  </si>
  <si>
    <t>景德镇极兔</t>
  </si>
  <si>
    <t>华南-粤-202309025</t>
  </si>
  <si>
    <t>中山东凤极兔</t>
  </si>
  <si>
    <t>华东-川-202309033</t>
  </si>
  <si>
    <t>四川资阳中通-按票充值</t>
  </si>
  <si>
    <t>华东-鲁-202303023A</t>
  </si>
  <si>
    <t>青岛黄岛江山中通网格仓极兔接口</t>
  </si>
  <si>
    <t>华南-粤-202207017A</t>
  </si>
  <si>
    <t>汕尾市城区中通（直线）拆机</t>
  </si>
  <si>
    <t>华东-苏-202109008A</t>
  </si>
  <si>
    <t>南京江宁大学城韵达（直线）拆机</t>
  </si>
  <si>
    <t>华东-渝-202309034</t>
  </si>
  <si>
    <t>渝北圆通直线</t>
  </si>
  <si>
    <t>华南-粤-202309026</t>
  </si>
  <si>
    <t>河源邮政</t>
  </si>
  <si>
    <t>华南-青-202309027</t>
  </si>
  <si>
    <t>青海格尔木共配</t>
  </si>
  <si>
    <t>华东-川-202309035</t>
  </si>
  <si>
    <t>盐亭共派</t>
  </si>
  <si>
    <t>华南-粤-202106005A</t>
  </si>
  <si>
    <t>南村丰网-拆机</t>
  </si>
  <si>
    <t>华东-粤-202108014A</t>
  </si>
  <si>
    <t>东莞长安韵达拆机</t>
  </si>
  <si>
    <t>华东-冀-202309037</t>
  </si>
  <si>
    <t>河北磁县共派</t>
  </si>
  <si>
    <t>华东-沪-202309036</t>
  </si>
  <si>
    <t>闵行吴中路极兔直线-按票充值</t>
  </si>
  <si>
    <t>华南-贵-202309031</t>
  </si>
  <si>
    <t>六盘水中通直线</t>
  </si>
  <si>
    <t>华南-粤-202309030</t>
  </si>
  <si>
    <t>廉江中通直线</t>
  </si>
  <si>
    <t>华南-辽-202309028</t>
  </si>
  <si>
    <t>沈阳沈北中通</t>
  </si>
  <si>
    <t>华东-冀-202309038</t>
  </si>
  <si>
    <t>固安申通-按票充值</t>
  </si>
  <si>
    <t>华南-冀-202309032</t>
  </si>
  <si>
    <t>河北邯郸申通</t>
  </si>
  <si>
    <t>华东-川-202309039</t>
  </si>
  <si>
    <t>成都孵化园中通-按票充值</t>
  </si>
  <si>
    <t>华东-冀-202309045</t>
  </si>
  <si>
    <t>无极申通-按票充值</t>
  </si>
  <si>
    <t>华东-闽-202309044</t>
  </si>
  <si>
    <t>仙游中通</t>
  </si>
  <si>
    <t>华东-闽-202309043</t>
  </si>
  <si>
    <t>仙游极兔</t>
  </si>
  <si>
    <t>华东-浙-202309042</t>
  </si>
  <si>
    <t>桐乡韵达窄带</t>
  </si>
  <si>
    <t>华东-浙-202309041</t>
  </si>
  <si>
    <t>下沙极兔</t>
  </si>
  <si>
    <t>华东-川-202309040</t>
  </si>
  <si>
    <t>宜宾共派</t>
  </si>
  <si>
    <t>华南-桂-202309029</t>
  </si>
  <si>
    <t>广西玉林容县共派直线</t>
  </si>
  <si>
    <t>华南-鄂-202209013A</t>
  </si>
  <si>
    <t>襄阳襄城区共派直线-拆机</t>
  </si>
  <si>
    <t>华南-陕-202309005</t>
  </si>
  <si>
    <t>陕西延安极兔直线</t>
  </si>
  <si>
    <t>华南-琼-202309033</t>
  </si>
  <si>
    <t>海南文昌共派直线</t>
  </si>
  <si>
    <t>华南-桂-202309034</t>
  </si>
  <si>
    <t>广西荔浦中通直线</t>
  </si>
  <si>
    <t>华东-闽-202309047</t>
  </si>
  <si>
    <t>闽侯中通一部直线</t>
  </si>
  <si>
    <t>华南-陕-202309037</t>
  </si>
  <si>
    <t>西安普洛斯拼多多</t>
  </si>
  <si>
    <t>华南-桂-202309035</t>
  </si>
  <si>
    <t>广西来宾邮政</t>
  </si>
  <si>
    <t>华南-湘-202309039</t>
  </si>
  <si>
    <t>湖南花垣共配</t>
  </si>
  <si>
    <t>华南-桂-202309041</t>
  </si>
  <si>
    <t>广西河池环江共配直线</t>
  </si>
  <si>
    <t>华南-贵-202309040</t>
  </si>
  <si>
    <t>贵州盘州中通直线</t>
  </si>
  <si>
    <t>华南-陕-202309038</t>
  </si>
  <si>
    <t>甘肃景泰中通直线</t>
  </si>
  <si>
    <t>华南-辽-202309036</t>
  </si>
  <si>
    <t>沈阳铁西八中通直线-取消</t>
  </si>
  <si>
    <t>华南-桂-202309042</t>
  </si>
  <si>
    <t>广西钦州灵山共配</t>
  </si>
  <si>
    <t>华南-粤-202309043</t>
  </si>
  <si>
    <t>花都联邦</t>
  </si>
  <si>
    <t>华南-陕-202310001</t>
  </si>
  <si>
    <t>咸阳中通二期-取消</t>
  </si>
  <si>
    <t>华东-京-202310001</t>
  </si>
  <si>
    <t>北京南五环共派</t>
  </si>
  <si>
    <t>华南-粤-202310003</t>
  </si>
  <si>
    <t>石岩申通</t>
  </si>
  <si>
    <t>华南-沙特-202310002</t>
  </si>
  <si>
    <t>沙特RRDC回包线项目</t>
  </si>
  <si>
    <t>华南-青-202309044</t>
  </si>
  <si>
    <t>青海西宁大通共派直线</t>
  </si>
  <si>
    <t>华南-贵-202310004</t>
  </si>
  <si>
    <t>贵州盘州共配</t>
  </si>
  <si>
    <t>华东-赣-202308010</t>
  </si>
  <si>
    <t>圆通赣州中心交叉带改造</t>
  </si>
  <si>
    <t>华东-青-202309049</t>
  </si>
  <si>
    <t>青海茫崖共配直线</t>
  </si>
  <si>
    <t>华东-浙-202309048</t>
  </si>
  <si>
    <t>浙江瓶窑共配（直线）</t>
  </si>
  <si>
    <t>华东-浙-202207014WB</t>
  </si>
  <si>
    <t>富阳圆通直线维保费</t>
  </si>
  <si>
    <t>华东-浙-202310022A</t>
  </si>
  <si>
    <t>九堡圆通供包台增购2</t>
  </si>
  <si>
    <t>华东-川-202309018</t>
  </si>
  <si>
    <t>四川宜宾江安中通-按票充值</t>
  </si>
  <si>
    <t>华东-闽-202009004A</t>
  </si>
  <si>
    <t>泉州百世接口</t>
  </si>
  <si>
    <t>华南-沙特-202310007</t>
  </si>
  <si>
    <t>沙特RRDC零散流水线项目</t>
  </si>
  <si>
    <t>华南-吉-202310008</t>
  </si>
  <si>
    <t>吉林长春德惠共派二期</t>
  </si>
  <si>
    <t>华南-桂-202310006</t>
  </si>
  <si>
    <t>防城港中通加大改造</t>
  </si>
  <si>
    <t>华南-豫-202310005</t>
  </si>
  <si>
    <t>河南许昌小黄狗直线</t>
  </si>
  <si>
    <t>华东-皖-202310035</t>
  </si>
  <si>
    <t>亳州谯城韵达直线</t>
  </si>
  <si>
    <t>华南-粤-202310009</t>
  </si>
  <si>
    <t>汕尾梅陇中通</t>
  </si>
  <si>
    <t>华东-京-202310036</t>
  </si>
  <si>
    <t>德茂共派直线-按票充值</t>
  </si>
  <si>
    <t>华南-贵-202310011</t>
  </si>
  <si>
    <t>贵州龙里谷脚共配直线</t>
  </si>
  <si>
    <t>华东-鄂-202310037</t>
  </si>
  <si>
    <t>盘龙城共派二期</t>
  </si>
  <si>
    <t>华南-湘-202310010</t>
  </si>
  <si>
    <t>湖南怀化新晃共配直线</t>
  </si>
  <si>
    <t>华东-京-202310038</t>
  </si>
  <si>
    <t>北京顺义邮政供包台增购</t>
  </si>
  <si>
    <t>华东-闽-202310005</t>
  </si>
  <si>
    <t>漳州龙文揽投部</t>
  </si>
  <si>
    <t>华东-闽-202310004</t>
  </si>
  <si>
    <t>漳州石码揽投部</t>
  </si>
  <si>
    <t>华东-闽-202310002</t>
  </si>
  <si>
    <t>江南揽投部</t>
  </si>
  <si>
    <t>华东-闽-202310003</t>
  </si>
  <si>
    <t>仙游处理中心</t>
  </si>
  <si>
    <t>华东-闽-202310006</t>
  </si>
  <si>
    <t>福鼎县域中心</t>
  </si>
  <si>
    <t>华东-闽-202310007</t>
  </si>
  <si>
    <t>创业路揽投部</t>
  </si>
  <si>
    <t>华东-闽-202310008</t>
  </si>
  <si>
    <t>罗山揽投部</t>
  </si>
  <si>
    <t>华东-闽-202310009</t>
  </si>
  <si>
    <t>涵江投递部</t>
  </si>
  <si>
    <t>华东-闽-202310010</t>
  </si>
  <si>
    <t>霞浦县域中心</t>
  </si>
  <si>
    <t>华东-闽-202310011</t>
  </si>
  <si>
    <t>漳州角美揽投部</t>
  </si>
  <si>
    <t>华东-闽-202310012</t>
  </si>
  <si>
    <t>光泽县域中心</t>
  </si>
  <si>
    <t>华东-闽-202310013</t>
  </si>
  <si>
    <t>北峰揽投部</t>
  </si>
  <si>
    <t>华东-闽-202310014</t>
  </si>
  <si>
    <t>永和揽投部</t>
  </si>
  <si>
    <t>华东-闽-202310015</t>
  </si>
  <si>
    <t>南靖山城揽投部</t>
  </si>
  <si>
    <t>华东-闽-202310016</t>
  </si>
  <si>
    <t>登高路揽投部</t>
  </si>
  <si>
    <t>华东-闽-202310017</t>
  </si>
  <si>
    <t>东侨揽投部</t>
  </si>
  <si>
    <t>华东-闽-202310018</t>
  </si>
  <si>
    <t>长汀县域中心</t>
  </si>
  <si>
    <t>华东-闽-202310019</t>
  </si>
  <si>
    <t>连城县域中心</t>
  </si>
  <si>
    <t>华东-闽-202310020</t>
  </si>
  <si>
    <t>上杭县域中心</t>
  </si>
  <si>
    <t>华东-闽-202310021</t>
  </si>
  <si>
    <t>福建龙岩漳平窄带</t>
  </si>
  <si>
    <t>华东-闽-202310023</t>
  </si>
  <si>
    <t>漳浦大南坂揽投部</t>
  </si>
  <si>
    <t>华东-闽-202310024</t>
  </si>
  <si>
    <t>诏安南诏揽投部</t>
  </si>
  <si>
    <t>华东-闽-202310025</t>
  </si>
  <si>
    <t>漳州陈巷揽投部</t>
  </si>
  <si>
    <t>华东-闽-202310026</t>
  </si>
  <si>
    <t>德化揽投部</t>
  </si>
  <si>
    <t>华东-闽-202310027</t>
  </si>
  <si>
    <t>城北揽投部</t>
  </si>
  <si>
    <t>华东-闽-202310028</t>
  </si>
  <si>
    <t>云霄云陵揽投部</t>
  </si>
  <si>
    <t>华东-闽-202310029</t>
  </si>
  <si>
    <t>武夷山县域中心</t>
  </si>
  <si>
    <t>华东-闽-202310030</t>
  </si>
  <si>
    <t>平潭县域中心</t>
  </si>
  <si>
    <t>华东-闽-202310031</t>
  </si>
  <si>
    <t>荔城揽投部</t>
  </si>
  <si>
    <t>华东-闽-202310032</t>
  </si>
  <si>
    <t>新度支局</t>
  </si>
  <si>
    <t>华东-闽-202310033</t>
  </si>
  <si>
    <t>黄石支局</t>
  </si>
  <si>
    <t>华东-闽-202310034</t>
  </si>
  <si>
    <t>莆田中心</t>
  </si>
  <si>
    <t>华东-浙-202310037</t>
  </si>
  <si>
    <t>嘉兴洪合韵达</t>
  </si>
  <si>
    <t>华南-贵-202310013</t>
  </si>
  <si>
    <t>贵州黔西中通直线</t>
  </si>
  <si>
    <t>华南-粤-202310012</t>
  </si>
  <si>
    <t>番禺石碁申通二期</t>
  </si>
  <si>
    <t>华东-苏-202310040</t>
  </si>
  <si>
    <t>淮安清江浦中通</t>
  </si>
  <si>
    <t>华东-浙-202310041</t>
  </si>
  <si>
    <t>蒋村邮政搬迁</t>
  </si>
  <si>
    <t>华东-浙-202306004WB</t>
  </si>
  <si>
    <t>嘉兴中通二期维保费</t>
  </si>
  <si>
    <t>华南-赣-202202001A</t>
  </si>
  <si>
    <t>赣州于都中通（直线）拆机</t>
  </si>
  <si>
    <t>华南-陕-202204014A</t>
  </si>
  <si>
    <t>西安西部大道韵达（直线）拆机</t>
  </si>
  <si>
    <t>华南-吉-202310014</t>
  </si>
  <si>
    <t>吉林通榆邮政直线</t>
  </si>
  <si>
    <t>华东-新-202309050</t>
  </si>
  <si>
    <t>新疆和田共配（中通直线）</t>
  </si>
  <si>
    <t>华南-粤-202009001WB</t>
  </si>
  <si>
    <t>花山中通维保费</t>
  </si>
  <si>
    <t>华南-粤-202208015WB</t>
  </si>
  <si>
    <t>广州丰和圆通维保费</t>
  </si>
  <si>
    <t>华南-粤-202310015</t>
  </si>
  <si>
    <t>云浮云城中通</t>
  </si>
  <si>
    <t>华东-川-202310042</t>
  </si>
  <si>
    <t>四川九寨沟共配直线</t>
  </si>
  <si>
    <t>华东-苏-202310044</t>
  </si>
  <si>
    <t>南京雨花台共配</t>
  </si>
  <si>
    <t>华东-蒙-202310043</t>
  </si>
  <si>
    <t>呼和浩特金川共配直线</t>
  </si>
  <si>
    <t>华南-粤-202310016</t>
  </si>
  <si>
    <t>韶关南雄共派</t>
  </si>
  <si>
    <t>华东-川-202310045</t>
  </si>
  <si>
    <t>四川南充营山申通-按票充值</t>
  </si>
  <si>
    <t>华东-京-202310046</t>
  </si>
  <si>
    <t>窦店共派-按票充值</t>
  </si>
  <si>
    <t>华东-辽-202110004A</t>
  </si>
  <si>
    <t>葫芦岛共派接口费</t>
  </si>
  <si>
    <t>华东-皖-202310049</t>
  </si>
  <si>
    <t>亳州韵达搬迁</t>
  </si>
  <si>
    <t>华南-粤-202310017</t>
  </si>
  <si>
    <t>深圳固戍申通</t>
  </si>
  <si>
    <t>华东-冀-202310050</t>
  </si>
  <si>
    <t>东光中通-按票充值</t>
  </si>
  <si>
    <t>华东-苏-202310048</t>
  </si>
  <si>
    <t>常熟韵达-按票充值</t>
  </si>
  <si>
    <t>华南-赣-202402009</t>
  </si>
  <si>
    <t>江西上饶玉山共派</t>
  </si>
  <si>
    <t>华南-吉-202310018</t>
  </si>
  <si>
    <t>吉林图们共派直线</t>
  </si>
  <si>
    <t>华东-苏-202211004A</t>
  </si>
  <si>
    <t>南京亚东新城共配拆机</t>
  </si>
  <si>
    <t>华南-琼-202303012A</t>
  </si>
  <si>
    <t>海口秀英共派极兔对接</t>
  </si>
  <si>
    <t>华东-浙-202208041A</t>
  </si>
  <si>
    <t>秋涛路大货分拣拆机</t>
  </si>
  <si>
    <t>华南-科威特-202306021</t>
  </si>
  <si>
    <t>科威特滚筒采购</t>
  </si>
  <si>
    <t>华东-川-202310052</t>
  </si>
  <si>
    <t>绵阳极兔-按票充值</t>
  </si>
  <si>
    <t>华南-云-202311001</t>
  </si>
  <si>
    <t>云南楚雄中通</t>
  </si>
  <si>
    <t>华东-鄂-202203017A</t>
  </si>
  <si>
    <t>阳新韵达接口费</t>
  </si>
  <si>
    <t>华东-冀-202311001</t>
  </si>
  <si>
    <t>廊坊建包仓-按票充值-取消</t>
  </si>
  <si>
    <t>华东-冀-202310047</t>
  </si>
  <si>
    <t>盐山共派-按票充值-取消</t>
  </si>
  <si>
    <t>华东-鲁-202309021A</t>
  </si>
  <si>
    <t>郯城共派搬迁增购</t>
  </si>
  <si>
    <t>DW2023007</t>
  </si>
  <si>
    <t>天津邮政辅线项目</t>
  </si>
  <si>
    <t>华东-鲁-202105009A</t>
  </si>
  <si>
    <t>威海荣成共派接口费</t>
  </si>
  <si>
    <t>华东-渝-202311002</t>
  </si>
  <si>
    <t>重庆南岸中通</t>
  </si>
  <si>
    <t>华东-苏-202311003</t>
  </si>
  <si>
    <t>栖霞共派</t>
  </si>
  <si>
    <t>华东-川-202311004</t>
  </si>
  <si>
    <t>四川蓬溪共配</t>
  </si>
  <si>
    <t>华南-粤-202311002</t>
  </si>
  <si>
    <t>佛山邮政增购（分离+居中机）</t>
  </si>
  <si>
    <t>华南-粤-202111007A</t>
  </si>
  <si>
    <t>佛山大沥北韵达拆机</t>
  </si>
  <si>
    <t>华南-粤-202105001A</t>
  </si>
  <si>
    <t>塘厦圆通拆机</t>
  </si>
  <si>
    <t>华东-晋-202311005</t>
  </si>
  <si>
    <t>孝义中通</t>
  </si>
  <si>
    <t>华南-桂-202311004</t>
  </si>
  <si>
    <t>广西武宣共派直线</t>
  </si>
  <si>
    <t>华南-贵-202311005</t>
  </si>
  <si>
    <t>贵州遵义赤水共配</t>
  </si>
  <si>
    <t>华东-蒙-202205004WB</t>
  </si>
  <si>
    <t>赤峰极兔维保费</t>
  </si>
  <si>
    <t>华东-京-202311007</t>
  </si>
  <si>
    <t>北京朝阳水郡共派-按票充值</t>
  </si>
  <si>
    <t>华东-鲁-202311006</t>
  </si>
  <si>
    <t>薛城圆通</t>
  </si>
  <si>
    <t>华南-云-202311003</t>
  </si>
  <si>
    <t>云南洱源共派直线</t>
  </si>
  <si>
    <t>华东-浙-202104009B</t>
  </si>
  <si>
    <t>海曙共派接口费</t>
  </si>
  <si>
    <t>华东-豫-202311009</t>
  </si>
  <si>
    <t>河南唐河申通直线</t>
  </si>
  <si>
    <t>华东-晋-202311008</t>
  </si>
  <si>
    <t>清徐共派-按票充值-取消</t>
  </si>
  <si>
    <t>华南-青-202311006</t>
  </si>
  <si>
    <t>青海兴海县邮政</t>
  </si>
  <si>
    <t>华南-京-202103007-1WB</t>
  </si>
  <si>
    <t>极兔-北京顺义维保费</t>
  </si>
  <si>
    <t>华南-泰国-202311009</t>
  </si>
  <si>
    <t>FLASH泰国NO1交叉带搬迁</t>
  </si>
  <si>
    <t>华东-豫-202311010</t>
  </si>
  <si>
    <t>河南洛阳极兔直线</t>
  </si>
  <si>
    <t>华南-泰国-202311007</t>
  </si>
  <si>
    <t>泰国项目第三批备件采购</t>
  </si>
  <si>
    <t>华南-云-202311011</t>
  </si>
  <si>
    <t>富源邮政直线</t>
  </si>
  <si>
    <t>华东-冀-202311013</t>
  </si>
  <si>
    <t>邯郸邮政</t>
  </si>
  <si>
    <t>华南-冀-202311008</t>
  </si>
  <si>
    <t>任丘邮政（电控）</t>
  </si>
  <si>
    <t>华东-晋-202311011</t>
  </si>
  <si>
    <t>山西灵丘共配</t>
  </si>
  <si>
    <t>华南-贵-202402012</t>
  </si>
  <si>
    <t>贵州威宁中通直线</t>
  </si>
  <si>
    <t>华南-鄂-202311012</t>
  </si>
  <si>
    <t>武汉江岸二七A区共派直线</t>
  </si>
  <si>
    <t>华东-京-202311015</t>
  </si>
  <si>
    <t>北京张家湾申通</t>
  </si>
  <si>
    <t>华南-沙特-202311013</t>
  </si>
  <si>
    <t>沙特吉达JDDC项目</t>
  </si>
  <si>
    <t>华东-甘-202311014</t>
  </si>
  <si>
    <t>甘肃庆城共派直线</t>
  </si>
  <si>
    <t>华东-闽-202311016</t>
  </si>
  <si>
    <t>泉州东海中通二期拆机</t>
  </si>
  <si>
    <t>华东-闽-202311018</t>
  </si>
  <si>
    <t>泉州东海中通窄带</t>
  </si>
  <si>
    <t>华东-京-202311019</t>
  </si>
  <si>
    <t>北京云岗极兔-按票充值</t>
  </si>
  <si>
    <t>华东-浙-202201009WB</t>
  </si>
  <si>
    <t>三里亭韵达（直线）维保</t>
  </si>
  <si>
    <t>华东-浙-202105002A</t>
  </si>
  <si>
    <t>秋涛路圆通进港（硬件）拆机</t>
  </si>
  <si>
    <t>华东-浙-202311020</t>
  </si>
  <si>
    <t>临平圆通进港</t>
  </si>
  <si>
    <t>华东-京-202311021</t>
  </si>
  <si>
    <t>北京石景山固安前置仓-按票充值</t>
  </si>
  <si>
    <t>华南-粤-202311014</t>
  </si>
  <si>
    <t>中山沙溪圆通（观澜圆通搬迁）</t>
  </si>
  <si>
    <t>华南-青-202311015</t>
  </si>
  <si>
    <t>青海中侨达日邮政</t>
  </si>
  <si>
    <t>华南-粤-202401024</t>
  </si>
  <si>
    <t>丰和韵达拆迁</t>
  </si>
  <si>
    <t>华南-鄂-202209009B</t>
  </si>
  <si>
    <t>武汉白沙洲共派直线拆机</t>
  </si>
  <si>
    <t>华南-鄂-202310020</t>
  </si>
  <si>
    <t>石桥共派直线</t>
  </si>
  <si>
    <t>华南-甘-202312002</t>
  </si>
  <si>
    <t>甘肃景泰邮政直线</t>
  </si>
  <si>
    <t>华东-浙-202312002</t>
  </si>
  <si>
    <t>黄岩申通</t>
  </si>
  <si>
    <t>华东-京-202312001</t>
  </si>
  <si>
    <t>北京远洋共派-按票充值</t>
  </si>
  <si>
    <t>华东-浙-202311023</t>
  </si>
  <si>
    <t>湖州圆通出港加层</t>
  </si>
  <si>
    <t>华南-贵-202401002</t>
  </si>
  <si>
    <t>贵州纳雍中通直线</t>
  </si>
  <si>
    <t>华东-津-202312003</t>
  </si>
  <si>
    <t>天津邮政运维服务合同</t>
  </si>
  <si>
    <t>华南-黑-202312004</t>
  </si>
  <si>
    <t>肇东中通</t>
  </si>
  <si>
    <t>ZD005</t>
  </si>
  <si>
    <t>榆树共派邮政端口对接费用</t>
  </si>
  <si>
    <t>华东-沪-202304015A</t>
  </si>
  <si>
    <t>上海金桥网格仓搬迁</t>
  </si>
  <si>
    <t>华东-浙-202311022</t>
  </si>
  <si>
    <t>临平圆通搬迁</t>
  </si>
  <si>
    <t>华东-甘-202312004</t>
  </si>
  <si>
    <t>甘肃兰州红古共配直线</t>
  </si>
  <si>
    <t>华东-豫-202207012A</t>
  </si>
  <si>
    <t>确山共派中通接口合同-取消</t>
  </si>
  <si>
    <t>华南-贵-202312008</t>
  </si>
  <si>
    <t>贵州福泉共配直线</t>
  </si>
  <si>
    <t>华南-粤-202401025</t>
  </si>
  <si>
    <t>江门蓬江中通直线</t>
  </si>
  <si>
    <t>华东-京-202312006</t>
  </si>
  <si>
    <t>北京金顶街共派-按票充值</t>
  </si>
  <si>
    <t>华南-蒙-202401001</t>
  </si>
  <si>
    <t>内蒙康巴什共派</t>
  </si>
  <si>
    <t>CGWX013</t>
  </si>
  <si>
    <t>溪鸟</t>
  </si>
  <si>
    <t>华南-辽-202312011</t>
  </si>
  <si>
    <t>辽宁西丰共配</t>
  </si>
  <si>
    <t>华南-粤-202401018</t>
  </si>
  <si>
    <t>普宁三部极兔</t>
  </si>
  <si>
    <t>华南-粤-202401019</t>
  </si>
  <si>
    <t>潮南二部极兔直线</t>
  </si>
  <si>
    <t>华东-青-202312009</t>
  </si>
  <si>
    <t>青海民和共配</t>
  </si>
  <si>
    <t>华东-晋-202312005</t>
  </si>
  <si>
    <t>山西临县共配直线</t>
  </si>
  <si>
    <t>华东-京-202312008</t>
  </si>
  <si>
    <t>北京海淀复兴路共派-按票充值</t>
  </si>
  <si>
    <t>华东-甘-202312010</t>
  </si>
  <si>
    <t>甘肃康县共派</t>
  </si>
  <si>
    <t>华东-新-202312012</t>
  </si>
  <si>
    <t>新疆和田韵达</t>
  </si>
  <si>
    <t>华南-赣-202312007</t>
  </si>
  <si>
    <t>江西高安共派（系统改造）</t>
  </si>
  <si>
    <t>华东-蒙-202312011</t>
  </si>
  <si>
    <t>内蒙古科右中旗共配</t>
  </si>
  <si>
    <t>华东-渝-202205006C</t>
  </si>
  <si>
    <t>永川（九龙坡共派搬迁）接口协议</t>
  </si>
  <si>
    <t>华南-粤-202312014</t>
  </si>
  <si>
    <t>广州南村韵达</t>
  </si>
  <si>
    <t>华东-蒙-202312013</t>
  </si>
  <si>
    <t>内蒙古乌拉特前旗共派直线</t>
  </si>
  <si>
    <t>华南-蒙-202312016</t>
  </si>
  <si>
    <t>乌海共派二期</t>
  </si>
  <si>
    <t>华南-鄂-202211005WB</t>
  </si>
  <si>
    <t>中南民族大学共配维保</t>
  </si>
  <si>
    <t>华东-冀-202312007</t>
  </si>
  <si>
    <t>河北石家庄京广仓拆机</t>
  </si>
  <si>
    <t>华东-津-202312014</t>
  </si>
  <si>
    <t>天津北辰共配-按票充值</t>
  </si>
  <si>
    <t>华东-冀-202401001</t>
  </si>
  <si>
    <t>景县中申共派</t>
  </si>
  <si>
    <t>华东-冀-202401002</t>
  </si>
  <si>
    <t>景县圆韵共派</t>
  </si>
  <si>
    <t>华东-京-202401003</t>
  </si>
  <si>
    <t>北京义和庄共派-按票充值</t>
  </si>
  <si>
    <t>华东-京-202401004</t>
  </si>
  <si>
    <t>北京正大共派-按票充值</t>
  </si>
  <si>
    <t>华南-云-202312019</t>
  </si>
  <si>
    <t>云南文山共配</t>
  </si>
  <si>
    <t>华东-鄂-202312015</t>
  </si>
  <si>
    <t>荆门东宝区共派-按票充值</t>
  </si>
  <si>
    <t>华南-桂-202312020</t>
  </si>
  <si>
    <t>广西平南共配直线</t>
  </si>
  <si>
    <t>华东-苏-202310044A</t>
  </si>
  <si>
    <t>南京雨花台共配拆机</t>
  </si>
  <si>
    <t>华东-鲁-202203001A</t>
  </si>
  <si>
    <t>德州极兔增购</t>
  </si>
  <si>
    <t>华东-冀-202401005</t>
  </si>
  <si>
    <t>沧州邮政</t>
  </si>
  <si>
    <t>华南-鄂-202312021</t>
  </si>
  <si>
    <t>湖北广水共配直线</t>
  </si>
  <si>
    <t>华东-川-202312016</t>
  </si>
  <si>
    <t>四川泸州共派直线-按票充值</t>
  </si>
  <si>
    <t>华东-闽-202401007</t>
  </si>
  <si>
    <t>晋江灵源邮政-取消</t>
  </si>
  <si>
    <t>华东-闽-202401006</t>
  </si>
  <si>
    <t>泉州德化邮政(作废)</t>
  </si>
  <si>
    <t>华南-鄂-202401003</t>
  </si>
  <si>
    <t>武汉大桥新区共配</t>
  </si>
  <si>
    <t>华东-苏-202401008</t>
  </si>
  <si>
    <t>新沂极兔改造</t>
  </si>
  <si>
    <t>华东-京-202401009</t>
  </si>
  <si>
    <t>北京菜户营共派</t>
  </si>
  <si>
    <t>华南-陕-202401005</t>
  </si>
  <si>
    <t>西安高陵多多仓-取消</t>
  </si>
  <si>
    <t>华南-赣-202401006</t>
  </si>
  <si>
    <t>南昌安义共配</t>
  </si>
  <si>
    <t>华南-粤-202401004</t>
  </si>
  <si>
    <t>揭东申通增购</t>
  </si>
  <si>
    <t>华东-闽-202312017</t>
  </si>
  <si>
    <t>厦门圆通搬迁（调试）</t>
  </si>
  <si>
    <t>华东-闽-202401014</t>
  </si>
  <si>
    <t>洪濑中通</t>
  </si>
  <si>
    <t>华东-豫-202401011</t>
  </si>
  <si>
    <t>开封申通-按票充值</t>
  </si>
  <si>
    <t>华南-鄂-202312005</t>
  </si>
  <si>
    <t>武汉白沙洲共派改造（直线）</t>
  </si>
  <si>
    <t>华东-苏-202401010</t>
  </si>
  <si>
    <t>南京申通中心窄带</t>
  </si>
  <si>
    <t>华南-粤-202305008A</t>
  </si>
  <si>
    <t>芳村东区龙溪中通直线拆机</t>
  </si>
  <si>
    <t>华南-吉-202401007</t>
  </si>
  <si>
    <t>吉林白城大安共配直线</t>
  </si>
  <si>
    <t>华南-贵-202401008</t>
  </si>
  <si>
    <t>贵州威宁极兔直线</t>
  </si>
  <si>
    <t>华南-贵-202401010</t>
  </si>
  <si>
    <t>贵州织金中通直线</t>
  </si>
  <si>
    <t>华东-苏-202401016</t>
  </si>
  <si>
    <t>无锡崇安韵达直线</t>
  </si>
  <si>
    <t>华东-苏-202401017</t>
  </si>
  <si>
    <t>瑞安圆通二期</t>
  </si>
  <si>
    <t>华东-闽-202401020</t>
  </si>
  <si>
    <t>新店中通</t>
  </si>
  <si>
    <t>华东-晋-202309013A</t>
  </si>
  <si>
    <t>介休中通改造五面扫</t>
  </si>
  <si>
    <t>华南-粤-202401011</t>
  </si>
  <si>
    <t>东莞凤岗韵达</t>
  </si>
  <si>
    <t>华东-青-202401022</t>
  </si>
  <si>
    <t>青海都兰共配直线</t>
  </si>
  <si>
    <t>华东-川-202401024</t>
  </si>
  <si>
    <t>泸州纳溪中通-按票充值</t>
  </si>
  <si>
    <t>华东-苏-202401019</t>
  </si>
  <si>
    <t>江苏东台三仓共配直线</t>
  </si>
  <si>
    <t>华南-粤-202401014</t>
  </si>
  <si>
    <t>温塘申通</t>
  </si>
  <si>
    <t>华南-蒙-202401017</t>
  </si>
  <si>
    <t>包头圆通自动供包改窄带</t>
  </si>
  <si>
    <t>华南-冀-202009003WB</t>
  </si>
  <si>
    <t>清河中通维保费</t>
  </si>
  <si>
    <t>华南-粤-202401016</t>
  </si>
  <si>
    <t>石碁中通二期</t>
  </si>
  <si>
    <t>华东-鲁-202401025</t>
  </si>
  <si>
    <t>济宁汶上申通</t>
  </si>
  <si>
    <t>YF0030</t>
  </si>
  <si>
    <t>200窄带样机</t>
  </si>
  <si>
    <t>YF0031</t>
  </si>
  <si>
    <t>机器人自动上件</t>
  </si>
  <si>
    <t>华东-浙-202401023</t>
  </si>
  <si>
    <t>温岭圆通改造</t>
  </si>
  <si>
    <t>华南-粤-202401012</t>
  </si>
  <si>
    <t>增城永和韵达加大改造</t>
  </si>
  <si>
    <t>华东-浙-202401018</t>
  </si>
  <si>
    <t>浦江极兔搬迁</t>
  </si>
  <si>
    <t>华东-苏-202401026</t>
  </si>
  <si>
    <t>常熟莫城韵达</t>
  </si>
  <si>
    <t>华南-粤-202401020</t>
  </si>
  <si>
    <t>虎门韵达出港</t>
  </si>
  <si>
    <t>华东-豫-202401028</t>
  </si>
  <si>
    <t>驻马店申通-按票充值</t>
  </si>
  <si>
    <t>华东-浙-202401021</t>
  </si>
  <si>
    <t>永康圆通三期</t>
  </si>
  <si>
    <t>华南-粤-202407003</t>
  </si>
  <si>
    <t>普宁东极兔环线</t>
  </si>
  <si>
    <t>华东-苏-202401029</t>
  </si>
  <si>
    <t>常州新北中通</t>
  </si>
  <si>
    <t>华东-沪-202401027</t>
  </si>
  <si>
    <t>上海青浦共派-按票充值</t>
  </si>
  <si>
    <t>华南-粤-202401022-1</t>
  </si>
  <si>
    <t>白云机场圆通直线（利旧西部大道韵达）</t>
  </si>
  <si>
    <t>华东-宁-202401030</t>
  </si>
  <si>
    <t>银川共派改造</t>
  </si>
  <si>
    <t>华南-粤-202401022-2</t>
  </si>
  <si>
    <t>白云机场圆通环线</t>
  </si>
  <si>
    <t>华东-闽-202401031</t>
  </si>
  <si>
    <t>晋江中通一部</t>
  </si>
  <si>
    <t>华南-云-202401026</t>
  </si>
  <si>
    <t>云南保山共配</t>
  </si>
  <si>
    <t>华东-蒙-202401033</t>
  </si>
  <si>
    <t>内蒙古海拉尔共派</t>
  </si>
  <si>
    <t>华东-鲁-202401035</t>
  </si>
  <si>
    <t>东平共配</t>
  </si>
  <si>
    <t>华东-川-202401037</t>
  </si>
  <si>
    <t>四川安岳共配</t>
  </si>
  <si>
    <t>华东-闽-202401031A</t>
  </si>
  <si>
    <t>晋江中通一部自动上件</t>
  </si>
  <si>
    <t>华东-川-202202008A</t>
  </si>
  <si>
    <t>宜宾韵达极兔接口</t>
  </si>
  <si>
    <t>华南-陕-202401029</t>
  </si>
  <si>
    <t>陕西延安韵达直线</t>
  </si>
  <si>
    <t>华南-粤-202401028</t>
  </si>
  <si>
    <t>揭阳新亨圆通（塘厦圆通搬迁改造）</t>
  </si>
  <si>
    <t>华东-闽-202109014WB</t>
  </si>
  <si>
    <t>石狮极兔维保费</t>
  </si>
  <si>
    <t>华南-粤-202111003WB</t>
  </si>
  <si>
    <t>滨江中通维保费</t>
  </si>
  <si>
    <t>10000</t>
  </si>
  <si>
    <t>废品</t>
  </si>
  <si>
    <t>华南-辽-202401031</t>
  </si>
  <si>
    <t>沈阳铁西二部中通</t>
  </si>
  <si>
    <t>华南-粤-202401032</t>
  </si>
  <si>
    <t>沙井中通二期</t>
  </si>
  <si>
    <t>华东-皖-202401044</t>
  </si>
  <si>
    <t>太和申通</t>
  </si>
  <si>
    <t>华东-浙-202401040</t>
  </si>
  <si>
    <t>杭州五堡共配</t>
  </si>
  <si>
    <t>华东-皖-202401041</t>
  </si>
  <si>
    <t>桐城申通</t>
  </si>
  <si>
    <t>华东-浙-202401039</t>
  </si>
  <si>
    <t>南浔韵达</t>
  </si>
  <si>
    <t>华东-皖-202401042</t>
  </si>
  <si>
    <t>肥西中通-取消</t>
  </si>
  <si>
    <t>华南-泰国-202401033</t>
  </si>
  <si>
    <t>泰国项目第四批配件</t>
  </si>
  <si>
    <t>华东-苏-202208016A</t>
  </si>
  <si>
    <t>吴江城区共派-拆机</t>
  </si>
  <si>
    <t>华东-浙-202401045</t>
  </si>
  <si>
    <t>绍兴柯桥极兔</t>
  </si>
  <si>
    <t>华东-豫-202401034</t>
  </si>
  <si>
    <t>河南夏邑共派直线</t>
  </si>
  <si>
    <t>华东-皖-202401043</t>
  </si>
  <si>
    <t>安徽太和韵达</t>
  </si>
  <si>
    <t>华南-辽-202402001</t>
  </si>
  <si>
    <t>辽宁辽阳邮政</t>
  </si>
  <si>
    <t>华南-泰国-202402002</t>
  </si>
  <si>
    <t>2024年泰国FLASH第一批配件（4个PO）</t>
  </si>
  <si>
    <t>华南-贵-202402005</t>
  </si>
  <si>
    <t>贵州大方中通直线</t>
  </si>
  <si>
    <t>华南-云-202402004</t>
  </si>
  <si>
    <t>富源邮政新增OCR对接</t>
  </si>
  <si>
    <t>华南-鄂-202402003</t>
  </si>
  <si>
    <t>湖北红安共派直线</t>
  </si>
  <si>
    <t>华南-冀-202401030</t>
  </si>
  <si>
    <t>肃宁圆通增购（纠偏相机）</t>
  </si>
  <si>
    <t>华南-冀-202401027</t>
  </si>
  <si>
    <t>河北衡水申通增购</t>
  </si>
  <si>
    <t>华南-桂-202402006</t>
  </si>
  <si>
    <t>广西横县中通</t>
  </si>
  <si>
    <t>华南-吉-202402007</t>
  </si>
  <si>
    <t>长春凯旋路中通</t>
  </si>
  <si>
    <t>华东-皖-202402002</t>
  </si>
  <si>
    <t>淮南圆通</t>
  </si>
  <si>
    <t>华东-渝-202402005</t>
  </si>
  <si>
    <t>重庆渝北龙兴共派</t>
  </si>
  <si>
    <t>华东-沪-202401038</t>
  </si>
  <si>
    <t>上海子洲路网格仓拆机</t>
  </si>
  <si>
    <t>华东-沪-202402004</t>
  </si>
  <si>
    <t>上海金桥网格仓拆机</t>
  </si>
  <si>
    <t>华东-闽-202402003</t>
  </si>
  <si>
    <t>莆田城厢中通</t>
  </si>
  <si>
    <t>华南-云-202402008</t>
  </si>
  <si>
    <t>茨坝网格仓搬迁</t>
  </si>
  <si>
    <t>华东-皖-202402006</t>
  </si>
  <si>
    <t>包河申通搬迁</t>
  </si>
  <si>
    <t>华南-粤-202402010</t>
  </si>
  <si>
    <t>黄埔韵达网格仓拆机</t>
  </si>
  <si>
    <t>华东-浙-202401036</t>
  </si>
  <si>
    <t>杭州同城邮政直线拆机</t>
  </si>
  <si>
    <t>华东-鲁-202402007</t>
  </si>
  <si>
    <t>兖州中通-按票充值</t>
  </si>
  <si>
    <t>华东-浙-202402009</t>
  </si>
  <si>
    <t>瑞安中通</t>
  </si>
  <si>
    <t>华东-浙-202402008</t>
  </si>
  <si>
    <t>龙湾圆通改造</t>
  </si>
  <si>
    <t>华东-京-202402010</t>
  </si>
  <si>
    <t>石景山古城共派</t>
  </si>
  <si>
    <t>华东-川-202402011</t>
  </si>
  <si>
    <t>绵阳涪城极兔</t>
  </si>
  <si>
    <t>华东-冀-202402012</t>
  </si>
  <si>
    <t>肃宁中通</t>
  </si>
  <si>
    <t>华东-浙-202012014A</t>
  </si>
  <si>
    <t>永康圆通一期改造-拆机</t>
  </si>
  <si>
    <t>华东-京-202208002A</t>
  </si>
  <si>
    <t>密云韵达新增极兔接口-取消</t>
  </si>
  <si>
    <t>华东-鄂-202402013</t>
  </si>
  <si>
    <t>湖北孝感集包仓</t>
  </si>
  <si>
    <t>华东-京-202402014</t>
  </si>
  <si>
    <t>北京门头沟共派-按票充值</t>
  </si>
  <si>
    <t>华东-苏-202402015</t>
  </si>
  <si>
    <t>如皋韵达-按票充值-取消</t>
  </si>
  <si>
    <t>华东-浙-202401015</t>
  </si>
  <si>
    <t>嘉峪关圆通</t>
  </si>
  <si>
    <t>华南-贵-202402013</t>
  </si>
  <si>
    <t>贵州兴义中通</t>
  </si>
  <si>
    <t>YF0032</t>
  </si>
  <si>
    <t>牧星研发样机</t>
  </si>
  <si>
    <t>华东-苏-202402017</t>
  </si>
  <si>
    <t>南京大厂共派二期-按票充值（停用）</t>
  </si>
  <si>
    <t>华南-贵-202402015</t>
  </si>
  <si>
    <t>南明二部中通直线</t>
  </si>
  <si>
    <t>华东-浙-202302007A</t>
  </si>
  <si>
    <t>杭州同城邮政搬迁增购底网</t>
  </si>
  <si>
    <t>华南-墨西哥-202402011</t>
  </si>
  <si>
    <t>墨西哥华灵云小件快手采购项目</t>
  </si>
  <si>
    <t>华南-鄂-202402017</t>
  </si>
  <si>
    <t>武昌南湖板桥中通直线</t>
  </si>
  <si>
    <t>华南-吉-202402016</t>
  </si>
  <si>
    <t>吉林白山中通</t>
  </si>
  <si>
    <t>华东-冀-202402019</t>
  </si>
  <si>
    <t>怀来中通直线</t>
  </si>
  <si>
    <t>华南-陕-202402018</t>
  </si>
  <si>
    <t>陕西蓝田共配</t>
  </si>
  <si>
    <t>华东-浙-202403001</t>
  </si>
  <si>
    <t>玉环圆通二期-按票充值</t>
  </si>
  <si>
    <t>华东-晋-202402021</t>
  </si>
  <si>
    <t>山西襄垣共配直线</t>
  </si>
  <si>
    <t>华东-晋-202403002</t>
  </si>
  <si>
    <t>阳泉中通韵达-按票充值</t>
  </si>
  <si>
    <t>华东-闽-202402001</t>
  </si>
  <si>
    <t>莆田圆通八期（进港供包台改造机械手）</t>
  </si>
  <si>
    <t>华东-皖-202403005</t>
  </si>
  <si>
    <t>怀宁共配</t>
  </si>
  <si>
    <t>华东-豫-202402020</t>
  </si>
  <si>
    <t>长垣邮政</t>
  </si>
  <si>
    <t>华东-皖-202402018</t>
  </si>
  <si>
    <t>颍上共派二期接口协议</t>
  </si>
  <si>
    <t>华南-粤-202402019</t>
  </si>
  <si>
    <t>怀集中通（利旧大沥北韵达）</t>
  </si>
  <si>
    <t>华南-贵-202403001</t>
  </si>
  <si>
    <t>贵阳清镇中通直线</t>
  </si>
  <si>
    <t>华南-粤-202312003</t>
  </si>
  <si>
    <t>广州韵达丰和分拨E3库（简双层+单层）搬迁（作废）</t>
  </si>
  <si>
    <t>华东-浙-202109025WB</t>
  </si>
  <si>
    <t>杭州临安邮政维保</t>
  </si>
  <si>
    <t>华南-墨西哥-202403003</t>
  </si>
  <si>
    <t>墨西哥自动化设备</t>
  </si>
  <si>
    <t>华南-墨西哥-202403002</t>
  </si>
  <si>
    <t>墨西哥瓜城搬迁项目</t>
  </si>
  <si>
    <t>华东-津-202403006</t>
  </si>
  <si>
    <t>天津北辰共配二期-按票充值</t>
  </si>
  <si>
    <t>华南-粤-202403004</t>
  </si>
  <si>
    <t>广州申通中心窄带</t>
  </si>
  <si>
    <t>华东-津-202403007</t>
  </si>
  <si>
    <t>天津红桥佳园里中通</t>
  </si>
  <si>
    <t>华南-蒙-202403005</t>
  </si>
  <si>
    <t>乌海中通韵达窄带</t>
  </si>
  <si>
    <t>华南-贵-202403006</t>
  </si>
  <si>
    <t>贵州剑河共派直线</t>
  </si>
  <si>
    <t>华南-贵-202403007</t>
  </si>
  <si>
    <t>贵阳观山湖极兔直线</t>
  </si>
  <si>
    <t>华南-桂-202403008</t>
  </si>
  <si>
    <t>广西钦州韵达直线</t>
  </si>
  <si>
    <t>华南-贵-202403009</t>
  </si>
  <si>
    <t>贵州仁怀中通</t>
  </si>
  <si>
    <t>华东-京-202403008</t>
  </si>
  <si>
    <t>海淀学清路中通-按票充值</t>
  </si>
  <si>
    <t>华南-蒙-202403010</t>
  </si>
  <si>
    <t>包头圆通大件窄带</t>
  </si>
  <si>
    <t>华东-浙-202403009</t>
  </si>
  <si>
    <t>龙湾中通</t>
  </si>
  <si>
    <t>华东-晋-202403010</t>
  </si>
  <si>
    <t>山西长治壶关邮政直线</t>
  </si>
  <si>
    <t>华南-粤-202403011</t>
  </si>
  <si>
    <t>狮山共配</t>
  </si>
  <si>
    <t>华东-渝-202403004</t>
  </si>
  <si>
    <t>余杭搬迁至重庆渝北仓</t>
  </si>
  <si>
    <t>华东-苏-202403015</t>
  </si>
  <si>
    <t>南京珠江镇网格仓改造</t>
  </si>
  <si>
    <t>华东-鲁-202403016</t>
  </si>
  <si>
    <t>聊城申通二期</t>
  </si>
  <si>
    <t>华南-粤-202403013</t>
  </si>
  <si>
    <t>泽业大旺唯品会播种新样机</t>
  </si>
  <si>
    <t>华南-贵-202403012</t>
  </si>
  <si>
    <t>花果园一部中通直线</t>
  </si>
  <si>
    <t>华东-新-202403018</t>
  </si>
  <si>
    <t>昌吉极兔改造</t>
  </si>
  <si>
    <t>华东-京-202403020</t>
  </si>
  <si>
    <t>北京永丰韵达</t>
  </si>
  <si>
    <t>华东-闽-202403012</t>
  </si>
  <si>
    <t>霞美中通</t>
  </si>
  <si>
    <t>华东-闽-202008002WB</t>
  </si>
  <si>
    <t>仙游蓝图共派-维保费</t>
  </si>
  <si>
    <t>华东-豫-202403022</t>
  </si>
  <si>
    <t>商丘梁园韵达-取消</t>
  </si>
  <si>
    <t>华南-黑-202403015</t>
  </si>
  <si>
    <t>伊春共派直线</t>
  </si>
  <si>
    <t>华东-苏-202403023</t>
  </si>
  <si>
    <t>虎丘韵达搬迁</t>
  </si>
  <si>
    <t>华东-新-202403025</t>
  </si>
  <si>
    <t>奎屯中通改造</t>
  </si>
  <si>
    <t>华东-皖-202403026</t>
  </si>
  <si>
    <t>界首中通</t>
  </si>
  <si>
    <t>华东-浙-202403003</t>
  </si>
  <si>
    <t>余姚极兔二期拆机</t>
  </si>
  <si>
    <t>华东-冀-202403013</t>
  </si>
  <si>
    <t>石景山固安前置仓拆机</t>
  </si>
  <si>
    <t>华东-蒙-202403021</t>
  </si>
  <si>
    <t>海拉尔共派接口协议</t>
  </si>
  <si>
    <t>华东-冀-202403014</t>
  </si>
  <si>
    <t>西兆通中通拆机</t>
  </si>
  <si>
    <t>华东-辽-202112002WB</t>
  </si>
  <si>
    <t>海城圆通-维保费</t>
  </si>
  <si>
    <t>华东-冀-202403030</t>
  </si>
  <si>
    <t>衡水韵达</t>
  </si>
  <si>
    <t>华东-冀-202403028</t>
  </si>
  <si>
    <t>栾城元氏邮政</t>
  </si>
  <si>
    <t>华东-浙-202403031</t>
  </si>
  <si>
    <t>苍南中通改造</t>
  </si>
  <si>
    <t>华东-鲁-202403011</t>
  </si>
  <si>
    <t>兖州圆通-按票充值-取消</t>
  </si>
  <si>
    <t>华南-蒙-202403014</t>
  </si>
  <si>
    <t>乌兰浩特申通增购供包台</t>
  </si>
  <si>
    <t>华东-苏-202403033</t>
  </si>
  <si>
    <t>常熟极兔-按票充值</t>
  </si>
  <si>
    <t>华东-沪-202403029</t>
  </si>
  <si>
    <t>南翔中通搬迁</t>
  </si>
  <si>
    <t>华东-浙-202403036</t>
  </si>
  <si>
    <t>路桥中通进港</t>
  </si>
  <si>
    <t>华东-浙-202403032</t>
  </si>
  <si>
    <t>嘉善共派接口协议</t>
  </si>
  <si>
    <t>华东-冀-202403039</t>
  </si>
  <si>
    <t>即墨东部申通-按票充值-取消</t>
  </si>
  <si>
    <t>华东-冀-202403038</t>
  </si>
  <si>
    <t>廊坊中通</t>
  </si>
  <si>
    <t>华南-粤-202403019</t>
  </si>
  <si>
    <t>乐从共派环线</t>
  </si>
  <si>
    <t>华东-宁-202403037</t>
  </si>
  <si>
    <t>宁夏中宁共配直线</t>
  </si>
  <si>
    <t>华南-冀-202403017</t>
  </si>
  <si>
    <t>衡水圆通三期改造格口</t>
  </si>
  <si>
    <t>华东-浙-202403027</t>
  </si>
  <si>
    <t>杭州同城邮政直线搬迁</t>
  </si>
  <si>
    <t>华东-冀-202403035</t>
  </si>
  <si>
    <t>藁城网格仓</t>
  </si>
  <si>
    <t>华南-陕-202403020</t>
  </si>
  <si>
    <t>陕西蒲城共配-取消</t>
  </si>
  <si>
    <t>华南-粤-202403021</t>
  </si>
  <si>
    <t>广州越秀下塘西共配直线</t>
  </si>
  <si>
    <t>华南-泰国-202403018</t>
  </si>
  <si>
    <t>2024年泰国第二批备件</t>
  </si>
  <si>
    <t>华南-鄂-202403029</t>
  </si>
  <si>
    <t>武汉南湖分二部共派直线</t>
  </si>
  <si>
    <t>华东-苏-202403043</t>
  </si>
  <si>
    <t>潥水韵达-按票充值-取消</t>
  </si>
  <si>
    <t>华东-冀-202403044</t>
  </si>
  <si>
    <t>保定韵达集包仓</t>
  </si>
  <si>
    <t>华南-粤-202403028</t>
  </si>
  <si>
    <t>黄埠韵达环线</t>
  </si>
  <si>
    <t>华南-粤-202403027</t>
  </si>
  <si>
    <t>大朗申通</t>
  </si>
  <si>
    <t>华南-鄂-202403026</t>
  </si>
  <si>
    <t>咸宁共派（永安大道）</t>
  </si>
  <si>
    <t>华东-浙-202403041</t>
  </si>
  <si>
    <t>义乌宝湾韵达</t>
  </si>
  <si>
    <t>华南-桂-202403025</t>
  </si>
  <si>
    <t>广西百色田阳共配直线</t>
  </si>
  <si>
    <t>华南-赣-202403024</t>
  </si>
  <si>
    <t>南昌文港韵达</t>
  </si>
  <si>
    <t>华南-粤-202403022</t>
  </si>
  <si>
    <t>潮州凤塘中通</t>
  </si>
  <si>
    <t>华南-粤-202403023</t>
  </si>
  <si>
    <t>花都狮岭韵达网格仓搬迁</t>
  </si>
  <si>
    <t>华东-晋-202403042</t>
  </si>
  <si>
    <t>长治襄垣中通-按票充值</t>
  </si>
  <si>
    <t>华东-苏-202403045</t>
  </si>
  <si>
    <t>苏州蠡口共配</t>
  </si>
  <si>
    <t>华南-鄂-202403032</t>
  </si>
  <si>
    <t>京山圆通直线</t>
  </si>
  <si>
    <t>华南-粤-202403031</t>
  </si>
  <si>
    <t>云浮云城共派</t>
  </si>
  <si>
    <t>华东-冀-202403046</t>
  </si>
  <si>
    <t>邯郸复兴区邮政</t>
  </si>
  <si>
    <t>华东-浙-202403048</t>
  </si>
  <si>
    <t>瓯海圆通改造</t>
  </si>
  <si>
    <t>华东-鲁-202403047</t>
  </si>
  <si>
    <t>临沂新市区中通</t>
  </si>
  <si>
    <t>华东-鄂-202204012WB</t>
  </si>
  <si>
    <t>武汉海航二期（搬迁）维保费</t>
  </si>
  <si>
    <t>华南-鄂-202403016</t>
  </si>
  <si>
    <t>武汉新竹共派韵达对接</t>
  </si>
  <si>
    <t>华南-粤-202403033</t>
  </si>
  <si>
    <t>从化极兔</t>
  </si>
  <si>
    <t>华东-皖-202403052</t>
  </si>
  <si>
    <t>安徽阜阳颍上申通</t>
  </si>
  <si>
    <t>华东-浙-202403050</t>
  </si>
  <si>
    <t>温州瓯海韵达</t>
  </si>
  <si>
    <t>华南-陕-202403035</t>
  </si>
  <si>
    <t>咸阳东捷多多仓</t>
  </si>
  <si>
    <t>华东-新-202403049</t>
  </si>
  <si>
    <t>新疆克拉玛依接口协议</t>
  </si>
  <si>
    <t>华东-渝-202404002</t>
  </si>
  <si>
    <t>九龙坡共派二期直线</t>
  </si>
  <si>
    <t>华东-甘-202404003</t>
  </si>
  <si>
    <t>甘肃陇南韵达直线-按票充值</t>
  </si>
  <si>
    <t>华东-闽-202404004</t>
  </si>
  <si>
    <t>福建甘蔗共派</t>
  </si>
  <si>
    <t>华南-琼-202403036</t>
  </si>
  <si>
    <t>海口金桥中通直线</t>
  </si>
  <si>
    <t>华东-浙-202404006</t>
  </si>
  <si>
    <t>桐乡韵达三期改造-取消</t>
  </si>
  <si>
    <t>华南-湘-202403034</t>
  </si>
  <si>
    <t>长沙岳麓共派（1号线）直线-取消</t>
  </si>
  <si>
    <t>华南-湘-202403035</t>
  </si>
  <si>
    <t>长沙岳麓共派（2号线）直线-取消</t>
  </si>
  <si>
    <t>华南-鄂-202407046</t>
  </si>
  <si>
    <t>湖北当阳申通环线</t>
  </si>
  <si>
    <t>华南-墨西哥-202403030</t>
  </si>
  <si>
    <t>墨西哥九宫格采购项目</t>
  </si>
  <si>
    <t>YSCK</t>
  </si>
  <si>
    <t>佛山仓库</t>
  </si>
  <si>
    <t>华东-浙-202404005</t>
  </si>
  <si>
    <t>义乌东苑韵达三期</t>
  </si>
  <si>
    <t>华东-豫-202404008</t>
  </si>
  <si>
    <t>河南新郑共派</t>
  </si>
  <si>
    <t>华东-津-202404009</t>
  </si>
  <si>
    <t>天津北辰共配搬迁</t>
  </si>
  <si>
    <t>华南-粤-202403037</t>
  </si>
  <si>
    <t>普宁西中通</t>
  </si>
  <si>
    <t>华南-粤-202403038</t>
  </si>
  <si>
    <t>茂名申通</t>
  </si>
  <si>
    <t>华南-鄂-202403039</t>
  </si>
  <si>
    <t>京山韵达申通直线</t>
  </si>
  <si>
    <t>华东-浙-202404010</t>
  </si>
  <si>
    <t>萧山共派二期接口协议-取消</t>
  </si>
  <si>
    <t>华南-琼-202404002</t>
  </si>
  <si>
    <t>东方申通-按票充值</t>
  </si>
  <si>
    <t>华东-冀-202404011</t>
  </si>
  <si>
    <t>涿州中通</t>
  </si>
  <si>
    <t>华东-皖-202404013</t>
  </si>
  <si>
    <t>合作化南路网格仓改造</t>
  </si>
  <si>
    <t>华东-闽-202404012</t>
  </si>
  <si>
    <t>福建龙岩永定共配直线</t>
  </si>
  <si>
    <t>华南-云-202404003</t>
  </si>
  <si>
    <t>保山申通直线</t>
  </si>
  <si>
    <t>YF0033</t>
  </si>
  <si>
    <t>上海项目3D sorter 样机</t>
  </si>
  <si>
    <t>华南-桂-202404009</t>
  </si>
  <si>
    <t>广西百色乐业共配直线</t>
  </si>
  <si>
    <t>华南-甘-202404004</t>
  </si>
  <si>
    <t>甘肃陇南共派</t>
  </si>
  <si>
    <t>华南-粤-202404005</t>
  </si>
  <si>
    <t>茂名化州极兔直线</t>
  </si>
  <si>
    <t>华南-粤-202404007</t>
  </si>
  <si>
    <t>花都良田网格仓（原狮岭网格仓搬迁）</t>
  </si>
  <si>
    <t>华南-黑-202404008</t>
  </si>
  <si>
    <t>黑龙江鸡西共派</t>
  </si>
  <si>
    <t>华东-京-202404019</t>
  </si>
  <si>
    <t>平谷中通</t>
  </si>
  <si>
    <t>华南-粤-202404011</t>
  </si>
  <si>
    <t>华北唯品会（1号线）</t>
  </si>
  <si>
    <t>华南-粤-202404012</t>
  </si>
  <si>
    <t>华北唯品会（2号线）</t>
  </si>
  <si>
    <t>华东-京-202404016</t>
  </si>
  <si>
    <t>怀柔中通</t>
  </si>
  <si>
    <t>华南-粤-202404006</t>
  </si>
  <si>
    <t>塘厦中通改造协议</t>
  </si>
  <si>
    <t>华南-粤-202404010</t>
  </si>
  <si>
    <t>唯品会增购服务器</t>
  </si>
  <si>
    <t>华东-新-202404017</t>
  </si>
  <si>
    <t>新疆和田中通新增接口</t>
  </si>
  <si>
    <t>华东-新-202404021</t>
  </si>
  <si>
    <t>新疆额敏共派</t>
  </si>
  <si>
    <t>华东-苏-202404022</t>
  </si>
  <si>
    <t>常熟申通</t>
  </si>
  <si>
    <t>华东-鲁-202404020</t>
  </si>
  <si>
    <t>菏泽邮政摆轮改造</t>
  </si>
  <si>
    <t>华东-津-202404023</t>
  </si>
  <si>
    <t>天津蓟县邮政搬迁</t>
  </si>
  <si>
    <t>华东-甘-202404024</t>
  </si>
  <si>
    <t>酒泉极兔</t>
  </si>
  <si>
    <t>华南-辽-202404013</t>
  </si>
  <si>
    <t>沈北申通</t>
  </si>
  <si>
    <t>华南-辽-202404014</t>
  </si>
  <si>
    <t>沈阳皇姑共派</t>
  </si>
  <si>
    <t>华东-冀-202404025</t>
  </si>
  <si>
    <t>肃宁中通二期</t>
  </si>
  <si>
    <t>华东-川-202404026</t>
  </si>
  <si>
    <t>高坪共派改造</t>
  </si>
  <si>
    <t>华东-川-202404028</t>
  </si>
  <si>
    <t>安县圆通-按票充值</t>
  </si>
  <si>
    <t>华东-川-202404027</t>
  </si>
  <si>
    <t>安县申通-按票充值</t>
  </si>
  <si>
    <t>华东-闽-202404029</t>
  </si>
  <si>
    <t>晋江申通</t>
  </si>
  <si>
    <t>华南-粤-202404017</t>
  </si>
  <si>
    <t>惠州陈江中通</t>
  </si>
  <si>
    <t>华南-粤-202404019</t>
  </si>
  <si>
    <t>普宁西圆通二期-按票充值</t>
  </si>
  <si>
    <t>华南-鄂-202404020</t>
  </si>
  <si>
    <t>武汉纸坊中通直线</t>
  </si>
  <si>
    <t>华东-渝-202404031</t>
  </si>
  <si>
    <t>巴南申通</t>
  </si>
  <si>
    <t>华东-渝-202404032</t>
  </si>
  <si>
    <t>巴南中通-按票充值</t>
  </si>
  <si>
    <t>华东-苏-202404033</t>
  </si>
  <si>
    <t>苏州相城区韵达直线</t>
  </si>
  <si>
    <t>华东-渝-202404030</t>
  </si>
  <si>
    <t>重庆南岸中通极兔接口协议</t>
  </si>
  <si>
    <t>华东-冀-202404035</t>
  </si>
  <si>
    <t>辛集中通二期</t>
  </si>
  <si>
    <t>华东-冀-202404036</t>
  </si>
  <si>
    <t>晋州申通二期-按票充值</t>
  </si>
  <si>
    <t>华南-桂-202404021</t>
  </si>
  <si>
    <t>广西东兴共派直线</t>
  </si>
  <si>
    <t>华南-粤-202404023</t>
  </si>
  <si>
    <t>茂名高州中通二期</t>
  </si>
  <si>
    <t>华东-闽-202404037</t>
  </si>
  <si>
    <t>石狮申通改造</t>
  </si>
  <si>
    <t>华南-桂-202404025</t>
  </si>
  <si>
    <t>临桂中通搬迁</t>
  </si>
  <si>
    <t>华南-桂-202404022</t>
  </si>
  <si>
    <t>北海圆通加大改造</t>
  </si>
  <si>
    <t>华南-蒙-202404027</t>
  </si>
  <si>
    <t>包头滨河新区共派</t>
  </si>
  <si>
    <t>华南-云-202404026</t>
  </si>
  <si>
    <t>昆明康乐共派直线</t>
  </si>
  <si>
    <t>华南-蒙-202404018</t>
  </si>
  <si>
    <t>乌兰察布韵达直线</t>
  </si>
  <si>
    <t>华东-皖-202404034</t>
  </si>
  <si>
    <t>阜阳圆通直线</t>
  </si>
  <si>
    <t>华南-湘-202404024</t>
  </si>
  <si>
    <t>汨罗共配增购接口申通出港</t>
  </si>
  <si>
    <t>华东-冀-202404039</t>
  </si>
  <si>
    <t>泊头韵达-按票充值</t>
  </si>
  <si>
    <t>华南-赣-202404029</t>
  </si>
  <si>
    <t>南昌县象湖中通</t>
  </si>
  <si>
    <t>华南-粤-202404030</t>
  </si>
  <si>
    <t>潮州凤泉湖中通-取消</t>
  </si>
  <si>
    <t>华东-川-202403017</t>
  </si>
  <si>
    <t>雅安九襄摆臂拆机</t>
  </si>
  <si>
    <t>华东-浙-202404018</t>
  </si>
  <si>
    <t>东苑韵达拆机</t>
  </si>
  <si>
    <t>华东-豫-202404040</t>
  </si>
  <si>
    <t>驻马店西平中通接口</t>
  </si>
  <si>
    <t>华东-川-202404042</t>
  </si>
  <si>
    <t>四川华蓥中通直线-按票充值</t>
  </si>
  <si>
    <t>华东-京-202404044</t>
  </si>
  <si>
    <t>马驹桥共派-按票充值</t>
  </si>
  <si>
    <t>华南-粤-202404028</t>
  </si>
  <si>
    <t>花都速达非增购体积相机</t>
  </si>
  <si>
    <t>华东-京-202404045</t>
  </si>
  <si>
    <t>北京丰台太平桥共派直线</t>
  </si>
  <si>
    <t>华南-贵-202404031</t>
  </si>
  <si>
    <t>贵阳金阳中通三部直线</t>
  </si>
  <si>
    <t>华东-豫-202405037WB</t>
  </si>
  <si>
    <t>驻马店西平中通维保费</t>
  </si>
  <si>
    <t>华南-粤-202404032</t>
  </si>
  <si>
    <t>里水河村申通（利旧余姚极兔二期）</t>
  </si>
  <si>
    <t>华东-鲁-202404046</t>
  </si>
  <si>
    <t>曹县申通-按票充值</t>
  </si>
  <si>
    <t>华南-蒙-202404034</t>
  </si>
  <si>
    <t>乌海圆通二期窄带</t>
  </si>
  <si>
    <t>华东-豫-202403051</t>
  </si>
  <si>
    <t>郑州三全路网格仓拆机</t>
  </si>
  <si>
    <t>华东-沪-202404043</t>
  </si>
  <si>
    <t>上海通州路网格仓拆机</t>
  </si>
  <si>
    <t>华东-鄂-202404047</t>
  </si>
  <si>
    <t>天门韵达集包仓</t>
  </si>
  <si>
    <t>华南-粤-202404033</t>
  </si>
  <si>
    <t>惠州惠环中通</t>
  </si>
  <si>
    <t>华南-粤-202207023A</t>
  </si>
  <si>
    <t>韶关共派新增中通接口</t>
  </si>
  <si>
    <t>华南-鄂-202404035</t>
  </si>
  <si>
    <t>阳新共派三期</t>
  </si>
  <si>
    <t>华东-甘-202404048</t>
  </si>
  <si>
    <t>嘉峪关极兔</t>
  </si>
  <si>
    <t>华南-粤-202404038</t>
  </si>
  <si>
    <t>中山古镇申通</t>
  </si>
  <si>
    <t>华东-川-202404052</t>
  </si>
  <si>
    <t>德阳申通</t>
  </si>
  <si>
    <t>华南-云-202405001</t>
  </si>
  <si>
    <t>云南楚雄姚安直线</t>
  </si>
  <si>
    <t>华南-粤-202405002</t>
  </si>
  <si>
    <t>中山东凤申通-取消</t>
  </si>
  <si>
    <t>华南-云-202405003</t>
  </si>
  <si>
    <t>云南芒市共派</t>
  </si>
  <si>
    <t>华南-鄂-202209001拆</t>
  </si>
  <si>
    <t>凤华天城共派（直线）拆机</t>
  </si>
  <si>
    <t>华东-苏-202404054</t>
  </si>
  <si>
    <t>蠡口共配增购</t>
  </si>
  <si>
    <t>华南-吉-202405005</t>
  </si>
  <si>
    <t>长春新月路共派</t>
  </si>
  <si>
    <t>华东-川-202404055</t>
  </si>
  <si>
    <t>成都双流共派搬迁</t>
  </si>
  <si>
    <t>华南-冀-202404037</t>
  </si>
  <si>
    <t>衡水圆通二期改造</t>
  </si>
  <si>
    <t>华南-粤-202111004WB</t>
  </si>
  <si>
    <t>里水申通二期维保费</t>
  </si>
  <si>
    <t>华南-粤-202106002WB</t>
  </si>
  <si>
    <t>里水申通维保费</t>
  </si>
  <si>
    <t>华南-桂-202208006WB</t>
  </si>
  <si>
    <t>广西玉林邮政维保费</t>
  </si>
  <si>
    <t>华南-粤-202307017拆</t>
  </si>
  <si>
    <t>石碁中通一期拆机</t>
  </si>
  <si>
    <t>华东-浙-202404053</t>
  </si>
  <si>
    <t>五堡共配增购</t>
  </si>
  <si>
    <t>华南-粤-202405004</t>
  </si>
  <si>
    <t>汕尾圆通三期增购</t>
  </si>
  <si>
    <t>华东-蒙-202405001</t>
  </si>
  <si>
    <t>内蒙古商都县共配直线</t>
  </si>
  <si>
    <t>华东-浙-202405002</t>
  </si>
  <si>
    <t>杭州同城邮政增购</t>
  </si>
  <si>
    <t>华南-云-202405007</t>
  </si>
  <si>
    <t>云南石屏共派直线</t>
  </si>
  <si>
    <t>华东-鲁-202405003</t>
  </si>
  <si>
    <t>汶上韵达</t>
  </si>
  <si>
    <t>华南-云-202405006</t>
  </si>
  <si>
    <t>云南昆明晋宁直线</t>
  </si>
  <si>
    <t>华东-冀-202405004</t>
  </si>
  <si>
    <t>雄县中通</t>
  </si>
  <si>
    <t>华南-冀-202405010</t>
  </si>
  <si>
    <t>高阳中通二期搬迁改造</t>
  </si>
  <si>
    <t>华东-川-202405006</t>
  </si>
  <si>
    <t>四川冕宁共派</t>
  </si>
  <si>
    <t>华东-川-202405007</t>
  </si>
  <si>
    <t>越西共派-取消</t>
  </si>
  <si>
    <t>华东-晋-202405005</t>
  </si>
  <si>
    <t>吕梁离石共派-按票充值</t>
  </si>
  <si>
    <t>华东-甘-202405008</t>
  </si>
  <si>
    <t>庆阳极兔</t>
  </si>
  <si>
    <t>华东-苏-202405009</t>
  </si>
  <si>
    <t>雨花台极兔搬迁</t>
  </si>
  <si>
    <t>华东-豫-202405010</t>
  </si>
  <si>
    <t>焦作申通-按票充值</t>
  </si>
  <si>
    <t>华东-鲁-202405011</t>
  </si>
  <si>
    <t>南坊中通搬迁</t>
  </si>
  <si>
    <t>华南-湘-202405009</t>
  </si>
  <si>
    <t>长沙学士韵达网络仓增购</t>
  </si>
  <si>
    <t>华南-粤-202405008</t>
  </si>
  <si>
    <t>揭东圆通增购纠偏相机</t>
  </si>
  <si>
    <t>华南-甘-202405012</t>
  </si>
  <si>
    <t>甘肃金昌共派</t>
  </si>
  <si>
    <t>华南-粤-202405013</t>
  </si>
  <si>
    <t>横沥中通</t>
  </si>
  <si>
    <t>华南-粤-202405011</t>
  </si>
  <si>
    <t>南村圆通增购格口</t>
  </si>
  <si>
    <t>华东-沪-202404049</t>
  </si>
  <si>
    <t>上海奉贤邮政增购</t>
  </si>
  <si>
    <t>华南-粤-202404007A</t>
  </si>
  <si>
    <t>良田韵达网格仓增购</t>
  </si>
  <si>
    <t>华东-川-202405013</t>
  </si>
  <si>
    <t>沐川共派直线</t>
  </si>
  <si>
    <t>华东-闽-202405017</t>
  </si>
  <si>
    <t>城厢中通进港</t>
  </si>
  <si>
    <t>华南-粤-202405014</t>
  </si>
  <si>
    <t>新塘圆通加大改造</t>
  </si>
  <si>
    <t>华东-冀-202405016</t>
  </si>
  <si>
    <t>泊头申通</t>
  </si>
  <si>
    <t>华东-皖-202405015</t>
  </si>
  <si>
    <t>阜阳韵达</t>
  </si>
  <si>
    <t>华东-苏-202405014</t>
  </si>
  <si>
    <t>无锡政和网格仓搬迁</t>
  </si>
  <si>
    <t>华东-渝-202405020</t>
  </si>
  <si>
    <t>重庆渝北龙兴共派搬迁</t>
  </si>
  <si>
    <t>华南-桂-202405015</t>
  </si>
  <si>
    <t>贵港中通改造</t>
  </si>
  <si>
    <t>华东-晋-202405024</t>
  </si>
  <si>
    <t>阳泉中通二期-按票充值</t>
  </si>
  <si>
    <t>华东-晋-202405025</t>
  </si>
  <si>
    <t>阳泉韵达-按票充值</t>
  </si>
  <si>
    <t>华东-浙-202405027</t>
  </si>
  <si>
    <t>乔司邮政搬迁</t>
  </si>
  <si>
    <t>华东-晋-202405026</t>
  </si>
  <si>
    <t>忻州定襄共派接口协议</t>
  </si>
  <si>
    <t>华东-苏-202405021</t>
  </si>
  <si>
    <t>昆山吴淞江网格仓</t>
  </si>
  <si>
    <t>华南-鄂-202405017</t>
  </si>
  <si>
    <t>白沙洲一部中通直线</t>
  </si>
  <si>
    <t>华东-冀-202405031</t>
  </si>
  <si>
    <t>深泽韵达</t>
  </si>
  <si>
    <t>华南-鄂-202405018</t>
  </si>
  <si>
    <t>湖北红安韵达（利旧白沙洲+凤华天城）</t>
  </si>
  <si>
    <t>华南-粤-202405020</t>
  </si>
  <si>
    <t>云浮云城中通搬迁</t>
  </si>
  <si>
    <t>华南-赣-202405021</t>
  </si>
  <si>
    <t>吉安共派搬迁</t>
  </si>
  <si>
    <t>华南-冀-202405022</t>
  </si>
  <si>
    <t>沧州圆通二期</t>
  </si>
  <si>
    <t>华南-粤-202405023</t>
  </si>
  <si>
    <t>东莞凤岗极兔</t>
  </si>
  <si>
    <t>华南-粤-202405024</t>
  </si>
  <si>
    <t>广州云创仓库</t>
  </si>
  <si>
    <t>华东-皖-202405030</t>
  </si>
  <si>
    <t>滨湖韵达搬迁</t>
  </si>
  <si>
    <t>华东-豫-202405031</t>
  </si>
  <si>
    <t>河南宜阳极兔直线</t>
  </si>
  <si>
    <t>华南-粤-202404007C</t>
  </si>
  <si>
    <t>良田韵达网格仓增购申通接口</t>
  </si>
  <si>
    <t>华南-陕-202405019</t>
  </si>
  <si>
    <t>咸阳中通二期</t>
  </si>
  <si>
    <t>华东-鄂-202404018</t>
  </si>
  <si>
    <t>湖北孝感妍宝集包仓</t>
  </si>
  <si>
    <t>华南-粤-202405016</t>
  </si>
  <si>
    <t>泽业-东莞菜鸟窄带改造</t>
  </si>
  <si>
    <t>华南-美国-202405028</t>
  </si>
  <si>
    <t>2025美国芝加哥物流展窄带</t>
  </si>
  <si>
    <t>华东-皖-202405032</t>
  </si>
  <si>
    <t>宿州埇桥极兔</t>
  </si>
  <si>
    <t>华南-粤-202405029</t>
  </si>
  <si>
    <t>容桂共派进港+出港</t>
  </si>
  <si>
    <t>华东-鄂-202405033</t>
  </si>
  <si>
    <t>湖北汉川中通</t>
  </si>
  <si>
    <t>华东-晋-202405034</t>
  </si>
  <si>
    <t>山西忻州繁峙共派直线</t>
  </si>
  <si>
    <t>华东-京-202405035</t>
  </si>
  <si>
    <t>南五环共派搬迁</t>
  </si>
  <si>
    <t>华东-京-202405036</t>
  </si>
  <si>
    <t>义和庄共派搬迁</t>
  </si>
  <si>
    <t>华东-冀-202405038</t>
  </si>
  <si>
    <t>保定莲池区邮政直线</t>
  </si>
  <si>
    <t>华南-粤-202405030</t>
  </si>
  <si>
    <t>茂名电白中通三部</t>
  </si>
  <si>
    <t>华南-粤-202405031</t>
  </si>
  <si>
    <t>白云石井极兔</t>
  </si>
  <si>
    <t>华东-浙-202106011-1WB</t>
  </si>
  <si>
    <t>湖州韵达进出港-维保费</t>
  </si>
  <si>
    <t>华东-鲁-202403024</t>
  </si>
  <si>
    <t>平度申通三期</t>
  </si>
  <si>
    <t>华东-豫-202405042</t>
  </si>
  <si>
    <t>滑县申通-按票充值</t>
  </si>
  <si>
    <t>华东-豫-202405030</t>
  </si>
  <si>
    <t>商丘申通进港增补</t>
  </si>
  <si>
    <t>华南-粤-202405026</t>
  </si>
  <si>
    <t>人和圆通环线增购</t>
  </si>
  <si>
    <t>华东-浙-202405029</t>
  </si>
  <si>
    <t>桐乡韵达增购</t>
  </si>
  <si>
    <t>华南-粤-202405032</t>
  </si>
  <si>
    <t>湛江圆通增购供包台</t>
  </si>
  <si>
    <t>华东-冀-202405043</t>
  </si>
  <si>
    <t>雄县韵达-取消</t>
  </si>
  <si>
    <t>华东-豫-202405037</t>
  </si>
  <si>
    <t>驻马店西平中通</t>
  </si>
  <si>
    <t>华东-冀-202210008WB</t>
  </si>
  <si>
    <t>高阳韵达维保费</t>
  </si>
  <si>
    <t>华东-晋-202405041</t>
  </si>
  <si>
    <t>忻州定襄共派新增极兔接口</t>
  </si>
  <si>
    <t>华东-冀-202405040</t>
  </si>
  <si>
    <t>藁城韵达网格仓增购</t>
  </si>
  <si>
    <t>华东-新-202405044</t>
  </si>
  <si>
    <t>阿克苏极兔</t>
  </si>
  <si>
    <t>华南-桂-202405034</t>
  </si>
  <si>
    <t>南宁新北湖韵达直线-按月充值</t>
  </si>
  <si>
    <t>华南-粤-202405035</t>
  </si>
  <si>
    <t>东莞山片区邮政</t>
  </si>
  <si>
    <t>华南-粤-202405036</t>
  </si>
  <si>
    <t>茂名化州申通直线</t>
  </si>
  <si>
    <t>华东-新-202405045</t>
  </si>
  <si>
    <t>新疆北屯极兔</t>
  </si>
  <si>
    <t>华东-鲁-202405047</t>
  </si>
  <si>
    <t>德州申通</t>
  </si>
  <si>
    <t>华东-浙-202405048</t>
  </si>
  <si>
    <t>路桥韵达二期</t>
  </si>
  <si>
    <t>华南-鄂-202405037</t>
  </si>
  <si>
    <t>英山共派直线-取消</t>
  </si>
  <si>
    <t>华东-川-202405049</t>
  </si>
  <si>
    <t>自贡沿滩中通-按票充值</t>
  </si>
  <si>
    <t>华南-粤-202405033</t>
  </si>
  <si>
    <t>广州新钟落潭网格仓（利旧黄埔网格仓）</t>
  </si>
  <si>
    <t>华南-吉-202405025</t>
  </si>
  <si>
    <t>长春北湖网格仓拆机</t>
  </si>
  <si>
    <t>华南-粤-202405039</t>
  </si>
  <si>
    <t>虎门极兔直线</t>
  </si>
  <si>
    <t>华南-赣-202405038</t>
  </si>
  <si>
    <t>新余共派直线加大改造</t>
  </si>
  <si>
    <t>华东-川-202405050</t>
  </si>
  <si>
    <t>盐亭共派二期（环线）-按票充值</t>
  </si>
  <si>
    <t>华南-云-202405040</t>
  </si>
  <si>
    <t>宣威邮政窄带</t>
  </si>
  <si>
    <t>华南-粤-202405041</t>
  </si>
  <si>
    <t>广州新市网格仓拆除</t>
  </si>
  <si>
    <t>华南-沪-202405044</t>
  </si>
  <si>
    <t>上海奉贤极兔直线搬迁改造</t>
  </si>
  <si>
    <t>华南-粤-202405043</t>
  </si>
  <si>
    <t>廉江极兔直线</t>
  </si>
  <si>
    <t>华南-桂-202405045</t>
  </si>
  <si>
    <t>宾阳共派环线</t>
  </si>
  <si>
    <t>华东-京-202405052</t>
  </si>
  <si>
    <t>北京丰台太平桥共派2号（直线）</t>
  </si>
  <si>
    <t>华东-鲁-202405053</t>
  </si>
  <si>
    <t>淄博张店共派-按票充值</t>
  </si>
  <si>
    <t>华东-皖-202405046</t>
  </si>
  <si>
    <t>泗县极兔（环线）-按票充值</t>
  </si>
  <si>
    <t>DW2024008</t>
  </si>
  <si>
    <t>菜鸟项目</t>
  </si>
  <si>
    <t>华东-浙-202209018WB</t>
  </si>
  <si>
    <t>拱墅韵达搬迁（直线）维保费</t>
  </si>
  <si>
    <t>华南-粤-202406001</t>
  </si>
  <si>
    <t>市桥东极兔直线</t>
  </si>
  <si>
    <t>华南-云-202406002</t>
  </si>
  <si>
    <t>广南县中通直线</t>
  </si>
  <si>
    <t>华南-赣-202406003</t>
  </si>
  <si>
    <t>南昌小蓝极兔环线</t>
  </si>
  <si>
    <t>华南-粤-202406004</t>
  </si>
  <si>
    <t>乐从共派直线搬迁-取消</t>
  </si>
  <si>
    <t>华东-浙-202406001</t>
  </si>
  <si>
    <t>下沙韵达加层（环线）</t>
  </si>
  <si>
    <t>华南-内蒙-202108002拆</t>
  </si>
  <si>
    <t>乌兰察布韵达环线拆机回购</t>
  </si>
  <si>
    <t>华南-鄂-202405047</t>
  </si>
  <si>
    <t>夷陵共派整改龙门架</t>
  </si>
  <si>
    <t>华东-苏-202402017拆</t>
  </si>
  <si>
    <t>南京大厂共派二期-按票充值（拆机）</t>
  </si>
  <si>
    <t>华东-京-202207019A</t>
  </si>
  <si>
    <t>北京通马路韵达接口</t>
  </si>
  <si>
    <t>华东-晋-202207003A</t>
  </si>
  <si>
    <t>夏邑申通极兔接口</t>
  </si>
  <si>
    <t>华东-晋-202406003</t>
  </si>
  <si>
    <t>运城绛县共派</t>
  </si>
  <si>
    <t>华南-粤-202406011</t>
  </si>
  <si>
    <t>惠东极兔环线</t>
  </si>
  <si>
    <t>华东-苏-202405039</t>
  </si>
  <si>
    <t>高邮共派-取消</t>
  </si>
  <si>
    <t>华南-粤-202406010</t>
  </si>
  <si>
    <t>茂南极兔</t>
  </si>
  <si>
    <t>华东-川-202406002</t>
  </si>
  <si>
    <t>四川南部申通-按票充值</t>
  </si>
  <si>
    <t>华南-桂-202406005</t>
  </si>
  <si>
    <t>南宁北湖网格仓拆除</t>
  </si>
  <si>
    <t>华南-粤-202406009</t>
  </si>
  <si>
    <t>广州嘉禾极兔直线</t>
  </si>
  <si>
    <t>华南-粤-202406006</t>
  </si>
  <si>
    <t>万邦常平分拣中心增购</t>
  </si>
  <si>
    <t>华南-俄罗斯-202406007</t>
  </si>
  <si>
    <t>牧星俄罗斯3DS分拣项目</t>
  </si>
  <si>
    <t>华南-冀-202406012</t>
  </si>
  <si>
    <t>清河圆通供包台改造</t>
  </si>
  <si>
    <t>华东-苏-202406006</t>
  </si>
  <si>
    <t>南京大厂二期搬迁</t>
  </si>
  <si>
    <t>华东-苏-202406005</t>
  </si>
  <si>
    <t>常熟极兔二期-按票充值</t>
  </si>
  <si>
    <t>华南-粤-202406013</t>
  </si>
  <si>
    <t>常平中通环线</t>
  </si>
  <si>
    <t>华南-粤-202406014</t>
  </si>
  <si>
    <t>广州番禺东环三号仓</t>
  </si>
  <si>
    <t>华南-鄂-202406015</t>
  </si>
  <si>
    <t>武汉青山中通直线（鄂州中通搬迁）</t>
  </si>
  <si>
    <t>华东-苏-202406004</t>
  </si>
  <si>
    <t>常熟东南韵达（环线）-取消</t>
  </si>
  <si>
    <t>华东-冀-202110020WB</t>
  </si>
  <si>
    <t>河北易县申通维保</t>
  </si>
  <si>
    <t>华南-琼-202406016</t>
  </si>
  <si>
    <t>海南儋州中通直线</t>
  </si>
  <si>
    <t>华南-粤-202406017</t>
  </si>
  <si>
    <t>大朗圆通三期环线</t>
  </si>
  <si>
    <t>华南-粤-202406019</t>
  </si>
  <si>
    <t>高州中通三期（一期搬迁）</t>
  </si>
  <si>
    <t>华南-粤-202012001拆</t>
  </si>
  <si>
    <t>凤岗圆通-拆机</t>
  </si>
  <si>
    <t>华东-鲁-202406007</t>
  </si>
  <si>
    <t>德州圆通二期</t>
  </si>
  <si>
    <t>华南-粤-202406021</t>
  </si>
  <si>
    <t>汕头邮政环线电控</t>
  </si>
  <si>
    <t>华东-闽-202405054</t>
  </si>
  <si>
    <t>旗山邮政改造</t>
  </si>
  <si>
    <t>华东-闽-202405051</t>
  </si>
  <si>
    <t>厦门海沧邮政</t>
  </si>
  <si>
    <t>华南-鄂-202403032A</t>
  </si>
  <si>
    <t>京山圆通搬迁</t>
  </si>
  <si>
    <t>华南-豫-202406018</t>
  </si>
  <si>
    <t>河南许昌小黄狗直线拆机</t>
  </si>
  <si>
    <t>华南-冀-202406023</t>
  </si>
  <si>
    <t>邢台信都共派环线+窄带</t>
  </si>
  <si>
    <t>华东-浙-202406008</t>
  </si>
  <si>
    <t>台州三门共派</t>
  </si>
  <si>
    <t>华东-冀-202406010</t>
  </si>
  <si>
    <t>安新韵达网格仓</t>
  </si>
  <si>
    <t>华南-云-202406024</t>
  </si>
  <si>
    <t>云南普洱景谷共派直线</t>
  </si>
  <si>
    <t>华南-陕-202406020</t>
  </si>
  <si>
    <t>咸阳韵达直线</t>
  </si>
  <si>
    <t>华东-鄂-202406009</t>
  </si>
  <si>
    <t>荆门申通</t>
  </si>
  <si>
    <t>华南-蒙-202406022</t>
  </si>
  <si>
    <t>二连浩特共派（乌兰浩特韵达搬迁）</t>
  </si>
  <si>
    <t>华南-湘-202406025</t>
  </si>
  <si>
    <t>临湘共派增购</t>
  </si>
  <si>
    <t>华南-冀-202406026</t>
  </si>
  <si>
    <t>邢台南和极兔</t>
  </si>
  <si>
    <t>华东-苏-202406012</t>
  </si>
  <si>
    <t>昆山城东网格仓</t>
  </si>
  <si>
    <t>华东-鄂-202406017</t>
  </si>
  <si>
    <t>麻城共派二期</t>
  </si>
  <si>
    <t>华南-冀-202406028</t>
  </si>
  <si>
    <t>沧县极兔环线</t>
  </si>
  <si>
    <t>华东-冀-202406014</t>
  </si>
  <si>
    <t>石家庄绿洲公园共派-按票充值</t>
  </si>
  <si>
    <t>华东-浙-202406016</t>
  </si>
  <si>
    <t>温岭极兔</t>
  </si>
  <si>
    <t>华东-川-202406015</t>
  </si>
  <si>
    <t>德阳共派辅线改造</t>
  </si>
  <si>
    <t>华东-鄂-202406013</t>
  </si>
  <si>
    <t>孝感集包仓增购</t>
  </si>
  <si>
    <t>华东-浙-202110004WB</t>
  </si>
  <si>
    <t>南下朱圆通（金马圆通）维保费</t>
  </si>
  <si>
    <t>华东-浙-201908005A</t>
  </si>
  <si>
    <t>盐仓圆通极兔接口费</t>
  </si>
  <si>
    <t>华南-鄂-202205014A</t>
  </si>
  <si>
    <t>武汉石桥共派申通接口</t>
  </si>
  <si>
    <t>华南-鄂-202211005A</t>
  </si>
  <si>
    <t>中南民族大学共配端口对接费</t>
  </si>
  <si>
    <t>华东-皖-202406018</t>
  </si>
  <si>
    <t>阜阳申通</t>
  </si>
  <si>
    <t>华南-粤-202406029</t>
  </si>
  <si>
    <t>永泰中通进港环线</t>
  </si>
  <si>
    <t>华南-粤-202406030</t>
  </si>
  <si>
    <t>韶关极兔环线</t>
  </si>
  <si>
    <t>华东-新-202406019</t>
  </si>
  <si>
    <t>伊宁申通接口协议</t>
  </si>
  <si>
    <t>华东-蒙-202406021</t>
  </si>
  <si>
    <t>呼伦贝尔极兔-按票充值</t>
  </si>
  <si>
    <t>华东-津-202406023</t>
  </si>
  <si>
    <t>天津静海申通</t>
  </si>
  <si>
    <t>华东-鲁-202406024</t>
  </si>
  <si>
    <t>济南中通集包仓</t>
  </si>
  <si>
    <t>华东-皖-202310035拆</t>
  </si>
  <si>
    <t>亳州谯城韵达直线-拆机</t>
  </si>
  <si>
    <t>华东-闽-202406025</t>
  </si>
  <si>
    <t>南安中通一部</t>
  </si>
  <si>
    <t>华东-晋-202406026</t>
  </si>
  <si>
    <t>介休圆通搬迁</t>
  </si>
  <si>
    <t>华南-粤-202406032</t>
  </si>
  <si>
    <t>东莞寮步极兔直线</t>
  </si>
  <si>
    <t>华南-粤-202406033</t>
  </si>
  <si>
    <t>番禺繁华申通直线</t>
  </si>
  <si>
    <t>海外-沙特-202406001</t>
  </si>
  <si>
    <t>利雅得-RFUFCO(Laverne)直线交叉带</t>
  </si>
  <si>
    <t>华南-粤-202407001</t>
  </si>
  <si>
    <t>中山小榄申通环线</t>
  </si>
  <si>
    <t>华南-鄂-202406034</t>
  </si>
  <si>
    <t>恩施中通环线增购</t>
  </si>
  <si>
    <t>华东-闽-202406028</t>
  </si>
  <si>
    <t>清濛中通</t>
  </si>
  <si>
    <t>华东-闽-202406030</t>
  </si>
  <si>
    <t>光泽辅线改造</t>
  </si>
  <si>
    <t>华南-粤-202407002</t>
  </si>
  <si>
    <t>丰和圆通增购</t>
  </si>
  <si>
    <t>华东-皖-202407001</t>
  </si>
  <si>
    <t>安徽安庆韵达</t>
  </si>
  <si>
    <t>华东-闽-202407003</t>
  </si>
  <si>
    <t>仙游申通</t>
  </si>
  <si>
    <t>华东-闽-202407002</t>
  </si>
  <si>
    <t>闽侯中通搬迁</t>
  </si>
  <si>
    <t>华东-冀-202407004</t>
  </si>
  <si>
    <t>易县申通搬迁</t>
  </si>
  <si>
    <t>华东-鲁-202407006</t>
  </si>
  <si>
    <t>青岛北区共配直线</t>
  </si>
  <si>
    <t>华南-粤-202406027</t>
  </si>
  <si>
    <t>广州增江街网格仓</t>
  </si>
  <si>
    <t>华东-闽-202407008</t>
  </si>
  <si>
    <t>莆田圆通出港改造</t>
  </si>
  <si>
    <t>华东-闽-202407007</t>
  </si>
  <si>
    <t>莆田圆通进港改造</t>
  </si>
  <si>
    <t>华南-云-202407004</t>
  </si>
  <si>
    <t>云南昭通盐津共配直线1</t>
  </si>
  <si>
    <t>华南-黑-202407005</t>
  </si>
  <si>
    <t>哈尔滨平房区共配（2套直线）</t>
  </si>
  <si>
    <t>华南-宁-202407008</t>
  </si>
  <si>
    <t>宁夏大武口共派</t>
  </si>
  <si>
    <t>华东-晋-202407004</t>
  </si>
  <si>
    <t>长治襄垣中通接口协议</t>
  </si>
  <si>
    <t>华南-粤-202407006</t>
  </si>
  <si>
    <t>汕头邮政增购</t>
  </si>
  <si>
    <t>DW2024009</t>
  </si>
  <si>
    <t>惠州大湖</t>
  </si>
  <si>
    <t>华东-浙-202403050拆</t>
  </si>
  <si>
    <t>瓯海韵达拆机</t>
  </si>
  <si>
    <t>华南-粤-202404016</t>
  </si>
  <si>
    <t>从化小件申通（置换设备）</t>
  </si>
  <si>
    <t>华东-皖-202406022</t>
  </si>
  <si>
    <t>亳州韵达搬迁（作废）</t>
  </si>
  <si>
    <t>华东-闽-202207018拆</t>
  </si>
  <si>
    <t>莆田中通-拆机</t>
  </si>
  <si>
    <t>华东-冀-202407011</t>
  </si>
  <si>
    <t>固安中通建包仓-按票充值</t>
  </si>
  <si>
    <t>DW2024010</t>
  </si>
  <si>
    <t>狄捷项目驻点</t>
  </si>
  <si>
    <t>华南-粤-202407009</t>
  </si>
  <si>
    <t>四会碧素堂云仓</t>
  </si>
  <si>
    <t>华南-津-202407010</t>
  </si>
  <si>
    <t>华北唯品会改造电控</t>
  </si>
  <si>
    <t>华南-粤-202407012</t>
  </si>
  <si>
    <t>惠州博罗中通环线</t>
  </si>
  <si>
    <t>华东-川-202407009</t>
  </si>
  <si>
    <t>广汉中通-按票充值</t>
  </si>
  <si>
    <t>华南-粤-202407011</t>
  </si>
  <si>
    <t>深圳同城邮政电控</t>
  </si>
  <si>
    <t>华南-黑-202407013</t>
  </si>
  <si>
    <t>黑龙江木兰中通直线</t>
  </si>
  <si>
    <t>华东-浙-202407010</t>
  </si>
  <si>
    <t>海曙共派二期</t>
  </si>
  <si>
    <t>华东-冀-202407012</t>
  </si>
  <si>
    <t>宁晋申通-按票充值</t>
  </si>
  <si>
    <t>华东-冀-202407013</t>
  </si>
  <si>
    <t>晋州北区圆通-按票充值</t>
  </si>
  <si>
    <t>华东-津-202407014</t>
  </si>
  <si>
    <t>北辰共配二期加层-按票充值</t>
  </si>
  <si>
    <t>华东-甘-202406031</t>
  </si>
  <si>
    <t>榆中共配</t>
  </si>
  <si>
    <t>华东-苏-202407015</t>
  </si>
  <si>
    <t>高邮中通-按票充值</t>
  </si>
  <si>
    <t>华东-皖-202407016</t>
  </si>
  <si>
    <t>亳州申通</t>
  </si>
  <si>
    <t>华东-豫-202407017</t>
  </si>
  <si>
    <t>濮阳范县共配</t>
  </si>
  <si>
    <t>华东-鲁-202407018</t>
  </si>
  <si>
    <t>济南临港中通</t>
  </si>
  <si>
    <t>华南-辽-202407014</t>
  </si>
  <si>
    <t>辽宁调兵山共派直线</t>
  </si>
  <si>
    <t>华东-闽-202310026A</t>
  </si>
  <si>
    <t>福建标一窄带泉州德化辅线</t>
  </si>
  <si>
    <t>华东-津-202407005</t>
  </si>
  <si>
    <t>北辰共配窄带拆机</t>
  </si>
  <si>
    <t>华南-云-202407004A</t>
  </si>
  <si>
    <t>云南昭通盐津共配直线2</t>
  </si>
  <si>
    <t>华东-浙-202407019</t>
  </si>
  <si>
    <t>金义韵达二期</t>
  </si>
  <si>
    <t>华南-粤-202409007</t>
  </si>
  <si>
    <t>揭西圆通直线-按票充值</t>
  </si>
  <si>
    <t>华南-吉-202407016</t>
  </si>
  <si>
    <t>长春高新一共派窄带</t>
  </si>
  <si>
    <t>华东-皖-202407020</t>
  </si>
  <si>
    <t>阜南圆通</t>
  </si>
  <si>
    <t>华东-新-202407022</t>
  </si>
  <si>
    <t>独山子共派直线</t>
  </si>
  <si>
    <t>华南-粤-202407017</t>
  </si>
  <si>
    <t>陆河韵达极兔直线</t>
  </si>
  <si>
    <t>华南-粤-202407019</t>
  </si>
  <si>
    <t>连州中通直线-取消</t>
  </si>
  <si>
    <t>华东-闽-202407023</t>
  </si>
  <si>
    <t>福州长乐共配</t>
  </si>
  <si>
    <t>华南-湘-202303006A</t>
  </si>
  <si>
    <t>湘潭共派新增申通接口</t>
  </si>
  <si>
    <t>华南-粤-202109006WB</t>
  </si>
  <si>
    <t>公明邮政维保费</t>
  </si>
  <si>
    <t>华东-甘-202406032</t>
  </si>
  <si>
    <t>皋兰共配</t>
  </si>
  <si>
    <t>华东-新-202407024</t>
  </si>
  <si>
    <t>库车极兔直线</t>
  </si>
  <si>
    <t>华南-陕-202407020</t>
  </si>
  <si>
    <t>西安申通窄带电控</t>
  </si>
  <si>
    <t>华东-浙-202407025</t>
  </si>
  <si>
    <t>瓯海极兔</t>
  </si>
  <si>
    <t>华南-沙特-202311013A</t>
  </si>
  <si>
    <t>沙特吉达JDDC项目改造</t>
  </si>
  <si>
    <t>华南-粤-202407026</t>
  </si>
  <si>
    <t>永泰中通出港环线</t>
  </si>
  <si>
    <t>华东-皖-202407028</t>
  </si>
  <si>
    <t>繁昌共配</t>
  </si>
  <si>
    <t>华东-鲁-202407029</t>
  </si>
  <si>
    <t>胶州圆通二期</t>
  </si>
  <si>
    <t>华东-川-202407026</t>
  </si>
  <si>
    <t>内江圆通</t>
  </si>
  <si>
    <t>华东-川-202407027</t>
  </si>
  <si>
    <t>内江共派</t>
  </si>
  <si>
    <t>华东-新-202407021</t>
  </si>
  <si>
    <t>昌吉极兔搬迁</t>
  </si>
  <si>
    <t>华南-桂-202407022</t>
  </si>
  <si>
    <t>广西北流邮政环线</t>
  </si>
  <si>
    <t>华南-桂-202407021</t>
  </si>
  <si>
    <t>广西博白邮政环线</t>
  </si>
  <si>
    <t>华南-陕-202407025</t>
  </si>
  <si>
    <t>西安极兔环线</t>
  </si>
  <si>
    <t>华南-吉-202407027</t>
  </si>
  <si>
    <t>吉林通化共派增购</t>
  </si>
  <si>
    <t>华南-粤-202407028</t>
  </si>
  <si>
    <t>电白韵达直线</t>
  </si>
  <si>
    <t>华南-粤-202407029</t>
  </si>
  <si>
    <t>普宁湖东中通环线</t>
  </si>
  <si>
    <t>华东-鲁-202407031</t>
  </si>
  <si>
    <t>平度韵达</t>
  </si>
  <si>
    <t>华东-豫-202407030</t>
  </si>
  <si>
    <t>虞城共派三期</t>
  </si>
  <si>
    <t>华南-粤-202407030</t>
  </si>
  <si>
    <t>谷饶申通增购摆轮软件</t>
  </si>
  <si>
    <t>华南-桂-202407031</t>
  </si>
  <si>
    <t>广西百色右江共配直线</t>
  </si>
  <si>
    <t>华南-桂-202407032</t>
  </si>
  <si>
    <t>广西百色靖西共配</t>
  </si>
  <si>
    <t>华东-新-202407032</t>
  </si>
  <si>
    <t>阿克苏共派</t>
  </si>
  <si>
    <t>华南-桂-202407034</t>
  </si>
  <si>
    <t>广西风雷邮政软件</t>
  </si>
  <si>
    <t>华南-粤-202407035</t>
  </si>
  <si>
    <t>湛江遂溪申通直线</t>
  </si>
  <si>
    <t>华南-赣-202407033</t>
  </si>
  <si>
    <t>南昌英雄分部中通</t>
  </si>
  <si>
    <t>华南-鄂-202407037</t>
  </si>
  <si>
    <t>襄阳谷城共派直线</t>
  </si>
  <si>
    <t>华东-冀-202407034</t>
  </si>
  <si>
    <t>河北廊坊安次区共配直线</t>
  </si>
  <si>
    <t>华南-粤-202407036</t>
  </si>
  <si>
    <t>大朗韵达增购供包台</t>
  </si>
  <si>
    <t>华南-云-202407039</t>
  </si>
  <si>
    <t>云南大理剑川共配直线</t>
  </si>
  <si>
    <t>华东-皖-202407036</t>
  </si>
  <si>
    <t>合肥庐阳共配</t>
  </si>
  <si>
    <t>华南-云-202407040</t>
  </si>
  <si>
    <t>昆明宜良韵达分拨环线利旧</t>
  </si>
  <si>
    <t>华南-桂-202407041</t>
  </si>
  <si>
    <t>南宁申通窄带电控</t>
  </si>
  <si>
    <t>华东-鄂-202407033</t>
  </si>
  <si>
    <t>湖北团风邮政</t>
  </si>
  <si>
    <t>华东-闽-202207020拆</t>
  </si>
  <si>
    <t>泉州邮政出港拆机</t>
  </si>
  <si>
    <t>华南-云-202407038</t>
  </si>
  <si>
    <t>曲靖韵达增购</t>
  </si>
  <si>
    <t>华东-鲁-202208043A</t>
  </si>
  <si>
    <t>鱼台共派新增极兔接口</t>
  </si>
  <si>
    <t>华南-贵-202407042</t>
  </si>
  <si>
    <t>贵州兴仁共配直线</t>
  </si>
  <si>
    <t>华东-川-202407037</t>
  </si>
  <si>
    <t>温江中通搬迁</t>
  </si>
  <si>
    <t>华南-桂-202407023</t>
  </si>
  <si>
    <t>广西藤县邮政直线</t>
  </si>
  <si>
    <t>华南-桂-202407024</t>
  </si>
  <si>
    <t>广西贺州邮政环线</t>
  </si>
  <si>
    <t>华南-粤-202407043</t>
  </si>
  <si>
    <t>深圳富民中通环线</t>
  </si>
  <si>
    <t>华南-鄂-202407044</t>
  </si>
  <si>
    <t>武汉流芳网格仓搬迁</t>
  </si>
  <si>
    <t>华东-冀-202308017JK</t>
  </si>
  <si>
    <t>徐水中通接口费</t>
  </si>
  <si>
    <t>华南-鄂-202211008JK</t>
  </si>
  <si>
    <t>藏龙岛共派二期接口费</t>
  </si>
  <si>
    <t>华东-浙-202201003-1WB</t>
  </si>
  <si>
    <t>东阳圆通二期维保费</t>
  </si>
  <si>
    <t>华东-苏-202202001WB</t>
  </si>
  <si>
    <t>如东共派维保费</t>
  </si>
  <si>
    <t>华南-粤-202407045</t>
  </si>
  <si>
    <t>江门蓬江申通环线</t>
  </si>
  <si>
    <t>华东-闽-202407038</t>
  </si>
  <si>
    <t>龙海极兔</t>
  </si>
  <si>
    <t>华东-浙-202407039</t>
  </si>
  <si>
    <t>温岭路桥韵达拆机</t>
  </si>
  <si>
    <t>DW2024011</t>
  </si>
  <si>
    <t>庵埠申通</t>
  </si>
  <si>
    <t>华南-陕-202407047</t>
  </si>
  <si>
    <t>咸阳兴平泽西敏华多多仓</t>
  </si>
  <si>
    <t>华东-浙-202407040</t>
  </si>
  <si>
    <t>下骆宅韵达二期-拆机</t>
  </si>
  <si>
    <t>华东-浙-202407041</t>
  </si>
  <si>
    <t>丽水云和共派二期</t>
  </si>
  <si>
    <t>华东-冀-202403044JK</t>
  </si>
  <si>
    <t>保定韵达集包仓接口费</t>
  </si>
  <si>
    <t>华东-冀-202407042</t>
  </si>
  <si>
    <t>无极韵达-按票充值</t>
  </si>
  <si>
    <t>华东-冀-202407043</t>
  </si>
  <si>
    <t>唐山圆通二期</t>
  </si>
  <si>
    <t>华东-苏-201908006WB</t>
  </si>
  <si>
    <t>徐州韵达维保费</t>
  </si>
  <si>
    <t>华东-渝-202205006WB</t>
  </si>
  <si>
    <t>重庆九龙坡共派搬迁（永川共派）维保费</t>
  </si>
  <si>
    <t>华南-湘-202408001</t>
  </si>
  <si>
    <t>湖南郴州汝城共配</t>
  </si>
  <si>
    <t>华南-粤-202408003</t>
  </si>
  <si>
    <t>南村韵达进港环线</t>
  </si>
  <si>
    <t>华南-贵-202408002</t>
  </si>
  <si>
    <t>贵州六枝共配环线</t>
  </si>
  <si>
    <t>华东-闽-202408002</t>
  </si>
  <si>
    <t>石狮申通满袋增购</t>
  </si>
  <si>
    <t>华东-苏-202408001</t>
  </si>
  <si>
    <t>常熟申通满袋增购-取消</t>
  </si>
  <si>
    <t>华东-闽-202408003</t>
  </si>
  <si>
    <t>晋江申通满袋增购-取消</t>
  </si>
  <si>
    <t>华东-京-202310036JK</t>
  </si>
  <si>
    <t>德茂共派增加中通接口</t>
  </si>
  <si>
    <t>华东-京-202208028JK</t>
  </si>
  <si>
    <t>北京大红门网格仓增加申通接口</t>
  </si>
  <si>
    <t>海外-利雅得-202408001</t>
  </si>
  <si>
    <t>沙特利雅得-SMSA</t>
  </si>
  <si>
    <t>DW2024012</t>
  </si>
  <si>
    <t>虎门申通（外部）</t>
  </si>
  <si>
    <t>华南-赣-202408004</t>
  </si>
  <si>
    <t>青山湖邮政环线</t>
  </si>
  <si>
    <t>华东-皖-202408004</t>
  </si>
  <si>
    <t>阜南申通</t>
  </si>
  <si>
    <t>华东-冀-202406010A</t>
  </si>
  <si>
    <t>安新韵达增补</t>
  </si>
  <si>
    <t>华南-赣-202408007</t>
  </si>
  <si>
    <t>江西九江共配直线</t>
  </si>
  <si>
    <t>华东-浙-202408005</t>
  </si>
  <si>
    <t>海宁中通三期-取消</t>
  </si>
  <si>
    <t>华南-冀-202408006</t>
  </si>
  <si>
    <t>石家庄栾城极兔环线</t>
  </si>
  <si>
    <t>华南-桂-202408008</t>
  </si>
  <si>
    <t>河池邮政增加收寄功能</t>
  </si>
  <si>
    <t>华南-桂-202408009</t>
  </si>
  <si>
    <t>来宾邮政增加收寄功能</t>
  </si>
  <si>
    <t>华东-川-202408006</t>
  </si>
  <si>
    <t>达州中通</t>
  </si>
  <si>
    <t>华南-湘-202408011</t>
  </si>
  <si>
    <t>岳阳云溪共配直线</t>
  </si>
  <si>
    <t>华南-陕-202408012</t>
  </si>
  <si>
    <t>航站邮政多多仓环线</t>
  </si>
  <si>
    <t>华南-陕-202408013</t>
  </si>
  <si>
    <t>联储邮政多多仓环线</t>
  </si>
  <si>
    <t>华南-泰国-202408010</t>
  </si>
  <si>
    <t>2024年泰国备件第三批</t>
  </si>
  <si>
    <t>华南-云-202404026JK</t>
  </si>
  <si>
    <t>昆明康乐共派直线接口</t>
  </si>
  <si>
    <t>华东-鲁-202408008</t>
  </si>
  <si>
    <t>泰安韵达</t>
  </si>
  <si>
    <t>华南-云-202408014</t>
  </si>
  <si>
    <t>玉溪韵达直线</t>
  </si>
  <si>
    <t>华南-贵-202408015</t>
  </si>
  <si>
    <t>贵阳乌当中通直线-取消</t>
  </si>
  <si>
    <t>华东-浙-202408009</t>
  </si>
  <si>
    <t>桐乡园韵改造</t>
  </si>
  <si>
    <t>华南-粤-202408016</t>
  </si>
  <si>
    <t>肇庆高要共配环线</t>
  </si>
  <si>
    <t>华东-苏-202408010</t>
  </si>
  <si>
    <t>昆山玉城韵达</t>
  </si>
  <si>
    <t>华南-湘-202408018</t>
  </si>
  <si>
    <t>长沙松雅湖共配直线</t>
  </si>
  <si>
    <t>华南-粤-202408019</t>
  </si>
  <si>
    <t>里水极兔直线</t>
  </si>
  <si>
    <t>华东-京-202408011</t>
  </si>
  <si>
    <t>北京久敬庄网格仓</t>
  </si>
  <si>
    <t>华南-鄂-202408017</t>
  </si>
  <si>
    <t>武汉奓山镇韵达拆除回收</t>
  </si>
  <si>
    <t>华东-冀-202408015</t>
  </si>
  <si>
    <t>河北唐山路北区共配直线</t>
  </si>
  <si>
    <t>华东-沪-202408013</t>
  </si>
  <si>
    <t>上海奉贤邮政改造</t>
  </si>
  <si>
    <t>华东-鲁-202408012</t>
  </si>
  <si>
    <t>莒南共派三期</t>
  </si>
  <si>
    <t>华东-甘-202408014</t>
  </si>
  <si>
    <t>兰州红古共配增购</t>
  </si>
  <si>
    <t>华南-云-202408022</t>
  </si>
  <si>
    <t>云南玉溪邮政环线</t>
  </si>
  <si>
    <t>华东-皖-202408016</t>
  </si>
  <si>
    <t>芜湖圆通增购纠偏</t>
  </si>
  <si>
    <t>华南-粤-202408020</t>
  </si>
  <si>
    <t>韶关翁源共派</t>
  </si>
  <si>
    <t>华南-云-202408023</t>
  </si>
  <si>
    <t>云南德钦县共配窄带</t>
  </si>
  <si>
    <t>华南-云-202408026</t>
  </si>
  <si>
    <t>云南香格里拉共配直线</t>
  </si>
  <si>
    <t>华南-粤-202408024</t>
  </si>
  <si>
    <t>谢岗共派窄带</t>
  </si>
  <si>
    <t>华南-陕-202408025A</t>
  </si>
  <si>
    <t>西安宇培仓直线</t>
  </si>
  <si>
    <t>华南-陕-202408025B</t>
  </si>
  <si>
    <t>西安风驰仓直线</t>
  </si>
  <si>
    <t>华南-渝-202408029</t>
  </si>
  <si>
    <t>重庆申通窄带电控</t>
  </si>
  <si>
    <t>华东-豫-202408018</t>
  </si>
  <si>
    <t>河南内乡共派（直线）</t>
  </si>
  <si>
    <t>华南-粤-202408030</t>
  </si>
  <si>
    <t>珠海邮政环线电控</t>
  </si>
  <si>
    <t>华南-粤-202408031</t>
  </si>
  <si>
    <t>清溪圆通搬迁</t>
  </si>
  <si>
    <t>华南-冀-202408032</t>
  </si>
  <si>
    <t>邢台内丘极兔搬迁改造</t>
  </si>
  <si>
    <t>华南-云-202408033</t>
  </si>
  <si>
    <t>云南墨江共配窄带</t>
  </si>
  <si>
    <t>华南-赣-202408021</t>
  </si>
  <si>
    <t>江西鄱阳邮政环线</t>
  </si>
  <si>
    <t>华南-湘-202408034</t>
  </si>
  <si>
    <t>平江共配二期环线</t>
  </si>
  <si>
    <t>华东-京-202408019</t>
  </si>
  <si>
    <t>北京朝阳共派二期（直线）-按票充值</t>
  </si>
  <si>
    <t>华东-冀-202408020</t>
  </si>
  <si>
    <t>辛集圆通二期（环线）-按票充值</t>
  </si>
  <si>
    <t>华南-黑-202408036</t>
  </si>
  <si>
    <t>黑龙江五大连池共派环线</t>
  </si>
  <si>
    <t>华南-黑-202408037</t>
  </si>
  <si>
    <t>黑龙江北安共派环线</t>
  </si>
  <si>
    <t>华南-粤-202408035</t>
  </si>
  <si>
    <t>石基共派直线</t>
  </si>
  <si>
    <t>华南-粤-202408028</t>
  </si>
  <si>
    <t>佛山乐龙邮政电控</t>
  </si>
  <si>
    <t>华东-豫-202408021</t>
  </si>
  <si>
    <t>商城共派（环线）</t>
  </si>
  <si>
    <t>华南-陕-202408038</t>
  </si>
  <si>
    <t>西安三桥韵达搬迁</t>
  </si>
  <si>
    <t>华南-鄂-202408039</t>
  </si>
  <si>
    <t>武汉金桥共派增购</t>
  </si>
  <si>
    <t>华东-豫-202408023</t>
  </si>
  <si>
    <t>河南开封兰考共配（环线）</t>
  </si>
  <si>
    <t>华南-蒙-202408040</t>
  </si>
  <si>
    <t>包头南区申通环线</t>
  </si>
  <si>
    <t>华东-浙-202408024</t>
  </si>
  <si>
    <t>嘉兴秀洲圆通二期（环线）</t>
  </si>
  <si>
    <t>华东-皖-202408025</t>
  </si>
  <si>
    <t>安徽望江韵达（环线）</t>
  </si>
  <si>
    <t>华东-苏-202408026</t>
  </si>
  <si>
    <t>常州戚墅堰申通-按票充值</t>
  </si>
  <si>
    <t>华南-吉-202408041</t>
  </si>
  <si>
    <t>吉林申通环线搬迁-取消</t>
  </si>
  <si>
    <t>DW2024013</t>
  </si>
  <si>
    <t>北京邮政项目</t>
  </si>
  <si>
    <t>华南-粤-202204012WB</t>
  </si>
  <si>
    <t>黄埠韵达维保费</t>
  </si>
  <si>
    <t>华南-粤-202408027</t>
  </si>
  <si>
    <t>佛山江湾邮政电控</t>
  </si>
  <si>
    <t>华东-豫-202408022</t>
  </si>
  <si>
    <t>珠江镇网格仓补充协议</t>
  </si>
  <si>
    <t>华东-京-202408027</t>
  </si>
  <si>
    <t>北京大兴龙腾共派（窄带）-按票充值</t>
  </si>
  <si>
    <t>华东-冀-202408028</t>
  </si>
  <si>
    <t>保定清苑共派（直线）-按票充值</t>
  </si>
  <si>
    <t>华南-湘-202408042</t>
  </si>
  <si>
    <t>湖南会同共派环线</t>
  </si>
  <si>
    <t>华南-粤-202408043</t>
  </si>
  <si>
    <t>卓弘达凤岗仓窄带</t>
  </si>
  <si>
    <t>华东-川-202408029</t>
  </si>
  <si>
    <t>温江圆通搬迁（环线）</t>
  </si>
  <si>
    <t>华南-云-202409001</t>
  </si>
  <si>
    <t>曲靖共派二期环线-取消</t>
  </si>
  <si>
    <t>华东-蒙-202408030</t>
  </si>
  <si>
    <t>海拉尔韵达搬迁（环线）</t>
  </si>
  <si>
    <t>华南-粤-202409002</t>
  </si>
  <si>
    <t>公明申通环线-取消</t>
  </si>
  <si>
    <t>华南-粤-202408044</t>
  </si>
  <si>
    <t>东莞寮步韵达窄带-取消</t>
  </si>
  <si>
    <t>华南-粤-202409021</t>
  </si>
  <si>
    <t>潮州金石圆通增购邮政系统</t>
  </si>
  <si>
    <t>华南-冀-202409005</t>
  </si>
  <si>
    <t>衡水圆通三期增购二层</t>
  </si>
  <si>
    <t>华东-鲁-202409001</t>
  </si>
  <si>
    <t>聊城中通供包台改造</t>
  </si>
  <si>
    <t>华东-川-202408031</t>
  </si>
  <si>
    <t>广元中通（环线）-按票充值</t>
  </si>
  <si>
    <t>华南-粤-202408045</t>
  </si>
  <si>
    <t>盐步韵达拆装改造</t>
  </si>
  <si>
    <t>华南-粤-202409006</t>
  </si>
  <si>
    <t>深圳坂田中通环线</t>
  </si>
  <si>
    <t>华东-浙-202411016</t>
  </si>
  <si>
    <t>玉环中通</t>
  </si>
  <si>
    <t>华南-吉-202409010</t>
  </si>
  <si>
    <t>长春东盛韵达（利旧长春北湖）</t>
  </si>
  <si>
    <t>华南-粤-202409011</t>
  </si>
  <si>
    <t>番禺官涌共派</t>
  </si>
  <si>
    <t>华南-粤-202304001WB</t>
  </si>
  <si>
    <t>广东南海圆通二期维保费</t>
  </si>
  <si>
    <t>华南-赣-202409012</t>
  </si>
  <si>
    <t>江西分宜共派环线</t>
  </si>
  <si>
    <t>华东-津-202409011</t>
  </si>
  <si>
    <t>天津滨海新区共派（直线）-按票充值</t>
  </si>
  <si>
    <t>华南-粤-202409015</t>
  </si>
  <si>
    <t>深圳光明中通直线增购</t>
  </si>
  <si>
    <t>华东-京-202409012</t>
  </si>
  <si>
    <t>北京朝阳东凤共派-按票充值</t>
  </si>
  <si>
    <t>华东-川-202409006</t>
  </si>
  <si>
    <t>九龙坡共派三期（窄带）</t>
  </si>
  <si>
    <t>华东-鄂-202409007</t>
  </si>
  <si>
    <t>襄阳襄城营盘路共派</t>
  </si>
  <si>
    <t>华南-粤-202409004</t>
  </si>
  <si>
    <t>揭东圆通直线</t>
  </si>
  <si>
    <t>华东-豫-202409008</t>
  </si>
  <si>
    <t>河南驻马店汝南共配（直线）</t>
  </si>
  <si>
    <t>华东-沪-202409009</t>
  </si>
  <si>
    <t>上海青浦华新申通（环线）</t>
  </si>
  <si>
    <t>华东-苏-202409004</t>
  </si>
  <si>
    <t>常熟申通增购过渡板-取消</t>
  </si>
  <si>
    <t>华东-藏-202409005</t>
  </si>
  <si>
    <t>西藏翻板机置换MINI环线</t>
  </si>
  <si>
    <t>华南-陕-202409014</t>
  </si>
  <si>
    <t>西安东捷四仓直线-取消</t>
  </si>
  <si>
    <t>华东-苏-202409010</t>
  </si>
  <si>
    <t>盱眙共派申通接口协议</t>
  </si>
  <si>
    <t>华东-川-202408032</t>
  </si>
  <si>
    <t>阿克苏共派补充协议</t>
  </si>
  <si>
    <t>华东-豫-202205001WB</t>
  </si>
  <si>
    <t>夏邑共派维保费</t>
  </si>
  <si>
    <t>华南-冀-202107005-1WB</t>
  </si>
  <si>
    <t>石家庄极兔维保费</t>
  </si>
  <si>
    <t>华南-陕-202409013</t>
  </si>
  <si>
    <t>联储空港仓</t>
  </si>
  <si>
    <t>华东-晋-202409013</t>
  </si>
  <si>
    <t>山西大同天镇直线</t>
  </si>
  <si>
    <t>华南-陕-202210024拆</t>
  </si>
  <si>
    <t>铜川共派直线-拆机</t>
  </si>
  <si>
    <t>华南-桂-202409016</t>
  </si>
  <si>
    <t>钦州灵山共配窄带</t>
  </si>
  <si>
    <t>华东-青-202409014</t>
  </si>
  <si>
    <t>西宁圆通增购纠偏</t>
  </si>
  <si>
    <t>华南-冀-202409017</t>
  </si>
  <si>
    <t>河北廊坊广阳邮政（利旧京山共派）</t>
  </si>
  <si>
    <t>华南-鄂-202409019</t>
  </si>
  <si>
    <t>武汉石桥共派搬迁</t>
  </si>
  <si>
    <t>华东-新-202409015</t>
  </si>
  <si>
    <t>伊宁申通增购格口电气</t>
  </si>
  <si>
    <t>华东-皖-202409016</t>
  </si>
  <si>
    <t>安徽合肥庐阳共配直线</t>
  </si>
  <si>
    <t>华东-浙-202409018</t>
  </si>
  <si>
    <t>平湖南桥中通</t>
  </si>
  <si>
    <t>华东-鲁-202409017</t>
  </si>
  <si>
    <t>乐陵中通</t>
  </si>
  <si>
    <t>华南-陕-202409022</t>
  </si>
  <si>
    <t>甘肃礼县共配环线</t>
  </si>
  <si>
    <t>华南-赣-202409023</t>
  </si>
  <si>
    <t>德兴共派二期环线</t>
  </si>
  <si>
    <t>华东-浙-202409021</t>
  </si>
  <si>
    <t>宝湾韵达改造</t>
  </si>
  <si>
    <t>华南-粤-202409026</t>
  </si>
  <si>
    <t>揭东磐东圆通直线</t>
  </si>
  <si>
    <t>华东-川-202409022</t>
  </si>
  <si>
    <t>九龙坡共派四期</t>
  </si>
  <si>
    <t>华南-粤-202409018</t>
  </si>
  <si>
    <t>大源韵达搬迁</t>
  </si>
  <si>
    <t>华南-桂-202409020</t>
  </si>
  <si>
    <t>广西钦州灵山共配增购（供包台改造）</t>
  </si>
  <si>
    <t>华东-冀-202409019</t>
  </si>
  <si>
    <t>沧州南皮共派直线-按票充值</t>
  </si>
  <si>
    <t>华东-鄂-202409020</t>
  </si>
  <si>
    <t>光谷共派增购撑袋架</t>
  </si>
  <si>
    <t>华南-鄂-202409008</t>
  </si>
  <si>
    <t>武汉石桥中通软件服务</t>
  </si>
  <si>
    <t>华南-冀-202409024</t>
  </si>
  <si>
    <t>行唐中通新增极兔接口</t>
  </si>
  <si>
    <t>华南-黑-202409025</t>
  </si>
  <si>
    <t>哈尔滨平房区共配增购</t>
  </si>
  <si>
    <t>YJ001</t>
  </si>
  <si>
    <t>申通展览样机</t>
  </si>
  <si>
    <t>华南-赣-202409028</t>
  </si>
  <si>
    <t>九江武宁共配环线</t>
  </si>
  <si>
    <t>华南-陕-202409029</t>
  </si>
  <si>
    <t>安康宁陕县共配窄带</t>
  </si>
  <si>
    <t>华东-闽-202008013WB</t>
  </si>
  <si>
    <t>泉州圆通维保费</t>
  </si>
  <si>
    <t>华东-闽-202401007WB</t>
  </si>
  <si>
    <t>灵源邮政维保费</t>
  </si>
  <si>
    <t>华南-云-202409027</t>
  </si>
  <si>
    <t>昆明茨坝共派加极兔接口</t>
  </si>
  <si>
    <t>华东-冀-202409023</t>
  </si>
  <si>
    <t>唐山路南共派-按票充值</t>
  </si>
  <si>
    <t>华东-渝-202409024</t>
  </si>
  <si>
    <t>重庆万州圆通-按票充值</t>
  </si>
  <si>
    <t>华东-鲁-202409025</t>
  </si>
  <si>
    <t>青岛北区共配第二套直线</t>
  </si>
  <si>
    <t>华东-苏-202409026</t>
  </si>
  <si>
    <t>南京大厂共派三期窄带-按票充值</t>
  </si>
  <si>
    <t>华东-豫-202409027</t>
  </si>
  <si>
    <t>河南新乡长垣县网格仓</t>
  </si>
  <si>
    <t>华东-苏-202409028</t>
  </si>
  <si>
    <t>双麒路网格仓</t>
  </si>
  <si>
    <t>华东-鄂-202409030</t>
  </si>
  <si>
    <t>天门申通二期</t>
  </si>
  <si>
    <t>华南-宁-202409030</t>
  </si>
  <si>
    <t>宁夏同心共配环线</t>
  </si>
  <si>
    <t>华东-沪-202409031</t>
  </si>
  <si>
    <t>上海北沈路网格仓搬迁</t>
  </si>
  <si>
    <t>华东-川-202409032</t>
  </si>
  <si>
    <t>四川长宁共配</t>
  </si>
  <si>
    <t>华东-冀-202409033</t>
  </si>
  <si>
    <t>河北行唐邮政</t>
  </si>
  <si>
    <t>海外-HK-202409001</t>
  </si>
  <si>
    <t>香港HKTV青衣仓项目</t>
  </si>
  <si>
    <t>华东-冀-202409029</t>
  </si>
  <si>
    <t>南宫邮政二期-取消</t>
  </si>
  <si>
    <t>华东-京-202410001</t>
  </si>
  <si>
    <t>顺义东部中通-按票充值</t>
  </si>
  <si>
    <t>华东-豫-202208010拆</t>
  </si>
  <si>
    <t>虞城共派三期环线回购协议</t>
  </si>
  <si>
    <t>华南-鄂-202409031</t>
  </si>
  <si>
    <t>湖北荆州江陵共配直线</t>
  </si>
  <si>
    <t>华东-川-202409034</t>
  </si>
  <si>
    <t>郫都中通-按票充值</t>
  </si>
  <si>
    <t>华东-冀-202209016JK</t>
  </si>
  <si>
    <t>邢台圆通错分报警系统</t>
  </si>
  <si>
    <t>华南-冀-202406012A</t>
  </si>
  <si>
    <t>清河圆通改造+衡水圆通改造</t>
  </si>
  <si>
    <t>华东-粤-202008003WB</t>
  </si>
  <si>
    <t>惠州江北韵达维保费</t>
  </si>
  <si>
    <t>华南-粤-202206006WB</t>
  </si>
  <si>
    <t>贵屿中通维保费</t>
  </si>
  <si>
    <t>华南-冀-202409033</t>
  </si>
  <si>
    <t>衡水圆通一期增购</t>
  </si>
  <si>
    <t>华东-皖-202409037</t>
  </si>
  <si>
    <t>安徽蚌埠申通</t>
  </si>
  <si>
    <t>华南-新-202409037</t>
  </si>
  <si>
    <t>新疆巩留极兔环线</t>
  </si>
  <si>
    <t>华东-皖-202410002</t>
  </si>
  <si>
    <t>亳州韵达二部</t>
  </si>
  <si>
    <t>华东-蒙-202410003</t>
  </si>
  <si>
    <t>赤峰中通二次搬迁</t>
  </si>
  <si>
    <t>华南-琼-202409032</t>
  </si>
  <si>
    <t>海南海口长流中通直线</t>
  </si>
  <si>
    <t>华南-粤-202410001</t>
  </si>
  <si>
    <t>深圳宝安申通环线</t>
  </si>
  <si>
    <t>华南-鄂-202409019A</t>
  </si>
  <si>
    <t>武汉石桥共派搬迁加申通接口-取消</t>
  </si>
  <si>
    <t>华东-浙-202409036</t>
  </si>
  <si>
    <t>瓯海圆通增购格口</t>
  </si>
  <si>
    <t>华南-鄂-202409035</t>
  </si>
  <si>
    <t>湖北保康共配环线</t>
  </si>
  <si>
    <t>华东-沪-202409038</t>
  </si>
  <si>
    <t>上海松江邮政</t>
  </si>
  <si>
    <t>华东-蒙-202409039</t>
  </si>
  <si>
    <t>包头东河区共配窄带</t>
  </si>
  <si>
    <t>华东-豫-202207015WB</t>
  </si>
  <si>
    <t>荥阳圆通维保费</t>
  </si>
  <si>
    <t>华东-闽-202409035</t>
  </si>
  <si>
    <t>仙游圆通</t>
  </si>
  <si>
    <t>华南-粤-202410002</t>
  </si>
  <si>
    <t>CEL凤岗窄带</t>
  </si>
  <si>
    <t>华东-苏-202410005</t>
  </si>
  <si>
    <t>宜兴丁山中通拆机</t>
  </si>
  <si>
    <t>华东-鲁-202410007</t>
  </si>
  <si>
    <t>济宁任城区中通直线-按票充值</t>
  </si>
  <si>
    <t>华南-赣-202410003</t>
  </si>
  <si>
    <t>江西广昌共配窄带</t>
  </si>
  <si>
    <t>华南-鄂-202410004</t>
  </si>
  <si>
    <t>恩施韵达直线</t>
  </si>
  <si>
    <t>华东-蒙-202410008</t>
  </si>
  <si>
    <t>内蒙古科右中旗共配新增接口</t>
  </si>
  <si>
    <t>华东-渝-202410009</t>
  </si>
  <si>
    <t>重庆江津中通-按票充值</t>
  </si>
  <si>
    <t>华东-闽-202410010</t>
  </si>
  <si>
    <t>厦门邮政（电控）</t>
  </si>
  <si>
    <t>华东-皖-202410006</t>
  </si>
  <si>
    <t>颍上圆通</t>
  </si>
  <si>
    <t>华南-桂-2024010005</t>
  </si>
  <si>
    <t>荔浦中通增加韵达接口</t>
  </si>
  <si>
    <t>华东-渝-202410011</t>
  </si>
  <si>
    <t>茶园韵达新增接口</t>
  </si>
  <si>
    <t>华东-豫-202410012</t>
  </si>
  <si>
    <t>周口圆通二期-按票充值</t>
  </si>
  <si>
    <t>华南-贵-202410006</t>
  </si>
  <si>
    <t>贵阳贵安新区窄带</t>
  </si>
  <si>
    <t>华东-浙-202306015JK</t>
  </si>
  <si>
    <t>黄岩中通错分报警系统</t>
  </si>
  <si>
    <t>华南-粤-202401019A</t>
  </si>
  <si>
    <t>潮南二部极兔增购</t>
  </si>
  <si>
    <t>华南-辽-202410007</t>
  </si>
  <si>
    <t>大洼分拣中心</t>
  </si>
  <si>
    <t>华南-辽-202410008</t>
  </si>
  <si>
    <t>双台子分拣中心</t>
  </si>
  <si>
    <t>华东-闽-202410014</t>
  </si>
  <si>
    <t>霞浦中通改造</t>
  </si>
  <si>
    <t>华南-贵-202410009</t>
  </si>
  <si>
    <t>贵州遵义正安共配直线</t>
  </si>
  <si>
    <t>华东-苏-202409028A</t>
  </si>
  <si>
    <t>双麒路网格仓中通接口协议</t>
  </si>
  <si>
    <t>华东-晋-202410016</t>
  </si>
  <si>
    <t>长治沁县共配</t>
  </si>
  <si>
    <t>华南-云-202410010</t>
  </si>
  <si>
    <t>云南普洱思茅共配环线</t>
  </si>
  <si>
    <t>华东-鲁-202410017</t>
  </si>
  <si>
    <t>枣庄京东仓</t>
  </si>
  <si>
    <t>华东-浙-202003002WB</t>
  </si>
  <si>
    <t>永康韵达维保费</t>
  </si>
  <si>
    <t>华东-苏-202409028B</t>
  </si>
  <si>
    <t>双麒路网格仓-申通接口</t>
  </si>
  <si>
    <t>华东-豫-202207012B</t>
  </si>
  <si>
    <t>确山共派申通接口合同</t>
  </si>
  <si>
    <t>华东-冀-202410018</t>
  </si>
  <si>
    <t>唐山丰南区共配直线</t>
  </si>
  <si>
    <t>华东-浙-202410019</t>
  </si>
  <si>
    <t>丽水景宁共配</t>
  </si>
  <si>
    <t>华南-粤-202410012</t>
  </si>
  <si>
    <t>湛江麻章极兔直线</t>
  </si>
  <si>
    <t>华东-冀-202410020</t>
  </si>
  <si>
    <t>蠡县共派搬迁</t>
  </si>
  <si>
    <t>华东-津-202411001</t>
  </si>
  <si>
    <t>天津西青中通</t>
  </si>
  <si>
    <t>DW2024014</t>
  </si>
  <si>
    <t xml:space="preserve"> 聊城邮政</t>
  </si>
  <si>
    <t>华东-鄂-202411002</t>
  </si>
  <si>
    <t>湖北大冶中通极兔</t>
  </si>
  <si>
    <t>华南-粤-202410013</t>
  </si>
  <si>
    <t>广州龙溪申通环线</t>
  </si>
  <si>
    <t>华东-鄂-202411003</t>
  </si>
  <si>
    <t>湖北恩施来凤共配直线</t>
  </si>
  <si>
    <t>华东-渝-202411004</t>
  </si>
  <si>
    <t>九龙坡共派三期改造</t>
  </si>
  <si>
    <t>华东-浙-202008005JK</t>
  </si>
  <si>
    <t>杭州乔司圆通技术服务合同</t>
  </si>
  <si>
    <t>华南-鄂-202112001WB</t>
  </si>
  <si>
    <t>蔡甸共派维保费</t>
  </si>
  <si>
    <t>华南-云-202411001</t>
  </si>
  <si>
    <t>云南昭通盐津共配增购</t>
  </si>
  <si>
    <t>华东-新-202407024A</t>
  </si>
  <si>
    <t>库车极兔新增大件狂扫系统</t>
  </si>
  <si>
    <t>华东-冀-202410015</t>
  </si>
  <si>
    <t>衡水冀州共派直线-按票充值</t>
  </si>
  <si>
    <t>华东-豫-202411005</t>
  </si>
  <si>
    <t>河南长垣共配环线</t>
  </si>
  <si>
    <t>华东-冀-202411006</t>
  </si>
  <si>
    <t>唐山圆通一期拆机（利旧到赤峰圆通）</t>
  </si>
  <si>
    <t>华东-川-202411008</t>
  </si>
  <si>
    <t>四川绵竹共配-按票充值</t>
  </si>
  <si>
    <t>华东-川-202406015A</t>
  </si>
  <si>
    <t>德阳共派辅线改造（溪鸟）</t>
  </si>
  <si>
    <t>华东-闽-202411007</t>
  </si>
  <si>
    <t>秀屿中通软件调试</t>
  </si>
  <si>
    <t>华南-粤-202411002</t>
  </si>
  <si>
    <t>广州一手黄岐仓</t>
  </si>
  <si>
    <t>海外-美国-202411001</t>
  </si>
  <si>
    <t>美国展</t>
  </si>
  <si>
    <t>华东-浙-202404053A</t>
  </si>
  <si>
    <t>杭州五堡窄带增购</t>
  </si>
  <si>
    <t>华东-晋-202411011</t>
  </si>
  <si>
    <t>长治潞城区共派</t>
  </si>
  <si>
    <t>华南-粤-202405023A</t>
  </si>
  <si>
    <t>凤岗极兔增购</t>
  </si>
  <si>
    <t>华东-鲁-202210027A</t>
  </si>
  <si>
    <t>山东兰陵共配增购供包台（溪鸟）</t>
  </si>
  <si>
    <t>华南-桂-202411004</t>
  </si>
  <si>
    <t>广西防城港邮政搬迁</t>
  </si>
  <si>
    <t>华东-晋-202411010</t>
  </si>
  <si>
    <t>山西吕梁岚县共派（溪鸟）</t>
  </si>
  <si>
    <t>华南-赣-202411005</t>
  </si>
  <si>
    <t>江西南昌黄家湖邮政</t>
  </si>
  <si>
    <t>华南-云-202411003</t>
  </si>
  <si>
    <t>曲靖极兔</t>
  </si>
  <si>
    <t>华东-京-202411013</t>
  </si>
  <si>
    <t>北京丰台共派搬迁改造</t>
  </si>
  <si>
    <t>华南-鄂-202408005</t>
  </si>
  <si>
    <t>武汉青山共派</t>
  </si>
  <si>
    <t>2023RD01</t>
  </si>
  <si>
    <t>自动供包系统</t>
  </si>
  <si>
    <t>2023RD05</t>
  </si>
  <si>
    <t>窄带自动供包系统</t>
  </si>
  <si>
    <t>2023RD06</t>
  </si>
  <si>
    <t>穿梭车播种墙</t>
  </si>
  <si>
    <t>2024RD01</t>
  </si>
  <si>
    <t>环线分拣系统优化升级</t>
  </si>
  <si>
    <t>2024RD02</t>
  </si>
  <si>
    <t>动态DWS系统</t>
  </si>
  <si>
    <t>2024RD03</t>
  </si>
  <si>
    <t>视觉纠偏系统2.0</t>
  </si>
  <si>
    <t>2024RD04</t>
  </si>
  <si>
    <t>视觉除双系统2.0</t>
  </si>
  <si>
    <t>2024RD05</t>
  </si>
  <si>
    <t>窄带分拣系统结构优化</t>
  </si>
  <si>
    <t>YF0042</t>
  </si>
  <si>
    <t>RD09 联合窄带上件段</t>
  </si>
  <si>
    <t>2024RD07</t>
  </si>
  <si>
    <t>基于自动供包目的的爬坡单件分离系统</t>
  </si>
  <si>
    <t>YF0044</t>
  </si>
  <si>
    <t>RD11 次级板集采</t>
  </si>
  <si>
    <t>2024RD06</t>
  </si>
  <si>
    <t>智能立体分拣系统</t>
  </si>
  <si>
    <t>2024RD08</t>
  </si>
  <si>
    <t>悬臂分拣系统</t>
  </si>
  <si>
    <t>华东-川-202411012</t>
  </si>
  <si>
    <t>四川眉山东坡共配</t>
  </si>
  <si>
    <t>华南-贵-202411006</t>
  </si>
  <si>
    <t>贵州余庆共配窄带</t>
  </si>
  <si>
    <t>华南-蒙-202406021A</t>
  </si>
  <si>
    <t>二连浩特共派增购</t>
  </si>
  <si>
    <t>华东-闽-202411014</t>
  </si>
  <si>
    <t>福建台商中通拆机</t>
  </si>
  <si>
    <t>000010</t>
  </si>
  <si>
    <t>杭州同城邮政伸缩机维修</t>
  </si>
  <si>
    <t>DW2024015</t>
  </si>
  <si>
    <t>临沂琅琊中通</t>
  </si>
  <si>
    <t>海外-墨西哥-202411002</t>
  </si>
  <si>
    <t>墨西哥瓜城流水线搬迁</t>
  </si>
  <si>
    <t>华东-鲁-202411022</t>
  </si>
  <si>
    <t>涑河南搬迁至罗庄圆通</t>
  </si>
  <si>
    <t>华南-云-202311011WB</t>
  </si>
  <si>
    <t>富源邮政直线-维保费</t>
  </si>
  <si>
    <t>华东-冀-202411017</t>
  </si>
  <si>
    <t>邯郸极兔</t>
  </si>
  <si>
    <t>华东-冀-202411023</t>
  </si>
  <si>
    <t>河北唐山丰南新2套</t>
  </si>
  <si>
    <t>华南-粤-202411007</t>
  </si>
  <si>
    <t>汕头澄海圆通（潮州湘桥圆通直线改造加成）</t>
  </si>
  <si>
    <t>华东-闽-202411019</t>
  </si>
  <si>
    <t>漳州韵达二期-取消</t>
  </si>
  <si>
    <t>华东-闽-202411018</t>
  </si>
  <si>
    <t>福建将乐共配窄带</t>
  </si>
  <si>
    <t>华东-冀-202411020</t>
  </si>
  <si>
    <t>徐水极兔</t>
  </si>
  <si>
    <t>华东-苏-202409026A</t>
  </si>
  <si>
    <t>南京大厂三期增购服务器</t>
  </si>
  <si>
    <t>华南-鄂-202408005A</t>
  </si>
  <si>
    <t>青山共派增补</t>
  </si>
  <si>
    <t>华南-蒙-202406021B</t>
  </si>
  <si>
    <t>二连浩特共派增补</t>
  </si>
  <si>
    <t>华东-豫-202411009</t>
  </si>
  <si>
    <t>周口太康圆通搬迁改造（利旧周口圆通设备）</t>
  </si>
  <si>
    <t>2024RD09</t>
  </si>
  <si>
    <t>迷你环线研发项目</t>
  </si>
  <si>
    <t>华东-京-202306021A</t>
  </si>
  <si>
    <t>张家湾共派增加接口</t>
  </si>
  <si>
    <t>华东-浙-202303019JK</t>
  </si>
  <si>
    <t>杭州九堡圆通接口</t>
  </si>
  <si>
    <t>华南-琼-202207020WB</t>
  </si>
  <si>
    <t>三亚韵达网格仓（直线）维保费</t>
  </si>
  <si>
    <t>华南-粤-202407009C</t>
  </si>
  <si>
    <t>四会碧素堂辅线增补</t>
  </si>
  <si>
    <t>华南-粤-202412001</t>
  </si>
  <si>
    <t>花都阿康云仓改造</t>
  </si>
  <si>
    <t>华东-川-202409032A</t>
  </si>
  <si>
    <t>四川宜宾长宁共配新增格口</t>
  </si>
  <si>
    <t>华东-闽-202407023A</t>
  </si>
  <si>
    <t>福州长乐共配增购</t>
  </si>
  <si>
    <t>华东-晋-202411021</t>
  </si>
  <si>
    <t>山西朔州怀仁韵达</t>
  </si>
  <si>
    <t>华南-湘-202412002</t>
  </si>
  <si>
    <t>湖南娄底韵达增购相机</t>
  </si>
  <si>
    <t>华东-冀-202309037JK</t>
  </si>
  <si>
    <t>邯郸磁县错分报警系统</t>
  </si>
  <si>
    <t>华南-鄂-202204019WB</t>
  </si>
  <si>
    <t>新竹路共派维保费</t>
  </si>
  <si>
    <t>华东-浙-202305006WB</t>
  </si>
  <si>
    <t>余姚极兔环线-维保费</t>
  </si>
  <si>
    <t>CGWX014</t>
  </si>
  <si>
    <t>坎业</t>
  </si>
  <si>
    <t>华东-浙-202204009拆</t>
  </si>
  <si>
    <t>宁波海曙共配（溪鸟）回购</t>
  </si>
  <si>
    <t>华东-鲁-202410017拆</t>
  </si>
  <si>
    <t>枣庄京东仓拆机</t>
  </si>
  <si>
    <t>华南-赣-202212005A</t>
  </si>
  <si>
    <t>江西万载共派服务费</t>
  </si>
  <si>
    <t>华南-湘-202412004</t>
  </si>
  <si>
    <t>娄底冷水江共配环线</t>
  </si>
  <si>
    <t>华南-辽-202412005</t>
  </si>
  <si>
    <t>大连极兔</t>
  </si>
  <si>
    <t>华东-闽-202412003</t>
  </si>
  <si>
    <t>厦门同安中通</t>
  </si>
  <si>
    <t>华东-闽-202412005</t>
  </si>
  <si>
    <t>宁德东侨窄带搬迁福清</t>
  </si>
  <si>
    <t>华东-皖-202412004</t>
  </si>
  <si>
    <t>安徽肥东韵达二期</t>
  </si>
  <si>
    <t>华南-粤-202412006</t>
  </si>
  <si>
    <t>汕尾梅陇圆通ocr</t>
  </si>
  <si>
    <t>华东-川-202409032B</t>
  </si>
  <si>
    <t>四川宜宾长宁共配二次增购格口</t>
  </si>
  <si>
    <t>华南-鄂-202405018A</t>
  </si>
  <si>
    <t>红安韵达增购（格口按钮+撑袋架）</t>
  </si>
  <si>
    <t>华南-粤-202412003</t>
  </si>
  <si>
    <t>惠州龙门共配环线</t>
  </si>
  <si>
    <t>华东-冀-202412001</t>
  </si>
  <si>
    <t>邯郸鸡泽共派</t>
  </si>
  <si>
    <t>华南-粤-202408003A</t>
  </si>
  <si>
    <t>南村韵达进港增补</t>
  </si>
  <si>
    <t>华南-粤-202407011JK</t>
  </si>
  <si>
    <t>深圳同城邮政报警系统</t>
  </si>
  <si>
    <t>华南-冀-202306001JK</t>
  </si>
  <si>
    <t>枣强圆通报价系统</t>
  </si>
  <si>
    <t>华东-苏-202412002</t>
  </si>
  <si>
    <t>常州新北区共派调试费</t>
  </si>
  <si>
    <t>华南-粤-202411007A</t>
  </si>
  <si>
    <t>汕头澄海圆通易损件增补</t>
  </si>
  <si>
    <t>华南-陕-202412007</t>
  </si>
  <si>
    <t>陕西商洛山阳共配</t>
  </si>
  <si>
    <t>华南-贵-202412002</t>
  </si>
  <si>
    <t>贵州思南共配直线</t>
  </si>
  <si>
    <t>华东-津-202412013</t>
  </si>
  <si>
    <t>蓟县韵达mini环</t>
  </si>
  <si>
    <t>华东-冀-202412011</t>
  </si>
  <si>
    <t>宁晋韵达mini环</t>
  </si>
  <si>
    <t>华东-冀-202412014</t>
  </si>
  <si>
    <t>赵县韵达mini环</t>
  </si>
  <si>
    <t>华东-冀-202412012</t>
  </si>
  <si>
    <t>栾城韵达mini环</t>
  </si>
  <si>
    <t>华南-粤-202405033A</t>
  </si>
  <si>
    <t>钟落潭韵达网格仓新增接口</t>
  </si>
  <si>
    <t>华南-赣-202412008</t>
  </si>
  <si>
    <t>南昌县象湖中通二期</t>
  </si>
  <si>
    <t>华东-浙-202412010</t>
  </si>
  <si>
    <t>嘉善共派搬迁改造</t>
  </si>
  <si>
    <t>华东-皖-202412009</t>
  </si>
  <si>
    <t>安徽合肥高新韵达网格仓</t>
  </si>
  <si>
    <t>华东-苏-202412008</t>
  </si>
  <si>
    <t>如东共派二期</t>
  </si>
  <si>
    <t>华东-皖-202412007</t>
  </si>
  <si>
    <t>太和圆通</t>
  </si>
  <si>
    <t>华东-皖-202412006</t>
  </si>
  <si>
    <t>太和中通</t>
  </si>
  <si>
    <t>华东-鄂-202411003A</t>
  </si>
  <si>
    <t>湖北恩施来凤直线（相机增购）</t>
  </si>
  <si>
    <t>华南-桂-202412010</t>
  </si>
  <si>
    <t>广西崇左大新韵达</t>
  </si>
  <si>
    <t>华东-川-20241124</t>
  </si>
  <si>
    <t>华阳中通-取消</t>
  </si>
  <si>
    <t>华东-苏-202412022</t>
  </si>
  <si>
    <t>江苏南京江宁东山圆通（利旧本溪圆通）</t>
  </si>
  <si>
    <t>华南-泰国-202408010-4</t>
  </si>
  <si>
    <t>泰国2024年第四季度备件</t>
  </si>
  <si>
    <t>华东-浙-202412018</t>
  </si>
  <si>
    <t>荷叶塘韵达窄带</t>
  </si>
  <si>
    <t>华东-浙-202412019</t>
  </si>
  <si>
    <t>义乌大塘下韵达</t>
  </si>
  <si>
    <t>华东-闽-202410010A</t>
  </si>
  <si>
    <t>厦门邮政增购打印机</t>
  </si>
  <si>
    <t>华东-豫-202412020</t>
  </si>
  <si>
    <t>开封圆通二期</t>
  </si>
  <si>
    <t>华东-鄂-202412017</t>
  </si>
  <si>
    <t>大冶韵达窄带</t>
  </si>
  <si>
    <t>华东-鲁-202412016</t>
  </si>
  <si>
    <t>山东青岛市南区共配</t>
  </si>
  <si>
    <t>华南-湘-202412010</t>
  </si>
  <si>
    <t>岳阳湘阴共配二期</t>
  </si>
  <si>
    <t>华南-粤-202008004A</t>
  </si>
  <si>
    <t>肇庆共派增购接口</t>
  </si>
  <si>
    <t>华南-粤-202412009</t>
  </si>
  <si>
    <t>横岗申通二期</t>
  </si>
  <si>
    <t>华东-渝-202412015</t>
  </si>
  <si>
    <t>重庆大学城共派二期</t>
  </si>
  <si>
    <t>华南-云-202412011</t>
  </si>
  <si>
    <t>云南开远韵达mini环</t>
  </si>
  <si>
    <t>华东-苏-202412025</t>
  </si>
  <si>
    <t>南京大厂三期窄带搬迁</t>
  </si>
  <si>
    <t>华东-闽-202309014拆</t>
  </si>
  <si>
    <t>泉州东海中通二期回购</t>
  </si>
  <si>
    <t>华东-皖-202310049拆</t>
  </si>
  <si>
    <t>亳州韵达搬迁拆机</t>
  </si>
  <si>
    <t>华东-渝-202412026</t>
  </si>
  <si>
    <t>重庆璧山共派二期</t>
  </si>
  <si>
    <t>华南-冀-202412013</t>
  </si>
  <si>
    <t>石家庄申通</t>
  </si>
  <si>
    <t>华南-冀-202412014</t>
  </si>
  <si>
    <t>冀州极兔</t>
  </si>
  <si>
    <t>华东-皖-202501001</t>
  </si>
  <si>
    <t>亳州申通二期（进港）</t>
  </si>
  <si>
    <t>华南-陕-202412020</t>
  </si>
  <si>
    <t>西安风驰5号多多仓</t>
  </si>
  <si>
    <t>华南-桂-202412019</t>
  </si>
  <si>
    <t>广西武宣中通</t>
  </si>
  <si>
    <t>华南-桂-202412018</t>
  </si>
  <si>
    <t>广西桂林临桂韵达共仓</t>
  </si>
  <si>
    <t>华南-辽-202410008B</t>
  </si>
  <si>
    <t>双台子分拣中心增补</t>
  </si>
  <si>
    <t>华南-辽-202410007B</t>
  </si>
  <si>
    <t>大洼分拣着中心增补</t>
  </si>
  <si>
    <t>华南-云-202412021</t>
  </si>
  <si>
    <t>宣威韵达</t>
  </si>
  <si>
    <t>华南-桂-202412017</t>
  </si>
  <si>
    <t>柳州阳和共派（mini环）</t>
  </si>
  <si>
    <t>华东-蒙-202411024</t>
  </si>
  <si>
    <t>呼伦贝尔扎兰屯共派</t>
  </si>
  <si>
    <t>华南-粤-202412012</t>
  </si>
  <si>
    <t>东莞高埗申通mini环线</t>
  </si>
  <si>
    <t>华东-苏-202412021</t>
  </si>
  <si>
    <t>南京大厂共派四期</t>
  </si>
  <si>
    <t>华东-冀-202412024</t>
  </si>
  <si>
    <t>蠡县韵达mini环线</t>
  </si>
  <si>
    <t>华南-云-202412022</t>
  </si>
  <si>
    <t>安宁韵达</t>
  </si>
  <si>
    <t>华南-云-202412016</t>
  </si>
  <si>
    <t>罗平韵达</t>
  </si>
  <si>
    <t>华南-湘-202501001</t>
  </si>
  <si>
    <t>湘乡共配指导费</t>
  </si>
  <si>
    <t>华东-冀-202501019</t>
  </si>
  <si>
    <t>晋州南区韵达</t>
  </si>
  <si>
    <t>华南-粤-202412024</t>
  </si>
  <si>
    <t>广州滨江中通搬迁</t>
  </si>
  <si>
    <t>华南-粤-202412015</t>
  </si>
  <si>
    <t>广州望岗韵达</t>
  </si>
  <si>
    <t>华南-湘-202501002</t>
  </si>
  <si>
    <t>湖南怀化通道共配</t>
  </si>
  <si>
    <t>华东-渝-202501002</t>
  </si>
  <si>
    <t>重庆合川申通（窄带）</t>
  </si>
  <si>
    <t>华南-泰国-202501005-1</t>
  </si>
  <si>
    <t>泰国2025年第一季度备件</t>
  </si>
  <si>
    <t>海外-沙特-202406001-1</t>
  </si>
  <si>
    <t>利雅得-RFUFCO(Laverne)辅线延长线</t>
  </si>
  <si>
    <t>华南-粤-202208013WB</t>
  </si>
  <si>
    <t>普宁东圆通三期-维保费</t>
  </si>
  <si>
    <t>华南-鄂-202302026-1</t>
  </si>
  <si>
    <t>咸宁共派二期</t>
  </si>
  <si>
    <t>华东-浙-202501009</t>
  </si>
  <si>
    <t>乐清市柳市镇韵达</t>
  </si>
  <si>
    <t>华东-苏-202501008</t>
  </si>
  <si>
    <t>句容申通</t>
  </si>
  <si>
    <t>华南-湘-202310010A</t>
  </si>
  <si>
    <t>湖南怀化新晃共配增补</t>
  </si>
  <si>
    <t>华南-云-202501003</t>
  </si>
  <si>
    <t>云南普洱宁洱共配</t>
  </si>
  <si>
    <t>华南-赣-202501004</t>
  </si>
  <si>
    <t>修水邮政（直线）</t>
  </si>
  <si>
    <t>华东-苏-202412029</t>
  </si>
  <si>
    <t>高邮共派二期</t>
  </si>
  <si>
    <t>华东-苏-202412030</t>
  </si>
  <si>
    <t>高邮共派三期</t>
  </si>
  <si>
    <t>华东-苏-202412031</t>
  </si>
  <si>
    <t>高邮共派四期</t>
  </si>
  <si>
    <t>华东-晋-202501005</t>
  </si>
  <si>
    <t>山西太谷共派（窄带）</t>
  </si>
  <si>
    <t>华东-豫-202501004</t>
  </si>
  <si>
    <t>河南周口鹿邑圆通（窄带）</t>
  </si>
  <si>
    <t>华东-鲁-202501003</t>
  </si>
  <si>
    <t>德州齐河中通</t>
  </si>
  <si>
    <t>XM20250114000001</t>
  </si>
  <si>
    <t>广西博白韵达项目-取消</t>
  </si>
  <si>
    <t>华东-浙-202311023-1</t>
  </si>
  <si>
    <t>湖州圆通（双层）错分系统</t>
  </si>
  <si>
    <t>华南-冀-202404037-1</t>
  </si>
  <si>
    <t>衡水圆通二期错分系统</t>
  </si>
  <si>
    <t>华南-冀-202406012-1</t>
  </si>
  <si>
    <t>邢台清河圆通（双层）错分系统</t>
  </si>
  <si>
    <t>华东-冀-202501007</t>
  </si>
  <si>
    <t>唐山玉田中通mini环线</t>
  </si>
  <si>
    <t>华东-冀-202501006</t>
  </si>
  <si>
    <t>唐山玉田韵达mini环线</t>
  </si>
  <si>
    <t>华东-鲁-202501011</t>
  </si>
  <si>
    <t>烟台蓬莱韵达</t>
  </si>
  <si>
    <t>华东-皖-202501013</t>
  </si>
  <si>
    <t>安徽合肥肥西圆通</t>
  </si>
  <si>
    <t>华东-浙-202501010</t>
  </si>
  <si>
    <t>乐清中通环线</t>
  </si>
  <si>
    <t>创新-湘-202501001</t>
  </si>
  <si>
    <t>湖南小谷吖3DS项目</t>
  </si>
  <si>
    <t>2025RD10</t>
  </si>
  <si>
    <t>滚筒研发</t>
  </si>
  <si>
    <t>2025RD01</t>
  </si>
  <si>
    <t>环线分拣系统2025</t>
  </si>
  <si>
    <t>2025RD02</t>
  </si>
  <si>
    <t>摆轮分拣系统2025</t>
  </si>
  <si>
    <t>2025RD03</t>
  </si>
  <si>
    <t>环线新型结构</t>
  </si>
  <si>
    <t>2025RD04</t>
  </si>
  <si>
    <t>环线JH1200版</t>
  </si>
  <si>
    <t>2025RD05</t>
  </si>
  <si>
    <t>窄带分拣系统2025</t>
  </si>
  <si>
    <t>2025RD06</t>
  </si>
  <si>
    <t>直线分拣系统2025</t>
  </si>
  <si>
    <t>2025RD07</t>
  </si>
  <si>
    <t>OA新功能开发及功能优化项目</t>
  </si>
  <si>
    <t>2025RD08</t>
  </si>
  <si>
    <t>OA汇佳运营管理系统功能开发 V1.0</t>
  </si>
  <si>
    <t>2025RD09</t>
  </si>
  <si>
    <t>电商仓储分拣系统优化2025</t>
  </si>
  <si>
    <t>华东-豫-202501012</t>
  </si>
  <si>
    <t>信阳圆通二期（加二层）</t>
  </si>
  <si>
    <t>华东-苏-202409028E</t>
  </si>
  <si>
    <t>双麒路网格仓物料增补</t>
  </si>
  <si>
    <t>华东-晋-202501015</t>
  </si>
  <si>
    <t>太原迎泽区桥东中通</t>
  </si>
  <si>
    <t>华南-粤-202501010</t>
  </si>
  <si>
    <t>古镇极兔进港直线</t>
  </si>
  <si>
    <t>华东-川-202501020</t>
  </si>
  <si>
    <t>广元共配新增极兔接口</t>
  </si>
  <si>
    <t>华东-冀-202501022</t>
  </si>
  <si>
    <t>河间中通</t>
  </si>
  <si>
    <t>华东-闽-202501021</t>
  </si>
  <si>
    <t>福建宁德周宁共配</t>
  </si>
  <si>
    <t>华南-湘-202501010</t>
  </si>
  <si>
    <t>长沙宝湾申通</t>
  </si>
  <si>
    <t>华南-冀-202501009</t>
  </si>
  <si>
    <t>沧州运河区申通</t>
  </si>
  <si>
    <t>华东-浙-202501016</t>
  </si>
  <si>
    <t>义乌北苑韵达三期</t>
  </si>
  <si>
    <t>华南-粤-202501006</t>
  </si>
  <si>
    <t>乐从共派直线（搬迁改造）</t>
  </si>
  <si>
    <t>DW2024016</t>
  </si>
  <si>
    <t>吉水共派</t>
  </si>
  <si>
    <t>华东-蒙-202501008</t>
  </si>
  <si>
    <t>内蒙古巴彦淖尔杭锦后旗韵达</t>
  </si>
  <si>
    <t>华东-冀-202405038-1</t>
  </si>
  <si>
    <t>保定莲池邮政新增服务器</t>
  </si>
  <si>
    <t>华东-苏-202501013</t>
  </si>
  <si>
    <t>盐城盐都韵达</t>
  </si>
  <si>
    <t>华东-津-202501018</t>
  </si>
  <si>
    <t>天津滨海新区韵达mini环线</t>
  </si>
  <si>
    <t>华东-京-202501023</t>
  </si>
  <si>
    <t>北京延庆共派</t>
  </si>
  <si>
    <t>华南-泰国-202402002-1</t>
  </si>
  <si>
    <t>泰国配件运费</t>
  </si>
  <si>
    <t>华东-京-202501021</t>
  </si>
  <si>
    <t>北京庞各庄韵达mini环线</t>
  </si>
  <si>
    <t>华东-闽-202502003</t>
  </si>
  <si>
    <t>厦门同安韵达mini环</t>
  </si>
  <si>
    <t>华东-鲁-202501014</t>
  </si>
  <si>
    <t>济南历下圆通mini环</t>
  </si>
  <si>
    <t>华东-冀-202501017</t>
  </si>
  <si>
    <t>邯郸永年韵达mini环线</t>
  </si>
  <si>
    <t>华南-云-202501007</t>
  </si>
  <si>
    <t>云南盈江韵达mini环</t>
  </si>
  <si>
    <t>华南-粤-202411007B</t>
  </si>
  <si>
    <t>汕头澄海圆通易损件二次增补</t>
  </si>
  <si>
    <t>华东-皖-202412007-A</t>
  </si>
  <si>
    <t>太和圆通窄带增购</t>
  </si>
  <si>
    <t>华东-冀-202502005</t>
  </si>
  <si>
    <t>邯郸峰峰矿区共派mini</t>
  </si>
  <si>
    <t>华南-陇-202502001</t>
  </si>
  <si>
    <t>甘肃天水清水共配</t>
  </si>
  <si>
    <t>华东-川-202502002</t>
  </si>
  <si>
    <t>华阳中通</t>
  </si>
  <si>
    <t>华东-陇-202502004</t>
  </si>
  <si>
    <t>甘肃玉门共配直线</t>
  </si>
  <si>
    <t>华东-浙-202502008</t>
  </si>
  <si>
    <t>嘉兴平湖极兔</t>
  </si>
  <si>
    <t>华东-晋-202502007</t>
  </si>
  <si>
    <t>山西太原小店区共配</t>
  </si>
  <si>
    <t>华南-贵-202502004</t>
  </si>
  <si>
    <t>贵阳金阳三部中通（新增韵达接口）</t>
  </si>
  <si>
    <t>华南-粤-202009001拆</t>
  </si>
  <si>
    <t>花山中通拆机</t>
  </si>
  <si>
    <t>2025RD11</t>
  </si>
  <si>
    <t>迷你环线改版研发2025</t>
  </si>
  <si>
    <t>华东-甘-202004002WB</t>
  </si>
  <si>
    <t>平凉圆通-维保费</t>
  </si>
  <si>
    <t>华东-川-202502010</t>
  </si>
  <si>
    <t>德昌中通</t>
  </si>
  <si>
    <t>华南-粤-202502002</t>
  </si>
  <si>
    <t>嘉禾望岗韵达mini环</t>
  </si>
  <si>
    <t>华东-苏-202502001</t>
  </si>
  <si>
    <t>江苏泗洪韵达mini</t>
  </si>
  <si>
    <t>华东-沪-202502006</t>
  </si>
  <si>
    <t>祝桥韵达mini</t>
  </si>
  <si>
    <t>华东-苏-202502012</t>
  </si>
  <si>
    <t>苏州相城韵达mini</t>
  </si>
  <si>
    <t>华南-粤-202502003</t>
  </si>
  <si>
    <t>揭阳东山韵达mini</t>
  </si>
  <si>
    <t>华东-浙-202502011</t>
  </si>
  <si>
    <t>义乌后宅韵达mini</t>
  </si>
  <si>
    <t>华东-冀-202502013</t>
  </si>
  <si>
    <t>衡水故城韵达mini环</t>
  </si>
  <si>
    <t>华南-云-202502006</t>
  </si>
  <si>
    <t>云南龙陵共派mini</t>
  </si>
  <si>
    <t>DW2025001</t>
  </si>
  <si>
    <t>大朗中通</t>
  </si>
  <si>
    <t>华东-浙-202502014</t>
  </si>
  <si>
    <t>杭州义蓬韵达mini环</t>
  </si>
  <si>
    <t>华南-云-202502007</t>
  </si>
  <si>
    <t>云南宣威韵达mini环</t>
  </si>
  <si>
    <t>2025RD12</t>
  </si>
  <si>
    <t>研发产品落地验证图纸</t>
  </si>
  <si>
    <t>华南-粤-202502005</t>
  </si>
  <si>
    <t>深圳万邦常平仓</t>
  </si>
  <si>
    <t>华南-粤-202502008</t>
  </si>
  <si>
    <t>茂名电白中通三部（窄带）摆件段增补</t>
  </si>
  <si>
    <t>华东-鲁-202502017</t>
  </si>
  <si>
    <t>山东菏泽东明共配</t>
  </si>
  <si>
    <t>华东-苏-202502020</t>
  </si>
  <si>
    <t>吴江盛泽韵达（窄带）</t>
  </si>
  <si>
    <t>华南-赣-202502009</t>
  </si>
  <si>
    <t>江西上高县共配</t>
  </si>
  <si>
    <t>华东-鲁-202502019</t>
  </si>
  <si>
    <t>寿光邮政环线</t>
  </si>
  <si>
    <t>华南-桂-202502010</t>
  </si>
  <si>
    <t>广西博白韵达</t>
  </si>
  <si>
    <t>华东-闽-202502021</t>
  </si>
  <si>
    <t>漳州龙海申通</t>
  </si>
  <si>
    <t>华南-粤-202502012</t>
  </si>
  <si>
    <t>滨江中通二次搬迁</t>
  </si>
  <si>
    <t>华东-鲁-202502024</t>
  </si>
  <si>
    <t>滨州沾化中通mini</t>
  </si>
  <si>
    <t>华东-鄂-202502025</t>
  </si>
  <si>
    <t>武汉光谷共配直线-加大</t>
  </si>
  <si>
    <t>华东-苏-202502015</t>
  </si>
  <si>
    <t>南通通州韵达mini</t>
  </si>
  <si>
    <t>华东-浙-202502026</t>
  </si>
  <si>
    <t>杭州建德韵达mini</t>
  </si>
  <si>
    <t>华东-蒙-202502023</t>
  </si>
  <si>
    <t>赤峰宁城韵达mini</t>
  </si>
  <si>
    <t>华东-苏-202502016</t>
  </si>
  <si>
    <t>苏州虎丘韵达mini</t>
  </si>
  <si>
    <t>华南-粤-202108009WB</t>
  </si>
  <si>
    <t>清溪中通-维保费</t>
  </si>
  <si>
    <t>华南-陕-202502013</t>
  </si>
  <si>
    <t>风驰五仓极兔</t>
  </si>
  <si>
    <t>华南-云-202502015</t>
  </si>
  <si>
    <t>宣威极兔mini</t>
  </si>
  <si>
    <t>2025RD13</t>
  </si>
  <si>
    <t>迷你环线NC件分拣系统2025</t>
  </si>
  <si>
    <t>2025RD14</t>
  </si>
  <si>
    <t>3D sorter 固定高度版</t>
  </si>
  <si>
    <t>2025RD15</t>
  </si>
  <si>
    <t>3D sorter 海外优化版</t>
  </si>
  <si>
    <t>2025RD16</t>
  </si>
  <si>
    <t>悬臂拓展</t>
  </si>
  <si>
    <t>2025RD17</t>
  </si>
  <si>
    <t>新版滑触线功能及应用开发</t>
  </si>
  <si>
    <t>华东-晋-202502030</t>
  </si>
  <si>
    <t>晋中寿阳申通</t>
  </si>
  <si>
    <t>华东-冀-202502027</t>
  </si>
  <si>
    <t>张家口怀来共派</t>
  </si>
  <si>
    <t>华南-粤-202006001拆机</t>
  </si>
  <si>
    <t>佛山三水共派拆机</t>
  </si>
  <si>
    <t>华南-鄂-202502017</t>
  </si>
  <si>
    <t>鄂州葛店极兔</t>
  </si>
  <si>
    <t>华东-渝-202502034</t>
  </si>
  <si>
    <t>璧山共派二期增购相机</t>
  </si>
  <si>
    <t>华东-晋-202502018</t>
  </si>
  <si>
    <t>太原清徐韵达mini</t>
  </si>
  <si>
    <t>华东-豫-202502035</t>
  </si>
  <si>
    <t>河南洛阳孟津共派</t>
  </si>
  <si>
    <t>华东-冀-202502029</t>
  </si>
  <si>
    <t>沧州献县韵达mini</t>
  </si>
  <si>
    <t>华东-川-202502032</t>
  </si>
  <si>
    <t>隆昌韵达mini</t>
  </si>
  <si>
    <t>华东-苏-202502037</t>
  </si>
  <si>
    <t>南京浦口七里桥共派</t>
  </si>
  <si>
    <t>华东-川-202502009</t>
  </si>
  <si>
    <t>越西共配</t>
  </si>
  <si>
    <t>华东-晋-202502038</t>
  </si>
  <si>
    <t>太谷共派（申通，韵达）</t>
  </si>
  <si>
    <t>华东-冀-202201006拆</t>
  </si>
  <si>
    <t>邢台南宫邮政-拆机</t>
  </si>
  <si>
    <t>华东-渝-202502039</t>
  </si>
  <si>
    <t>九龙坡二期改造</t>
  </si>
  <si>
    <t>华南-粤-202503002</t>
  </si>
  <si>
    <t>盐步韵达改造</t>
  </si>
  <si>
    <t>华东-苏-202503002</t>
  </si>
  <si>
    <t>苏州木渎韵达mini</t>
  </si>
  <si>
    <t>华东-冀-202503003</t>
  </si>
  <si>
    <t>沧州河间韵达MINI</t>
  </si>
  <si>
    <t>华东-晋-202502028</t>
  </si>
  <si>
    <t>高平圆通直线改造</t>
  </si>
  <si>
    <t>华南-粤-202502019</t>
  </si>
  <si>
    <t>横沥圆通</t>
  </si>
  <si>
    <t>华南-粤-202503003</t>
  </si>
  <si>
    <t>深圳罗湖中通直线改造</t>
  </si>
  <si>
    <t>华东-冀-202502031</t>
  </si>
  <si>
    <t>保定韵达分拨中心</t>
  </si>
  <si>
    <t>华东-鄂-202503009</t>
  </si>
  <si>
    <t>麻城南通申通</t>
  </si>
  <si>
    <t>华东-豫-202503008</t>
  </si>
  <si>
    <t>濮阳县共派（申通）接口</t>
  </si>
  <si>
    <t>华南-粤-202502021</t>
  </si>
  <si>
    <t>从化申通小件增购</t>
  </si>
  <si>
    <t>华东-浙-202503006</t>
  </si>
  <si>
    <t>瑞安塘下中通</t>
  </si>
  <si>
    <t>华东-闽-202503007</t>
  </si>
  <si>
    <t>莆田秀屿韵达</t>
  </si>
  <si>
    <t>华东-冀-202410020-1</t>
  </si>
  <si>
    <t>保定蠡县共派增补</t>
  </si>
  <si>
    <t>华东-陇-202502036</t>
  </si>
  <si>
    <t>张掖民乐共配</t>
  </si>
  <si>
    <t>华南-云-202503002</t>
  </si>
  <si>
    <t>云南会泽共派mini</t>
  </si>
  <si>
    <t>华东-冀-202503014</t>
  </si>
  <si>
    <t>晋州北区圆通增补</t>
  </si>
  <si>
    <t>2025RD18</t>
  </si>
  <si>
    <t>自动供包系统2025</t>
  </si>
  <si>
    <t>华南-墨西哥-2025020120</t>
  </si>
  <si>
    <t>墨西哥自动设备增购</t>
  </si>
  <si>
    <t>华东-鲁-202503010</t>
  </si>
  <si>
    <t>山东潍坊奎文共配</t>
  </si>
  <si>
    <t>华东-苏-202503012</t>
  </si>
  <si>
    <t>启东共派二期三期</t>
  </si>
  <si>
    <t>华东-浙-202503001</t>
  </si>
  <si>
    <t>义乌苏溪申通</t>
  </si>
  <si>
    <t>海外-墨西哥-202503001</t>
  </si>
  <si>
    <t>奥索斯墨城环线安装项目</t>
  </si>
  <si>
    <t>华东-苏-202503005</t>
  </si>
  <si>
    <t>南京江宁菜鸟仓（邮政）</t>
  </si>
  <si>
    <t>华东-沪-202503003</t>
  </si>
  <si>
    <t>上海奉贤极兔改造</t>
  </si>
  <si>
    <t>华东-闽-202503015</t>
  </si>
  <si>
    <t>厦门海沧中通</t>
  </si>
  <si>
    <t>华东-陕-202503011</t>
  </si>
  <si>
    <t>陕西西安智慧城共配</t>
  </si>
  <si>
    <t>华东-浙-202503013</t>
  </si>
  <si>
    <t>杭州下沙极兔二期</t>
  </si>
  <si>
    <t>华南-粤-202503004</t>
  </si>
  <si>
    <t>番禺石楼共派</t>
  </si>
  <si>
    <t>华东-沪-202503022</t>
  </si>
  <si>
    <t>嘉定马陆南部申通mini</t>
  </si>
  <si>
    <t>华东-皖-202503017</t>
  </si>
  <si>
    <t>安徽亳州涡阳韵达mini</t>
  </si>
  <si>
    <t>华南-赣-202502016</t>
  </si>
  <si>
    <t>横峰圆通增购</t>
  </si>
  <si>
    <t>华东-京-202405035WB</t>
  </si>
  <si>
    <t>南五环窄带共派维保费</t>
  </si>
  <si>
    <t>华南-陕-202503014</t>
  </si>
  <si>
    <t>西安新库集包仓</t>
  </si>
  <si>
    <t>华南-桂-20250312-2</t>
  </si>
  <si>
    <t>广西安吉邮政二期窄带</t>
  </si>
  <si>
    <t>华南-桂-20250312-1</t>
  </si>
  <si>
    <t>广西安吉邮政二期环线</t>
  </si>
  <si>
    <t>华南-粤-202503013</t>
  </si>
  <si>
    <t>广州石基圆通搬迁</t>
  </si>
  <si>
    <t>华南-粤-202503010</t>
  </si>
  <si>
    <t>四会碧素堂增购中通接口</t>
  </si>
  <si>
    <t>华南-粤-202503009</t>
  </si>
  <si>
    <t>深圳布吉极兔</t>
  </si>
  <si>
    <t>华南-云-202503007</t>
  </si>
  <si>
    <t>云南临沧圆通</t>
  </si>
  <si>
    <t>华南-粤-202503005</t>
  </si>
  <si>
    <t>肇庆高要极兔</t>
  </si>
  <si>
    <t>华南-粤-202503001</t>
  </si>
  <si>
    <t>东莞塘厦申通</t>
  </si>
  <si>
    <t>华南-吉-202502014</t>
  </si>
  <si>
    <t>吉林松原共派改造</t>
  </si>
  <si>
    <t>华南-粤-202502011</t>
  </si>
  <si>
    <t>汕头澄海圆通项目增补</t>
  </si>
  <si>
    <t>华南-赣-202502009-1</t>
  </si>
  <si>
    <t>江西上高县共配窄带</t>
  </si>
  <si>
    <t>华东-沪-202503020</t>
  </si>
  <si>
    <t>上海松江邮政二期（加层）</t>
  </si>
  <si>
    <t>华东-浙-202503025</t>
  </si>
  <si>
    <t>湖州安吉申通mini</t>
  </si>
  <si>
    <t>华东-闽-202503031</t>
  </si>
  <si>
    <t>厦门岛外韵达Mini环</t>
  </si>
  <si>
    <t>华东-冀-202503029</t>
  </si>
  <si>
    <t>永清圆通建包仓增补</t>
  </si>
  <si>
    <t>华东-皖-202503019</t>
  </si>
  <si>
    <t>安徽合肥恒耐达云仓</t>
  </si>
  <si>
    <t>华东-浙-202503026</t>
  </si>
  <si>
    <t>湖州安吉韵达mini</t>
  </si>
  <si>
    <t>华东-浙-202503024</t>
  </si>
  <si>
    <t>湖州安吉极兔mini</t>
  </si>
  <si>
    <t>华东-闽-202503033</t>
  </si>
  <si>
    <t>宁德古田韵达mini环</t>
  </si>
  <si>
    <t>华东-皖-202503032</t>
  </si>
  <si>
    <t>萧县圆通窄带</t>
  </si>
  <si>
    <t>华东-冀-202311013拆</t>
  </si>
  <si>
    <t>邯郸邮政回购</t>
  </si>
  <si>
    <t>XM20250318000001</t>
  </si>
  <si>
    <t>开封极兔接口</t>
  </si>
  <si>
    <t>华东-皖-202503023</t>
  </si>
  <si>
    <t>宿州萧县共派</t>
  </si>
  <si>
    <t>华东-浙-202503021</t>
  </si>
  <si>
    <t>温州海城申通mini</t>
  </si>
  <si>
    <t>华东-浙-202503028</t>
  </si>
  <si>
    <t>杭州北软共派mini</t>
  </si>
  <si>
    <t>华东-闽-202503016</t>
  </si>
  <si>
    <t>莆田韵达进港加层</t>
  </si>
  <si>
    <t>华东-浙-202503027</t>
  </si>
  <si>
    <t>黄岩韵达环线</t>
  </si>
  <si>
    <t>华东-津-202502022</t>
  </si>
  <si>
    <t>南宫邮政拆机</t>
  </si>
  <si>
    <t>华东-川-202503034</t>
  </si>
  <si>
    <t>渠县韵达</t>
  </si>
  <si>
    <t>华东-贵-202503035</t>
  </si>
  <si>
    <t>凯里申通</t>
  </si>
  <si>
    <t>华东-浙-202503042</t>
  </si>
  <si>
    <t>临安极兔mini</t>
  </si>
  <si>
    <t>华东-冀-202503041</t>
  </si>
  <si>
    <t>邯郸邮政环线</t>
  </si>
  <si>
    <t>华东-冀-202503039</t>
  </si>
  <si>
    <t>沧州中通</t>
  </si>
  <si>
    <t>华南-粤-202503017</t>
  </si>
  <si>
    <t>汕头龙湖中通拆机</t>
  </si>
  <si>
    <t>华东-冀-202503036</t>
  </si>
  <si>
    <t>石家庄鹿泉共配mini</t>
  </si>
  <si>
    <t>华南-鄂-202402003拆</t>
  </si>
  <si>
    <t>湖北红安共派直线回购</t>
  </si>
  <si>
    <t>华南-粤-202503018</t>
  </si>
  <si>
    <t>广州棠东韵达mini</t>
  </si>
  <si>
    <t>华南-鄂-202112002WB</t>
  </si>
  <si>
    <t>武汉藏龙岛共派（直线）-维保费</t>
  </si>
  <si>
    <t>华南-粤-202503020</t>
  </si>
  <si>
    <t>华强北中通（增购）</t>
  </si>
  <si>
    <t>华东-苏-202503018</t>
  </si>
  <si>
    <t>高邮中通一期改造</t>
  </si>
  <si>
    <t>华东-冀-202503038</t>
  </si>
  <si>
    <t>石家庄井陉共派</t>
  </si>
  <si>
    <t>华东-黑-202503037</t>
  </si>
  <si>
    <t>哈尔滨淮河韵达mini环线</t>
  </si>
  <si>
    <t>华东-川-202503043</t>
  </si>
  <si>
    <t>温江柳城韵达</t>
  </si>
  <si>
    <t>华东-贵-202503044</t>
  </si>
  <si>
    <t>贵州云岩申通（窄带）</t>
  </si>
  <si>
    <t>华东-豫-202503045</t>
  </si>
  <si>
    <t>信阳圆通二期（增补格口）</t>
  </si>
  <si>
    <t>华南-云-202503021</t>
  </si>
  <si>
    <t>云南丽江韵达mini</t>
  </si>
  <si>
    <t>华南-云-202503022</t>
  </si>
  <si>
    <t>云南昭通威信韵达mini</t>
  </si>
  <si>
    <t>华东-冀-202503040-1</t>
  </si>
  <si>
    <t>邯郸涉县共派-窄带</t>
  </si>
  <si>
    <t>2025RD19</t>
  </si>
  <si>
    <t>升降坡环形交叉带</t>
  </si>
  <si>
    <t>华东-陕-202503047</t>
  </si>
  <si>
    <t>衡水阜城共派（调试）</t>
  </si>
  <si>
    <t>华东-渝-202503048</t>
  </si>
  <si>
    <t>三亚湾共配</t>
  </si>
  <si>
    <t>华东-渝-202503049</t>
  </si>
  <si>
    <t>龙兴共配</t>
  </si>
  <si>
    <t>华东-鲁-202503050</t>
  </si>
  <si>
    <t>鄄城韵达出港增购</t>
  </si>
  <si>
    <t>华东-陕-202503051</t>
  </si>
  <si>
    <t>陕西西安南风韵达</t>
  </si>
  <si>
    <t>华东-鄂-202503052</t>
  </si>
  <si>
    <t>湖北监利中通直线（新增出港功能）</t>
  </si>
  <si>
    <t>海外-尼日利亚-202503001</t>
  </si>
  <si>
    <t>速达非技术服务</t>
  </si>
  <si>
    <t>华南-吉-202503015</t>
  </si>
  <si>
    <t>吉林白山共派</t>
  </si>
  <si>
    <t>华南-粤-202503016</t>
  </si>
  <si>
    <t>惠州小金极兔</t>
  </si>
  <si>
    <t>华南-粤-202503019</t>
  </si>
  <si>
    <t>佛山西樵申通直线</t>
  </si>
  <si>
    <t>华东-陕-202503046</t>
  </si>
  <si>
    <t>陕西西安草滩韵达</t>
  </si>
  <si>
    <t>华东-冀-202503053</t>
  </si>
  <si>
    <t>张家口怀来共派增购五面扫支架</t>
  </si>
  <si>
    <t>海外-沙特-202503001</t>
  </si>
  <si>
    <t>2025沙特物流展样机</t>
  </si>
  <si>
    <t>华东-苏-202503055</t>
  </si>
  <si>
    <t>赣榆中通</t>
  </si>
  <si>
    <t>华东-陕-202503054</t>
  </si>
  <si>
    <t>陕西蓝田共配出港设备增补</t>
  </si>
  <si>
    <t>华东-冀-202503056</t>
  </si>
  <si>
    <t>衡水枣强邮政</t>
  </si>
  <si>
    <t>华东-冀-202503057</t>
  </si>
  <si>
    <t>衡水深州共派</t>
  </si>
  <si>
    <t>华东-陕-202503058</t>
  </si>
  <si>
    <t>陕西西安户县韵达</t>
  </si>
  <si>
    <t>华东-京-202503060</t>
  </si>
  <si>
    <t>北京菜户营共派极兔接口</t>
  </si>
  <si>
    <t>华南-粤-202503027</t>
  </si>
  <si>
    <t>揭阳惠来中通mini</t>
  </si>
  <si>
    <t>华南-云-202503025</t>
  </si>
  <si>
    <t>云南腾冲韵达mini</t>
  </si>
  <si>
    <t>华南-粤-202503006</t>
  </si>
  <si>
    <t>佛山洲村申通</t>
  </si>
  <si>
    <t>华南-粤-202503024</t>
  </si>
  <si>
    <t>广州夏茅中通</t>
  </si>
  <si>
    <t>华南-粤-202503028</t>
  </si>
  <si>
    <t>汕头凤翔韵达mini</t>
  </si>
  <si>
    <t>华东-浙-202503061</t>
  </si>
  <si>
    <t>杭州闲林韵达mini</t>
  </si>
  <si>
    <t>华南-吉-202503029</t>
  </si>
  <si>
    <t>沈阳重工北街共派mini</t>
  </si>
  <si>
    <t>华南-粤-202503030</t>
  </si>
  <si>
    <t>阳西韵达mini</t>
  </si>
  <si>
    <t>华南-粤-202503033</t>
  </si>
  <si>
    <t>广州人和圆通直线搬迁</t>
  </si>
  <si>
    <t>华南-云-202503032</t>
  </si>
  <si>
    <t>呈贡大学城共派mini</t>
  </si>
  <si>
    <t>华东-浙-202503062</t>
  </si>
  <si>
    <t>萧山闻义极兔mini</t>
  </si>
  <si>
    <t>华东-闽-202503064</t>
  </si>
  <si>
    <t>保定容城韵达mini环线</t>
  </si>
  <si>
    <t>华东-闽-202503065</t>
  </si>
  <si>
    <t>晋州韵达mini环线</t>
  </si>
  <si>
    <t>华东-闽-202503063</t>
  </si>
  <si>
    <t>仙游圆通二期</t>
  </si>
  <si>
    <t>如东共派三期窄带</t>
  </si>
  <si>
    <t>华东-皖-202503069</t>
  </si>
  <si>
    <t>安徽滁州明光韵达极兔共配mini（取消）</t>
  </si>
  <si>
    <t>华东-甘-202503068</t>
  </si>
  <si>
    <t>甘肃白银韵达mini环线</t>
  </si>
  <si>
    <t>华东-陕-202503067</t>
  </si>
  <si>
    <t>陕西咸阳陈杨寨韵达mini</t>
  </si>
  <si>
    <t>华东-贵-202503066</t>
  </si>
  <si>
    <t>修文共配</t>
  </si>
  <si>
    <t>2025RD20</t>
  </si>
  <si>
    <t>MINI环700小车型</t>
  </si>
  <si>
    <t>2025RD21</t>
  </si>
  <si>
    <t>MINI环L型</t>
  </si>
  <si>
    <t>华东-冀-202503072</t>
  </si>
  <si>
    <t>保定雄县极兔mini环线</t>
  </si>
  <si>
    <t>华东-冀-202503073</t>
  </si>
  <si>
    <t>邢台南和共派mini环线</t>
  </si>
  <si>
    <t>华东-冀-202503074</t>
  </si>
  <si>
    <t>廊坊文安韵达mini环线</t>
  </si>
  <si>
    <t>华东-浙-202503075</t>
  </si>
  <si>
    <t>温州邮政中心窄带</t>
  </si>
  <si>
    <t>华东-冀-202503059</t>
  </si>
  <si>
    <t>邯郸峰峰矿区共派增购顶扫相机</t>
  </si>
  <si>
    <t>华东-川-202503076</t>
  </si>
  <si>
    <t>中江韵达mini</t>
  </si>
  <si>
    <t>华东-冀-202504001</t>
  </si>
  <si>
    <t>河北邯郸大名共派</t>
  </si>
  <si>
    <t>华东-冀-202504002</t>
  </si>
  <si>
    <t>邢台信都共派圆润ocr服务器增购</t>
  </si>
  <si>
    <t>华南-赣-202503034</t>
  </si>
  <si>
    <t>江西金溪共派mini</t>
  </si>
  <si>
    <t>华南-粤-202504001</t>
  </si>
  <si>
    <t>新亨圆通设备增补</t>
  </si>
  <si>
    <t>华南-桂-202504002</t>
  </si>
  <si>
    <t>广西桂林临桂韵达共仓增购</t>
  </si>
  <si>
    <t>华南-粤-202504003</t>
  </si>
  <si>
    <t>肇庆怀集共派搬迁</t>
  </si>
  <si>
    <t>华南-蒙-202504004</t>
  </si>
  <si>
    <t>赤峰圆通利旧安装改造</t>
  </si>
  <si>
    <t>华南-桂-202504005</t>
  </si>
  <si>
    <t>广西容县共派直线搬迁改造</t>
  </si>
  <si>
    <t>华东-鲁-202504003</t>
  </si>
  <si>
    <t>山东烟台海阳共派环线</t>
  </si>
  <si>
    <t>华南-粤-202503023</t>
  </si>
  <si>
    <t>惠州大湖中通环线1号线、2号线改造</t>
  </si>
  <si>
    <t>华南-粤-202108001WB</t>
  </si>
  <si>
    <t>空港圆通维保费</t>
  </si>
  <si>
    <t>华东-闽-202504007</t>
  </si>
  <si>
    <t>莆田中通二部（出港）格口增补</t>
  </si>
  <si>
    <t>华东-晋-202504006</t>
  </si>
  <si>
    <t>山西清徐韵达mini增购动力</t>
  </si>
  <si>
    <t>华东-闽-202504004</t>
  </si>
  <si>
    <t>福建漳州龙海韵达直线</t>
  </si>
  <si>
    <t>华东-闽-202504005</t>
  </si>
  <si>
    <t>福建厦门杏滨韵达窄带</t>
  </si>
  <si>
    <t>华东-鲁-202504008</t>
  </si>
  <si>
    <t>烟台龙口韵达mini环</t>
  </si>
  <si>
    <t>华东-鲁-202504009</t>
  </si>
  <si>
    <t>山东烟台申通</t>
  </si>
  <si>
    <t>海外-粤-202503001</t>
  </si>
  <si>
    <t>拼多多三水环线交叉带项目</t>
  </si>
  <si>
    <t>华南-泰国-202504007</t>
  </si>
  <si>
    <t>泰国2025年第二季度备件</t>
  </si>
  <si>
    <t>华南-琼-202504008</t>
  </si>
  <si>
    <t>海南海口药谷共派mini</t>
  </si>
  <si>
    <t>华南-桂-202504009</t>
  </si>
  <si>
    <t>广西南宁大沙田韵达mini</t>
  </si>
  <si>
    <t>海外-豫-202504001</t>
  </si>
  <si>
    <t>顺丰驻马店分拣中心mini环分拣机项目</t>
  </si>
  <si>
    <t>华东-贵-2025040010</t>
  </si>
  <si>
    <t>贵州福泉共配新增中通接口</t>
  </si>
  <si>
    <t>2025RD22</t>
  </si>
  <si>
    <t>爬坡单离UL版</t>
  </si>
  <si>
    <t>华东-川-2025040011</t>
  </si>
  <si>
    <t>遂宁共配mini</t>
  </si>
  <si>
    <t>华东-津-2025040012</t>
  </si>
  <si>
    <t>天津津南区共派mini</t>
  </si>
  <si>
    <t>华南-粤-202504010</t>
  </si>
  <si>
    <t>大岭山极兔直线</t>
  </si>
  <si>
    <t>华南-粤-202505025</t>
  </si>
  <si>
    <t>广州空港韵达mini</t>
  </si>
  <si>
    <t>华东-鄂-202504016</t>
  </si>
  <si>
    <t>襄阳南漳县共派mini</t>
  </si>
  <si>
    <t>华东-鄂-202504012</t>
  </si>
  <si>
    <t>湖北保康共配环线增购</t>
  </si>
  <si>
    <t>华东-渝-202504015</t>
  </si>
  <si>
    <t>云阳共派</t>
  </si>
  <si>
    <t>华东-津-2025040013</t>
  </si>
  <si>
    <t>天津津南小站镇中通mini环</t>
  </si>
  <si>
    <t>华东-川-2025040014</t>
  </si>
  <si>
    <t>大丰韵达mini</t>
  </si>
  <si>
    <t>华南-湘-202504013</t>
  </si>
  <si>
    <t>湖南怀化通道共配增购</t>
  </si>
  <si>
    <t>华南-云-202504020</t>
  </si>
  <si>
    <t>云南昭通水富窄带</t>
  </si>
  <si>
    <t>华南-辽-202503026</t>
  </si>
  <si>
    <t>辽宁海城极兔</t>
  </si>
  <si>
    <t>华东-晋-202504010</t>
  </si>
  <si>
    <t>山西太原迎泽区共派</t>
  </si>
  <si>
    <t>华东-浙-202504013</t>
  </si>
  <si>
    <t>义乌极兔环线</t>
  </si>
  <si>
    <t>华东-浙-202504014</t>
  </si>
  <si>
    <t>萧山极兔环线</t>
  </si>
  <si>
    <t>海外-尼日利亚-202503001A</t>
  </si>
  <si>
    <t>速达非技术服务增购</t>
  </si>
  <si>
    <t>海外-沙特-202504001</t>
  </si>
  <si>
    <t>iMile沙特利雅得设备拆除</t>
  </si>
  <si>
    <t>华东-京-202504017</t>
  </si>
  <si>
    <t>北京丰台太平桥共派搬迁</t>
  </si>
  <si>
    <t>华东-京-202504018</t>
  </si>
  <si>
    <t>北京丰台太平桥共派2号搬迁</t>
  </si>
  <si>
    <t>华南-云-202504019</t>
  </si>
  <si>
    <t>云南腾冲申通环线</t>
  </si>
  <si>
    <t>华东-鲁-202504022</t>
  </si>
  <si>
    <t>兰陵共配二期环线</t>
  </si>
  <si>
    <t>华南-粤-202504021</t>
  </si>
  <si>
    <t>罗湖中通（笋岗）增补</t>
  </si>
  <si>
    <t>华南-吉-202504014</t>
  </si>
  <si>
    <t>吉林松原共派改造1</t>
  </si>
  <si>
    <t>2025RD23</t>
  </si>
  <si>
    <t>大件交叉带分拣系统2025</t>
  </si>
  <si>
    <t>华东-甘-202504025</t>
  </si>
  <si>
    <t>石家庄裕华区共派mini</t>
  </si>
  <si>
    <t>华东-甘-202504024</t>
  </si>
  <si>
    <t>甘肃礼县共配新增接口</t>
  </si>
  <si>
    <t>华东-浙-202504023</t>
  </si>
  <si>
    <t>富阳共派mini</t>
  </si>
  <si>
    <t>华东-豫-202504019</t>
  </si>
  <si>
    <t>河南郑州中牟申通</t>
  </si>
  <si>
    <t>华南-蒙-202504006</t>
  </si>
  <si>
    <t>鄂尔多斯圆通搬迁改造</t>
  </si>
  <si>
    <t>华东-浙-202504020</t>
  </si>
  <si>
    <t>路桥中通搬迁</t>
  </si>
  <si>
    <t>华东-鄂-202504021</t>
  </si>
  <si>
    <t>宜昌夷陵韵达直线</t>
  </si>
  <si>
    <t>华东-浙-202504026</t>
  </si>
  <si>
    <t>湖州安吉中通</t>
  </si>
  <si>
    <t>华南-云-202504022</t>
  </si>
  <si>
    <t>云南禄丰共配</t>
  </si>
  <si>
    <t>华南-粤-202504023</t>
  </si>
  <si>
    <t>广州越秀建设韵达圆通</t>
  </si>
  <si>
    <t>华南-云-202504025</t>
  </si>
  <si>
    <t>景洪共派二期</t>
  </si>
  <si>
    <t>华南-蒙-202504017</t>
  </si>
  <si>
    <t>鄂尔多斯圆通窄带</t>
  </si>
  <si>
    <t>华东-豫-202503030</t>
  </si>
  <si>
    <t>开封极兔（原开封圆通）</t>
  </si>
  <si>
    <t>华东-陕-202504027</t>
  </si>
  <si>
    <t>西安智慧城共配赠购五面扫支架</t>
  </si>
  <si>
    <t>华东-鲁-202309030WB</t>
  </si>
  <si>
    <t>临沂北城一部中通维保费</t>
  </si>
  <si>
    <t>华东-鲁-202411022WB</t>
  </si>
  <si>
    <t>涑河南搬迁至罗庄圆通维保费</t>
  </si>
  <si>
    <t>华东-浙-202401021WB</t>
  </si>
  <si>
    <t>永康圆通三期维保费</t>
  </si>
  <si>
    <t>华南-陕-202309005WB</t>
  </si>
  <si>
    <t>陕西延安极兔直线维保费</t>
  </si>
  <si>
    <t>华南-粤-202504026</t>
  </si>
  <si>
    <t>中山黄圃圆通直线</t>
  </si>
  <si>
    <t>华东-川-202504028</t>
  </si>
  <si>
    <t>宜宾市叙州区共派</t>
  </si>
  <si>
    <t>华东-京-202504030</t>
  </si>
  <si>
    <t>北京亦庄共派环线</t>
  </si>
  <si>
    <t>华东-冀-202504029</t>
  </si>
  <si>
    <t>保定博野共派mini环线</t>
  </si>
  <si>
    <t>2025RD24</t>
  </si>
  <si>
    <t>摩擦动力研发</t>
  </si>
  <si>
    <t>华南-蒙-202504018</t>
  </si>
  <si>
    <t>巴彦淖尔圆通窄带</t>
  </si>
  <si>
    <t>华东-鲁-202504033</t>
  </si>
  <si>
    <t>山东枣庄市中区韵达mini环</t>
  </si>
  <si>
    <t>2025RD25</t>
  </si>
  <si>
    <t>传感器测试（环线子项目）</t>
  </si>
  <si>
    <t>华东-鄂-202504035</t>
  </si>
  <si>
    <t>孝感市孝昌韵达mini</t>
  </si>
  <si>
    <t>华东-皖-202504036</t>
  </si>
  <si>
    <t>蚌埠韵达mini</t>
  </si>
  <si>
    <t>华东-京-202504032</t>
  </si>
  <si>
    <t>北京国茂申通环线</t>
  </si>
  <si>
    <t>华东-浙-202504031</t>
  </si>
  <si>
    <t>杭州彩虹城邮政直线改造</t>
  </si>
  <si>
    <t>华东-浙-202504033</t>
  </si>
  <si>
    <t>嘉善共派搬迁增购格口三角</t>
  </si>
  <si>
    <t>华东-鄂-202504037</t>
  </si>
  <si>
    <t>黄梅共派系统改造</t>
  </si>
  <si>
    <t>华东-鄂-202504034</t>
  </si>
  <si>
    <t>孝感韵达进港直线</t>
  </si>
  <si>
    <t>华东-川-202504038</t>
  </si>
  <si>
    <t>绵阳金桂园圆通</t>
  </si>
  <si>
    <t>华东-皖-202504039</t>
  </si>
  <si>
    <t>安徽阜阳圆通环线二期</t>
  </si>
  <si>
    <t>华东-川-202504040</t>
  </si>
  <si>
    <t>绵阳塘汛圆通</t>
  </si>
  <si>
    <t>华东-皖-202504041</t>
  </si>
  <si>
    <t>安徽安庆韵达窄带（宿松、太湖）</t>
  </si>
  <si>
    <t>华东-闽-202504042</t>
  </si>
  <si>
    <t>厦门前埔共派mini环</t>
  </si>
  <si>
    <t>华南-粤-202504015</t>
  </si>
  <si>
    <t>深圳甘坑韵达直线搬迁</t>
  </si>
  <si>
    <t>华南-琼-202504027</t>
  </si>
  <si>
    <t>海南定安韵达mini</t>
  </si>
  <si>
    <t>华南-粤-202504028</t>
  </si>
  <si>
    <t>深圳宝安申通增购</t>
  </si>
  <si>
    <t>华南-蒙-202504024</t>
  </si>
  <si>
    <t>巴彦淖尔圆通搬迁改造</t>
  </si>
  <si>
    <t>华南-粤-202504029</t>
  </si>
  <si>
    <t>广州嘉禾望岗申通环线</t>
  </si>
  <si>
    <t>华南-桂-202504030</t>
  </si>
  <si>
    <t>广西浦北韵达直线</t>
  </si>
  <si>
    <t>华南-粤-202504031</t>
  </si>
  <si>
    <t>惠州园洲申通环线</t>
  </si>
  <si>
    <t>华南-云-202504032</t>
  </si>
  <si>
    <t>云南昭通永善共派环线</t>
  </si>
  <si>
    <t>华南-粤-202302006WB</t>
  </si>
  <si>
    <t>广州竹料中通维保费</t>
  </si>
  <si>
    <t>华东-闽-202504043</t>
  </si>
  <si>
    <t>翔安五部共派mini</t>
  </si>
  <si>
    <t>华东-浙-202011001WB</t>
  </si>
  <si>
    <t>下沙中通进港维保费</t>
  </si>
  <si>
    <t>华东-浙-202201013-1WB</t>
  </si>
  <si>
    <t>下骆宅韵达二期维保费</t>
  </si>
  <si>
    <t>华东-苏-202310048WB</t>
  </si>
  <si>
    <t>常熟韵达-按票充值维保费</t>
  </si>
  <si>
    <t>华南-桂-202504037</t>
  </si>
  <si>
    <t>广西上林天泽（待定）</t>
  </si>
  <si>
    <t>华东-津-202504046</t>
  </si>
  <si>
    <t>福建建瓯韵达mini环</t>
  </si>
  <si>
    <t>华东-冀-202504048</t>
  </si>
  <si>
    <t>石家庄桥西区共派mini</t>
  </si>
  <si>
    <t>华东-闽-202504050</t>
  </si>
  <si>
    <t>厦门华闽韵达mini</t>
  </si>
  <si>
    <t>西南-陕-202504036</t>
  </si>
  <si>
    <t>陕西西安雁鸣湖韵达mini</t>
  </si>
  <si>
    <t>西南-贵-202504041</t>
  </si>
  <si>
    <t>贵州贵阳共派直线</t>
  </si>
  <si>
    <t>华南-粤-202504044</t>
  </si>
  <si>
    <t>江门韵达mini</t>
  </si>
  <si>
    <t>华南-桂-202505004</t>
  </si>
  <si>
    <t>广西柳州合一韵达直线</t>
  </si>
  <si>
    <t>华南-粤-202505002</t>
  </si>
  <si>
    <t>怀集申通机尾增补</t>
  </si>
  <si>
    <t>华南-粤-202505001</t>
  </si>
  <si>
    <t>阳江极兔环线</t>
  </si>
  <si>
    <t>华南-桂-202504043</t>
  </si>
  <si>
    <t>广西合浦韵达mini环线</t>
  </si>
  <si>
    <t>华南-桂-202504039</t>
  </si>
  <si>
    <t>广州钟落潭云山仓（利旧太和圆通）</t>
  </si>
  <si>
    <t>西南-云-202504038</t>
  </si>
  <si>
    <t>西双版纳申通增购</t>
  </si>
  <si>
    <t>华南-云-202504035</t>
  </si>
  <si>
    <t>云南昭通彝良共派窄带</t>
  </si>
  <si>
    <t>华南-桂-202504034</t>
  </si>
  <si>
    <t>广西河池宜州韵达窄带</t>
  </si>
  <si>
    <t>华南-云-202504033</t>
  </si>
  <si>
    <t>云南鲁甸共派直线</t>
  </si>
  <si>
    <t>CGWX015</t>
  </si>
  <si>
    <t>领航</t>
  </si>
  <si>
    <t>华南-冀-202309032JK</t>
  </si>
  <si>
    <t>河北邯郸申通错分系统</t>
  </si>
  <si>
    <t>华南-赣-202307014JK</t>
  </si>
  <si>
    <t>景德镇圆通二期+景德镇圆通二期出港错分系统</t>
  </si>
  <si>
    <t>华南-冀-202406023JK</t>
  </si>
  <si>
    <t>邢台信都共派环线+窄带错分系统</t>
  </si>
  <si>
    <t>华南-粤-202401022-2WB</t>
  </si>
  <si>
    <t>白云机场圆通环线维保费</t>
  </si>
  <si>
    <t>华南-粤-202401022-1WB</t>
  </si>
  <si>
    <t>白云机场圆通直线维保费</t>
  </si>
  <si>
    <t>华东-渝-202008007WB</t>
  </si>
  <si>
    <t>重庆沙坪坝共派维保费</t>
  </si>
  <si>
    <t>华东-津-202504045</t>
  </si>
  <si>
    <t>天津武清申通搬迁</t>
  </si>
  <si>
    <t>华东-浙-202504047</t>
  </si>
  <si>
    <t>义乌廿三里申通</t>
  </si>
  <si>
    <t>华东-鲁-202504049</t>
  </si>
  <si>
    <t>山东济宁中通</t>
  </si>
  <si>
    <t>华北-冀-202505001</t>
  </si>
  <si>
    <t>秦皇岛抚宁韵达mini</t>
  </si>
  <si>
    <t>华东-鲁-202505003</t>
  </si>
  <si>
    <t>青岛李沧共派mini</t>
  </si>
  <si>
    <t>华东-浙-202505002</t>
  </si>
  <si>
    <t>桐乡二部中通</t>
  </si>
  <si>
    <t>华东-苏-202505006</t>
  </si>
  <si>
    <t>无锡政和网格仓搬迁（新增申通接口）</t>
  </si>
  <si>
    <t>华东-鲁-202505005</t>
  </si>
  <si>
    <t>邹城极兔</t>
  </si>
  <si>
    <t>华东-浙-202505004</t>
  </si>
  <si>
    <t>海城申通MINI增购格口按钮</t>
  </si>
  <si>
    <t>华南-鄂-202403039A</t>
  </si>
  <si>
    <t>京山韵达申通搬迁</t>
  </si>
  <si>
    <t>XM20250507000001</t>
  </si>
  <si>
    <t>铜陵韵达二期</t>
  </si>
  <si>
    <t>西南-贵-202505005</t>
  </si>
  <si>
    <t>贵州花溪邮政直线</t>
  </si>
  <si>
    <t>西南-云-202505006</t>
  </si>
  <si>
    <t>云南会泽共派mini（增购极兔OCR）</t>
  </si>
  <si>
    <t>华南-赣-202505007</t>
  </si>
  <si>
    <t>南昌文港极兔环线</t>
  </si>
  <si>
    <t>华北-冀-202505007</t>
  </si>
  <si>
    <t>张家口韵达mini</t>
  </si>
  <si>
    <t>华南-粤-202505008</t>
  </si>
  <si>
    <t>新亨圆通增补纠偏相机</t>
  </si>
  <si>
    <t>西南-贵-202505009</t>
  </si>
  <si>
    <t>贵阳南明共派直线</t>
  </si>
  <si>
    <t>西南-贵-202505010</t>
  </si>
  <si>
    <t>贵州水城共配增购申通接口</t>
  </si>
  <si>
    <t>西南-川-202505011</t>
  </si>
  <si>
    <t>四川简阳唯品会电控</t>
  </si>
  <si>
    <t>华东-皖-202505009</t>
  </si>
  <si>
    <t>安徽铜陵韵达二期</t>
  </si>
  <si>
    <t>华北-冀-202505010</t>
  </si>
  <si>
    <t>唐山曹妃甸区韵达mini</t>
  </si>
  <si>
    <t>华东-冀-202505011</t>
  </si>
  <si>
    <t>承德双滦区共派mini</t>
  </si>
  <si>
    <t>华北-冀-202505011</t>
  </si>
  <si>
    <t>廊坊香河共派改造</t>
  </si>
  <si>
    <t>华北-冀-202505012</t>
  </si>
  <si>
    <t>石家庄裕华华夏共派mini</t>
  </si>
  <si>
    <t>华东-冀-202505013</t>
  </si>
  <si>
    <t>武平韵达</t>
  </si>
  <si>
    <t>华南-吉-202310014WB</t>
  </si>
  <si>
    <t>吉林通榆邮政直线维保费</t>
  </si>
  <si>
    <t>华南-鄂-202302012WB</t>
  </si>
  <si>
    <t>湖北孝感共派维保费</t>
  </si>
  <si>
    <t>华南-粤-202505012</t>
  </si>
  <si>
    <t>凤岗CEL仓窄带整改</t>
  </si>
  <si>
    <t>华南-粤-202505013</t>
  </si>
  <si>
    <t>广州钟落潭纤莉秀退件仓嘉怡</t>
  </si>
  <si>
    <t>西南-云-202505014</t>
  </si>
  <si>
    <t>云南临沧双江县共派窄带</t>
  </si>
  <si>
    <t>华东-皖-202505015</t>
  </si>
  <si>
    <t>安徽合肥站塘申通mini</t>
  </si>
  <si>
    <t>华北-冀-202505017</t>
  </si>
  <si>
    <t>邢台巨鹿韵达mini</t>
  </si>
  <si>
    <t>华南-粤-202504042</t>
  </si>
  <si>
    <t>容桂共派直线（利旧盐步共派3号线）</t>
  </si>
  <si>
    <t>西南-川-202505015</t>
  </si>
  <si>
    <t>成都高新区韵达窄带</t>
  </si>
  <si>
    <t>西南-川-202505016</t>
  </si>
  <si>
    <t>四川雅安韵达窄带</t>
  </si>
  <si>
    <t>华南-粤-202505017</t>
  </si>
  <si>
    <t>普宁桂韵</t>
  </si>
  <si>
    <t>华南-粤-202505018</t>
  </si>
  <si>
    <t>普宁贵星</t>
  </si>
  <si>
    <t>西南-鄂-202505019</t>
  </si>
  <si>
    <t>湖北黄梅共派mini</t>
  </si>
  <si>
    <t>华南-粤-202505020</t>
  </si>
  <si>
    <t>广州新望岗极兔直线</t>
  </si>
  <si>
    <t>西南-贵-202505021</t>
  </si>
  <si>
    <t>贵州普安共配（多多系统）</t>
  </si>
  <si>
    <t>华东-闽-202505014</t>
  </si>
  <si>
    <t>福建厦门杏东韵达直线</t>
  </si>
  <si>
    <t>华东-皖-202505018</t>
  </si>
  <si>
    <t>安徽滁州韵达新增中通接口</t>
  </si>
  <si>
    <t>华东-皖-202505020</t>
  </si>
  <si>
    <t>蚌埠大学城韵达增购供包台</t>
  </si>
  <si>
    <t>华东-皖-202505021</t>
  </si>
  <si>
    <t>安徽芜湖韵达（电控）</t>
  </si>
  <si>
    <t>华北-黑-202505024</t>
  </si>
  <si>
    <t>哈尔滨城乡区共派mini</t>
  </si>
  <si>
    <t>华北-冀-202505023</t>
  </si>
  <si>
    <t>沧州圆通三期四期</t>
  </si>
  <si>
    <t>华南-粤-202505022</t>
  </si>
  <si>
    <t>珠海粤港澳多多仓</t>
  </si>
  <si>
    <t>华南-粤-202505023</t>
  </si>
  <si>
    <t>深圳西丽韵达1（甘坑韵达搬迁-安装）</t>
  </si>
  <si>
    <t>华南-湘-202505024</t>
  </si>
  <si>
    <t>湖南永兴共配环线</t>
  </si>
  <si>
    <t>西南-陕-202505026</t>
  </si>
  <si>
    <t>榆林府谷共配窄带</t>
  </si>
  <si>
    <t>华南-粤-202505027</t>
  </si>
  <si>
    <t>揭西河婆韵达mini</t>
  </si>
  <si>
    <t>西南-川-202505028</t>
  </si>
  <si>
    <t>德阳旌阳中通环线</t>
  </si>
  <si>
    <t>西南-鄂-202505029</t>
  </si>
  <si>
    <t>荆州韵达网格仓mini</t>
  </si>
  <si>
    <t>华南-粤-202505003</t>
  </si>
  <si>
    <t>广州人和圆通直线搬迁增购</t>
  </si>
  <si>
    <t>华北-冀-202505016</t>
  </si>
  <si>
    <t>邯郸极兔搬迁调试</t>
  </si>
  <si>
    <t>华北-津-202505022</t>
  </si>
  <si>
    <t>天津武清申通搬迁增购</t>
  </si>
  <si>
    <t>华东-沪-202505026</t>
  </si>
  <si>
    <t>上海嘉定马陆南部申通增购</t>
  </si>
  <si>
    <t>2025RD26</t>
  </si>
  <si>
    <t>环线交叉带-高速版升降格口研发</t>
  </si>
  <si>
    <t>华北-冀-202505025</t>
  </si>
  <si>
    <t>邯郸邯山极兔mini</t>
  </si>
  <si>
    <t>华东-苏-202505029</t>
  </si>
  <si>
    <t>江苏秦淮五部窄带改造</t>
  </si>
  <si>
    <t>华东-冀-202503040</t>
  </si>
  <si>
    <t>邯郸涉县共派-mini环</t>
  </si>
  <si>
    <t>西南-陇-202505030</t>
  </si>
  <si>
    <t>甘肃兰州新区共配环线</t>
  </si>
  <si>
    <t>华南-粤-202505031</t>
  </si>
  <si>
    <t>深圳西丽韵达2（民治韵达搬迁）</t>
  </si>
  <si>
    <t>华南-桂-202505032</t>
  </si>
  <si>
    <t>广西柳州砂塘网格仓mini</t>
  </si>
  <si>
    <t>华北-冀-202505031</t>
  </si>
  <si>
    <t>唐山乐亭县韵达mini</t>
  </si>
  <si>
    <t>华北-蒙-202505028</t>
  </si>
  <si>
    <t>内蒙古牙克石韵达mini</t>
  </si>
  <si>
    <t>华北-辽-202505030</t>
  </si>
  <si>
    <t>辽宁沈阳铁西重工街韵达mini</t>
  </si>
  <si>
    <t>华东-鲁-202505031</t>
  </si>
  <si>
    <t>山东临沂河东韵达NC机mini</t>
  </si>
  <si>
    <t>华东-苏-202505032</t>
  </si>
  <si>
    <t>南京文苑路韵达mini</t>
  </si>
  <si>
    <t>华东-蒙-202505034</t>
  </si>
  <si>
    <t>赤峰圆通增购海康相机</t>
  </si>
  <si>
    <t>华东-苏-202505033</t>
  </si>
  <si>
    <t>丹阳韵达</t>
  </si>
  <si>
    <t>华东-鲁-202505037</t>
  </si>
  <si>
    <t>烟台莱山韵达mini</t>
  </si>
  <si>
    <t>华东-冀-202505036</t>
  </si>
  <si>
    <t>保定竞秀区共派mini</t>
  </si>
  <si>
    <t>华东-鲁-202505035</t>
  </si>
  <si>
    <t>烟台芝罘韵达mini</t>
  </si>
  <si>
    <t>华东-津-202505038</t>
  </si>
  <si>
    <t>天津宝坻韵达mini</t>
  </si>
  <si>
    <t>华东-冀-202505039</t>
  </si>
  <si>
    <t>保定望都韵达mini</t>
  </si>
  <si>
    <t>华东-冀-202505040</t>
  </si>
  <si>
    <t>保定安国韵达mini</t>
  </si>
  <si>
    <t>华东-冀-202505041</t>
  </si>
  <si>
    <t>辛集韵达mini环线</t>
  </si>
  <si>
    <t>华南-粤-202401028WB</t>
  </si>
  <si>
    <t>新亨圆通维保费</t>
  </si>
  <si>
    <t>华东-京-202304023WB</t>
  </si>
  <si>
    <t>北京玉带河韵达（直线）维保费</t>
  </si>
  <si>
    <t>华东-粤-202110010WB</t>
  </si>
  <si>
    <t>揭阳圆通维保费</t>
  </si>
  <si>
    <t>华南-粤-202401034WB</t>
  </si>
  <si>
    <t>汕头谷饶圆通维保费</t>
  </si>
  <si>
    <t>华东-粤-202111006WB</t>
  </si>
  <si>
    <t>汕头圆通维保费</t>
  </si>
  <si>
    <t>华南-粤-202301002WB</t>
  </si>
  <si>
    <t>中山古镇极兔维保费</t>
  </si>
  <si>
    <t>华南-冀-202207010WB</t>
  </si>
  <si>
    <t>正定圆通维保费</t>
  </si>
  <si>
    <t>华南-冀-202309032WB</t>
  </si>
  <si>
    <t>河北邯郸申通维保费</t>
  </si>
  <si>
    <t>华东-浙-202205009WB</t>
  </si>
  <si>
    <t>温岭中通维保费</t>
  </si>
  <si>
    <t>华东-京-202505042</t>
  </si>
  <si>
    <t>北京金盏共派mini</t>
  </si>
  <si>
    <t>华东-苏-202505043</t>
  </si>
  <si>
    <t>南京雨花板桥申通</t>
  </si>
  <si>
    <t>华东-闽-202505044</t>
  </si>
  <si>
    <t>厦门翔安中通mini</t>
  </si>
  <si>
    <t>华东-闽-202505045</t>
  </si>
  <si>
    <t>漳州芗城中通mini</t>
  </si>
  <si>
    <t>华东-皖-202303010WB</t>
  </si>
  <si>
    <t>淮南韵达维保费</t>
  </si>
  <si>
    <t>海外-沙特-202504002</t>
  </si>
  <si>
    <t>沙特利雅得-SMSA-DWS</t>
  </si>
  <si>
    <t>海外-沙特-202505001</t>
  </si>
  <si>
    <t>沙特利雅得SMSA二期</t>
  </si>
  <si>
    <t>华南-粤-202505034</t>
  </si>
  <si>
    <t>中山东凤共派窄带</t>
  </si>
  <si>
    <t>华南-赣-202505035</t>
  </si>
  <si>
    <t>南昌小蓝圆通对接韵达</t>
  </si>
  <si>
    <t>西南-陇-202505036</t>
  </si>
  <si>
    <t>甘肃天水秦安共配mini</t>
  </si>
  <si>
    <t>西南-陇-202505037</t>
  </si>
  <si>
    <t>甘肃榆中韵达mini</t>
  </si>
  <si>
    <t>华南-琼-202505038</t>
  </si>
  <si>
    <t>海南东方中通mini</t>
  </si>
  <si>
    <t>华南-粤-202505039</t>
  </si>
  <si>
    <t>东莞莞城韵达mini</t>
  </si>
  <si>
    <t>西南-川-202505040</t>
  </si>
  <si>
    <t>四川新繁韵达mini</t>
  </si>
  <si>
    <t>华南-粤-202505041-1</t>
  </si>
  <si>
    <t>大源极兔出港A</t>
  </si>
  <si>
    <t>华南-粤-202505041-2</t>
  </si>
  <si>
    <t>大源极兔出港B</t>
  </si>
  <si>
    <t>西南-川-202505042</t>
  </si>
  <si>
    <t>四川大英共派环线</t>
  </si>
  <si>
    <t>西南-云-20250543</t>
  </si>
  <si>
    <t>景洪共派环线改造</t>
  </si>
  <si>
    <t>华北-豫-202505046</t>
  </si>
  <si>
    <t>河南洛阳新安共配环线</t>
  </si>
  <si>
    <t>华北-津-202505047</t>
  </si>
  <si>
    <t>天津滨海共配窄带</t>
  </si>
  <si>
    <t>华南-粤-202505044</t>
  </si>
  <si>
    <t>白云天健韵达直线</t>
  </si>
  <si>
    <t>西南-川-20250545</t>
  </si>
  <si>
    <t>自贡韵达环线</t>
  </si>
  <si>
    <t>华南-粤-202505046</t>
  </si>
  <si>
    <t>潮州凤塘韵达mini</t>
  </si>
  <si>
    <t>西南-川-202505033</t>
  </si>
  <si>
    <t>德阳邮政环线</t>
  </si>
  <si>
    <t>华北-黑-202505049</t>
  </si>
  <si>
    <t>黑龙江大庆中通</t>
  </si>
  <si>
    <t>华东-浙-202505046</t>
  </si>
  <si>
    <t>杭州钱塘韵达mini</t>
  </si>
  <si>
    <t>华北-冀-202505048</t>
  </si>
  <si>
    <t>保定定兴韵达mini</t>
  </si>
  <si>
    <t>华东-闽-202505048</t>
  </si>
  <si>
    <t>福州闽清共配mini</t>
  </si>
  <si>
    <t>华东-闽-202505050</t>
  </si>
  <si>
    <t>福建厦门海沧韵达直线</t>
  </si>
  <si>
    <t>华北-冀-202505051</t>
  </si>
  <si>
    <t>藁城韵达网格仓拆机</t>
  </si>
  <si>
    <t>华东-闽-202505008</t>
  </si>
  <si>
    <t>莆田黄石圆通</t>
  </si>
  <si>
    <t>海外-巴西-202504001</t>
  </si>
  <si>
    <t>美客多巴西巴伊亚州BRBA01窄带矩阵</t>
  </si>
  <si>
    <t>华东-鲁-202505052</t>
  </si>
  <si>
    <t>枣庄滕州韵达</t>
  </si>
  <si>
    <t>海外-粤-202505001</t>
  </si>
  <si>
    <t>东莞LHT大件分拣机</t>
  </si>
  <si>
    <t>华东-闽-202505054</t>
  </si>
  <si>
    <t>龙岩连城韵达直线</t>
  </si>
  <si>
    <t>华南-桂-202506002</t>
  </si>
  <si>
    <t>南宁医科大</t>
  </si>
  <si>
    <t>华北-蒙-202505053</t>
  </si>
  <si>
    <t>康巴什共派</t>
  </si>
  <si>
    <t>海外-闽-202505001</t>
  </si>
  <si>
    <t>泉州TKmini环项目</t>
  </si>
  <si>
    <t>华北-冀-202505056</t>
  </si>
  <si>
    <t>廊坊万庄共派（原北京房山共派搬迁）</t>
  </si>
  <si>
    <t>华东-闽-202505055</t>
  </si>
  <si>
    <t>厦门新阳韵达直线</t>
  </si>
  <si>
    <t>华北-辽-202505057</t>
  </si>
  <si>
    <t>辽宁鞍山韵达申通</t>
  </si>
  <si>
    <t>华北-冀-202506006</t>
  </si>
  <si>
    <t>滦南共派</t>
  </si>
  <si>
    <t>XM20250605000001</t>
  </si>
  <si>
    <t>天津津南中通mini</t>
  </si>
  <si>
    <t>华北-蒙-202506001</t>
  </si>
  <si>
    <t>内蒙古多伦县共配窄带</t>
  </si>
  <si>
    <t>华南-粤-202506003</t>
  </si>
  <si>
    <t>湛江徐闻极兔窄带</t>
  </si>
  <si>
    <t>西南-宁-202506004</t>
  </si>
  <si>
    <t>宁夏贺兰中通搬迁监理调试</t>
  </si>
  <si>
    <t>华南-粤-202506005</t>
  </si>
  <si>
    <t>湛江坡头极兔窄带</t>
  </si>
  <si>
    <t>西南-渝-202506007</t>
  </si>
  <si>
    <t>沙坪坝共派三期直线（重庆渝北圆通直线搬迁改造）</t>
  </si>
  <si>
    <t>华南-粤-202506008</t>
  </si>
  <si>
    <t>惠东申通环线</t>
  </si>
  <si>
    <t>华东-鲁-202506028</t>
  </si>
  <si>
    <t>青岛李沧凯丽盈韵达窄带</t>
  </si>
  <si>
    <t>华南-粤-202506009</t>
  </si>
  <si>
    <t>广州大源中通进港环线</t>
  </si>
  <si>
    <t>华东-鲁-202506025</t>
  </si>
  <si>
    <t>烟台古现共配mini</t>
  </si>
  <si>
    <t>烟台开发区韵达mini</t>
  </si>
  <si>
    <t>华东-闽-202506046</t>
  </si>
  <si>
    <t>邵武共派mini</t>
  </si>
  <si>
    <t>XM20250605000005</t>
  </si>
  <si>
    <t>德惠申通共派对接费</t>
  </si>
  <si>
    <t>华北-辽-202506047</t>
  </si>
  <si>
    <t>沈北申通对接极兔</t>
  </si>
  <si>
    <t>华北-辽-202506048</t>
  </si>
  <si>
    <t>沈阳铁西二部中通对接申通</t>
  </si>
  <si>
    <t>西南-陇-202506013</t>
  </si>
  <si>
    <t>甘肃礼县韵达接口费</t>
  </si>
  <si>
    <t>华南-粤-202506014</t>
  </si>
  <si>
    <t>南村韵达大石仓</t>
  </si>
  <si>
    <t>华南-粤-202506016</t>
  </si>
  <si>
    <t>中山东凤极兔窄带</t>
  </si>
  <si>
    <t>华南-粤-202506015</t>
  </si>
  <si>
    <t>大朗韵达三期环线</t>
  </si>
  <si>
    <t>XM20250605000008</t>
  </si>
  <si>
    <t>北京宏福韵达</t>
  </si>
  <si>
    <t>XM20250605000009</t>
  </si>
  <si>
    <t>淄博博山区共配</t>
  </si>
  <si>
    <t>XM20250605000010</t>
  </si>
  <si>
    <t>资中韵达极兔</t>
  </si>
  <si>
    <t>海外-尼日利亚-202503001B</t>
  </si>
  <si>
    <t>速达非技术服务B</t>
  </si>
  <si>
    <t>XM20250606000001</t>
  </si>
  <si>
    <t>聊城邮政</t>
  </si>
  <si>
    <t>华南-粤-202506017</t>
  </si>
  <si>
    <t>广东风驰二仓环线</t>
  </si>
  <si>
    <t>华东-浙-202506012</t>
  </si>
  <si>
    <t>义乌邮政进港mini</t>
  </si>
  <si>
    <t>华东-闽-202506011</t>
  </si>
  <si>
    <t>武平共配新增中通接口</t>
  </si>
  <si>
    <t>CGWX016</t>
  </si>
  <si>
    <t>君乐</t>
  </si>
  <si>
    <t>CGWX017</t>
  </si>
  <si>
    <t>默鑫</t>
  </si>
  <si>
    <t>海外-巴西-202505001</t>
  </si>
  <si>
    <t>安骏巴西圣保罗2号仓环线</t>
  </si>
  <si>
    <t>海外-墨西哥-202504001</t>
  </si>
  <si>
    <t>美客多墨西哥瓜城MXJC01窄带矩阵</t>
  </si>
  <si>
    <t>海外-墨西哥-202505001</t>
  </si>
  <si>
    <t>美客多项目MXRC03</t>
  </si>
  <si>
    <t>海外-HK-202505001</t>
  </si>
  <si>
    <t>香港HKTV屯门窄带项目</t>
  </si>
  <si>
    <t>海外-美国-202506001</t>
  </si>
  <si>
    <t>美国天和双力KY3-KY5项目</t>
  </si>
  <si>
    <t>华东-鲁-202506020</t>
  </si>
  <si>
    <t>枣庄市中区申通</t>
  </si>
  <si>
    <t>华北-豫-202506023</t>
  </si>
  <si>
    <t>濮阳圆通二期一层</t>
  </si>
  <si>
    <t>华东-皖-202506026</t>
  </si>
  <si>
    <t>南陵共派mini</t>
  </si>
  <si>
    <t>华北-京-202506027</t>
  </si>
  <si>
    <t>北京海淀学清路中通搬迁</t>
  </si>
  <si>
    <t>华南-赣-202504040</t>
  </si>
  <si>
    <t>江西修水共派1号机搬迁改造（小套）</t>
  </si>
  <si>
    <t>华南-赣-202504040-1</t>
  </si>
  <si>
    <t>江西修水共派1号机搬迁改造（大套）</t>
  </si>
  <si>
    <t>华南-赣-202504040-2</t>
  </si>
  <si>
    <t>江西修水共派2号机搬迁改造（九江）</t>
  </si>
  <si>
    <t>西南-川-202506021</t>
  </si>
  <si>
    <t>四川江油极兔环线</t>
  </si>
  <si>
    <t>华东-浙-202311022WB</t>
  </si>
  <si>
    <t>临平圆通搬迁维保费</t>
  </si>
  <si>
    <t>华东-皖-202203022WB</t>
  </si>
  <si>
    <t>芜湖圆通维保费</t>
  </si>
  <si>
    <t>华东-川-202209015WB</t>
  </si>
  <si>
    <t>雅安名山圆通维保费</t>
  </si>
  <si>
    <t>海外-沙特-202505001A</t>
  </si>
  <si>
    <t>沙特利雅得-SMSA环线增购墨水</t>
  </si>
  <si>
    <t>西南-甘-202506036</t>
  </si>
  <si>
    <t>甘肃张掖临泽共配（环线+自动供包）</t>
  </si>
  <si>
    <t>西南-甘-202506036-1</t>
  </si>
  <si>
    <t>甘肃张掖临泽共配窄带</t>
  </si>
  <si>
    <t>华东-京-202311019WB</t>
  </si>
  <si>
    <t>北京云岗极兔维保费</t>
  </si>
  <si>
    <t>华东-浙-202506018</t>
  </si>
  <si>
    <t>余姚祥龙韵达拆机</t>
  </si>
  <si>
    <t>华南-粤-202506044</t>
  </si>
  <si>
    <t>天河棠东韵达mini增补相机</t>
  </si>
  <si>
    <t>华南-桂-202506052</t>
  </si>
  <si>
    <t>广西大化共派mini</t>
  </si>
  <si>
    <t>华北-津-202506019</t>
  </si>
  <si>
    <t>天津河西三部中通mini</t>
  </si>
  <si>
    <t>华东-闽-202506022</t>
  </si>
  <si>
    <t>厦门灌口韵达mini</t>
  </si>
  <si>
    <t>华东-闽-202506040</t>
  </si>
  <si>
    <t>漳州芗城中通mini增购</t>
  </si>
  <si>
    <t>西南-甘-202506053</t>
  </si>
  <si>
    <t>甘肃礼县共派对接圆通OCR</t>
  </si>
  <si>
    <t>华东-浙-202208023WB</t>
  </si>
  <si>
    <t>临平韵达搬迁维保费</t>
  </si>
  <si>
    <t>海外-湘-202506001</t>
  </si>
  <si>
    <t>顺丰怀化直线500节距分拣机项目</t>
  </si>
  <si>
    <t>华北-豫-202506042</t>
  </si>
  <si>
    <t>郑州中原区石佛镇共派</t>
  </si>
  <si>
    <t>华北-晋-202506029</t>
  </si>
  <si>
    <t>山西寿阳申通申通接口</t>
  </si>
  <si>
    <t>华东-闽-202506031</t>
  </si>
  <si>
    <t>南安申通</t>
  </si>
  <si>
    <t>华北-冀-202506041</t>
  </si>
  <si>
    <t>新魏县共派</t>
  </si>
  <si>
    <t>华北-冀-202506049</t>
  </si>
  <si>
    <t>河北邯郸涉县共派增购OCR对接圆通</t>
  </si>
  <si>
    <t>华北-冀-202506030</t>
  </si>
  <si>
    <t>徐水中通二期</t>
  </si>
  <si>
    <t>华北-冀-202506034</t>
  </si>
  <si>
    <t>固安申通搬迁</t>
  </si>
  <si>
    <t>华东-闽-202506037</t>
  </si>
  <si>
    <t>晋江西园圆通</t>
  </si>
  <si>
    <t>华东-皖-202506043</t>
  </si>
  <si>
    <t>芜湖圆通二期（加层）</t>
  </si>
  <si>
    <t>华北-冀-202506038</t>
  </si>
  <si>
    <t>邢台平乡韵达</t>
  </si>
  <si>
    <t>华北-豫-202506050</t>
  </si>
  <si>
    <t>河南信阳潢川申通</t>
  </si>
  <si>
    <t>华北-冀-202506051</t>
  </si>
  <si>
    <t>河北沧州青县中通</t>
  </si>
  <si>
    <t>华东-苏-202506010</t>
  </si>
  <si>
    <t>雨花台极兔新增韵达接口</t>
  </si>
  <si>
    <t>华北-冀-202506024</t>
  </si>
  <si>
    <t>廊坊永清建包仓增购供包台</t>
  </si>
  <si>
    <t>华东-皖-202506059</t>
  </si>
  <si>
    <t>南陵共派环线</t>
  </si>
  <si>
    <t>华东-浙-202506056</t>
  </si>
  <si>
    <t>义乌天鼎韵达集包仓（电控）</t>
  </si>
  <si>
    <t>华东-闽-202506060</t>
  </si>
  <si>
    <t>龙岩共派二期</t>
  </si>
  <si>
    <t>华东-闽-202506061</t>
  </si>
  <si>
    <t>龙岩连城中通增购供包台</t>
  </si>
  <si>
    <t>2025RD27</t>
  </si>
  <si>
    <t>机器人自动供包2025</t>
  </si>
  <si>
    <t>CGWX018</t>
  </si>
  <si>
    <t>贝和</t>
  </si>
  <si>
    <t>CGWX019</t>
  </si>
  <si>
    <t>坎达</t>
  </si>
  <si>
    <t>KA华北-冀-202507033-1</t>
  </si>
  <si>
    <t>廊坊韵达A（发出）NC</t>
  </si>
  <si>
    <t>KA华北-冀-202507033-2</t>
  </si>
  <si>
    <t>廊坊韵达B（发出）NC</t>
  </si>
  <si>
    <t>KA华东-鲁-202507030-1</t>
  </si>
  <si>
    <t>潍坊韵达（发出）NC</t>
  </si>
  <si>
    <t>KA华东-鲁-202507030-2</t>
  </si>
  <si>
    <t>潍坊韵达（到达）NC</t>
  </si>
  <si>
    <t>KA华东-浙-202507031</t>
  </si>
  <si>
    <t>永嘉韵达NC</t>
  </si>
  <si>
    <t>海外-巴西-202505001A</t>
  </si>
  <si>
    <t>安骏巴西圣保罗2号仓环线增购</t>
  </si>
  <si>
    <t>海外-闽-202505001A</t>
  </si>
  <si>
    <t>泉州TKmini环项目工控机增补</t>
  </si>
  <si>
    <t>海外-尼日利亚-202503001C</t>
  </si>
  <si>
    <t>速达非技术服务增购限位轮</t>
  </si>
  <si>
    <t>海外-沙特-202507001</t>
  </si>
  <si>
    <t>iMile沙特吉达设备拆除</t>
  </si>
  <si>
    <t>海外-泰-202506077</t>
  </si>
  <si>
    <t>泰国2025年第三季度备件</t>
  </si>
  <si>
    <t>海外-泰-202507032</t>
  </si>
  <si>
    <t>泰国2025年第三季度备件(第二批)</t>
  </si>
  <si>
    <t>海外-匈牙利-202506001</t>
  </si>
  <si>
    <t>iMile匈牙利环线搬迁加大</t>
  </si>
  <si>
    <t>海外-粤-202505002A</t>
  </si>
  <si>
    <t>唯品会两套分拣机增补纠偏</t>
  </si>
  <si>
    <t>华北-吉-202507048</t>
  </si>
  <si>
    <t>长春九台区共配</t>
  </si>
  <si>
    <t>华北-冀-202506062</t>
  </si>
  <si>
    <t>涿州申通</t>
  </si>
  <si>
    <t>华北-冀-202506067</t>
  </si>
  <si>
    <t>邯郸丛台共派mini</t>
  </si>
  <si>
    <t>华北-冀-202506072</t>
  </si>
  <si>
    <t>河北邯郸魏县圆通二期</t>
  </si>
  <si>
    <t>华北-冀-202506083</t>
  </si>
  <si>
    <t>唐山极兔</t>
  </si>
  <si>
    <t>华北-冀-202506104</t>
  </si>
  <si>
    <t>唐山圆通二期增购供包台</t>
  </si>
  <si>
    <t>华北-冀-202506105</t>
  </si>
  <si>
    <t>石家庄新火车站共派</t>
  </si>
  <si>
    <t>华北-冀-202506105A</t>
  </si>
  <si>
    <t>石家庄新火车站共派增购OCR</t>
  </si>
  <si>
    <t>华北-冀-202507006</t>
  </si>
  <si>
    <t>承德双滦区共派mini增购</t>
  </si>
  <si>
    <t>华北-冀-202507015</t>
  </si>
  <si>
    <t>廊坊开发区共派直线</t>
  </si>
  <si>
    <t>华北-冀-202507016</t>
  </si>
  <si>
    <t>保定安新共派</t>
  </si>
  <si>
    <t>华北-冀-202507042</t>
  </si>
  <si>
    <t>河北邯郸武安共配环线</t>
  </si>
  <si>
    <t>华北-冀-202507047</t>
  </si>
  <si>
    <t>河北石家庄新乐申通（加极兔接口）</t>
  </si>
  <si>
    <t>华北-冀-202507061</t>
  </si>
  <si>
    <t>保定莲池河大共派mini</t>
  </si>
  <si>
    <t>华北-冀-202507063</t>
  </si>
  <si>
    <t>衡水中通+衡水圆通二期新增供包台</t>
  </si>
  <si>
    <t>华北-冀-202507064</t>
  </si>
  <si>
    <t>沧州圆通一期新增供包台</t>
  </si>
  <si>
    <t>华北-冀-202507071</t>
  </si>
  <si>
    <t>河北承德围场共配</t>
  </si>
  <si>
    <t>华北-津-202506106</t>
  </si>
  <si>
    <t>天津武清申通搬迁增购电机</t>
  </si>
  <si>
    <t>华北-晋-202507046</t>
  </si>
  <si>
    <t>山西临汾侯马韵达（调试）</t>
  </si>
  <si>
    <t>华北-晋-202507046-A</t>
  </si>
  <si>
    <t>山西临汾侯马韵达（增购）</t>
  </si>
  <si>
    <t>华北-京-202506074</t>
  </si>
  <si>
    <t>北京昌平申通搬迁</t>
  </si>
  <si>
    <t>华北-京-202506101</t>
  </si>
  <si>
    <t>北京丰台太平桥共派2号线搬迁增购</t>
  </si>
  <si>
    <t>华北-辽-202506084</t>
  </si>
  <si>
    <t>辽宁抚顺韵达二期mini</t>
  </si>
  <si>
    <t>华北-辽-202507022</t>
  </si>
  <si>
    <t>辽宁朝阳龙城韵达mini</t>
  </si>
  <si>
    <t>华北-辽-202507075</t>
  </si>
  <si>
    <t>辽宁丹东极兔窄带</t>
  </si>
  <si>
    <t>华北-鲁-202506065</t>
  </si>
  <si>
    <t>山东临沂马场湖韵达</t>
  </si>
  <si>
    <t>华北-豫-202506039</t>
  </si>
  <si>
    <t>商丘梁园申通二期</t>
  </si>
  <si>
    <t>华北-豫-202506073</t>
  </si>
  <si>
    <t>河南长垣共配二期（加二层）</t>
  </si>
  <si>
    <t>华北-豫-202507005</t>
  </si>
  <si>
    <t>周口郸城申通</t>
  </si>
  <si>
    <t>华北-豫-202507050</t>
  </si>
  <si>
    <t>驻马店申通二期</t>
  </si>
  <si>
    <t>华北-豫-202507057</t>
  </si>
  <si>
    <t>获嘉共派二期</t>
  </si>
  <si>
    <t>华东-鄂-202507021</t>
  </si>
  <si>
    <t>湖北孝感韵达云仓</t>
  </si>
  <si>
    <t>华东-沪-202208011WB</t>
  </si>
  <si>
    <t>上海梅陇网格仓（直线）维保费</t>
  </si>
  <si>
    <t>华东-沪-202507003</t>
  </si>
  <si>
    <t>上海祝桥韵达mini新增接口</t>
  </si>
  <si>
    <t>华东-鲁-202506069</t>
  </si>
  <si>
    <t>华东-鲁-202506071</t>
  </si>
  <si>
    <t>菏泽巨野中通环线</t>
  </si>
  <si>
    <t>华东-鲁-202506081</t>
  </si>
  <si>
    <t>临沂河东圆通三期环线</t>
  </si>
  <si>
    <t>华东-鲁-202507049</t>
  </si>
  <si>
    <t>临沂银雀山中通环线</t>
  </si>
  <si>
    <t>华东-鲁-202507051</t>
  </si>
  <si>
    <t>兰陵共配二期环线增购</t>
  </si>
  <si>
    <t>华东-鲁-202507055</t>
  </si>
  <si>
    <t>德州德城中通环线</t>
  </si>
  <si>
    <t>华东-闽-202505013</t>
  </si>
  <si>
    <t>华东-闽-202506093</t>
  </si>
  <si>
    <t>莆田申通二期进出港</t>
  </si>
  <si>
    <t>华东-闽-202506097</t>
  </si>
  <si>
    <t>厦门马巷韵达mini</t>
  </si>
  <si>
    <t>华东-闽-202506103</t>
  </si>
  <si>
    <t>宁德古田韵达mini新增圆通接口</t>
  </si>
  <si>
    <t>华东-闽-202507026</t>
  </si>
  <si>
    <t>邵武中通调试服务</t>
  </si>
  <si>
    <t>华东-闽-202507056</t>
  </si>
  <si>
    <t>德化申通出港</t>
  </si>
  <si>
    <t>华东-苏-202506055</t>
  </si>
  <si>
    <t>江苏昆山燕文物流</t>
  </si>
  <si>
    <t>华东-苏-202506082</t>
  </si>
  <si>
    <t>徐州邳州申通环线</t>
  </si>
  <si>
    <t>华东-苏-202506089</t>
  </si>
  <si>
    <t>南京大厂利旧</t>
  </si>
  <si>
    <t>华东-苏-202507001</t>
  </si>
  <si>
    <t>常熟极兔二期增购</t>
  </si>
  <si>
    <t>华东-苏-202507014</t>
  </si>
  <si>
    <t>南京栖霞韵达搬迁</t>
  </si>
  <si>
    <t>华东-苏-202507025</t>
  </si>
  <si>
    <t>淮安盱眙中通直线</t>
  </si>
  <si>
    <t>华东-苏-202507029</t>
  </si>
  <si>
    <t>如东二期搬迁</t>
  </si>
  <si>
    <t>华东-苏-202507059</t>
  </si>
  <si>
    <t>三星中通搬迁</t>
  </si>
  <si>
    <t>华东-苏-202507060</t>
  </si>
  <si>
    <t>南京栖霞金马路共派</t>
  </si>
  <si>
    <t>华东-苏-202507070</t>
  </si>
  <si>
    <t>南京栖霞韵达增购</t>
  </si>
  <si>
    <t>华东-皖-202304008WB</t>
  </si>
  <si>
    <t>滁州韵达建包仓维保费</t>
  </si>
  <si>
    <t>华东-皖-202506080</t>
  </si>
  <si>
    <t>安徽合肥韵达集包仓</t>
  </si>
  <si>
    <t>华东-皖-202506085</t>
  </si>
  <si>
    <t>芜湖圆通利旧设备调试</t>
  </si>
  <si>
    <t>华东-皖-202506096</t>
  </si>
  <si>
    <t>芜湖圆通二期自动供包</t>
  </si>
  <si>
    <t>华东-皖-202507023</t>
  </si>
  <si>
    <t>太和极兔</t>
  </si>
  <si>
    <t>华东-皖-202507068</t>
  </si>
  <si>
    <t>亳州涡北韵达集包仓</t>
  </si>
  <si>
    <t>华东-皖-202507078</t>
  </si>
  <si>
    <t>合肥高新韵达网格仓（申通多多接口增补）</t>
  </si>
  <si>
    <t>华东-浙-202311023WB</t>
  </si>
  <si>
    <t>湖州圆通出港加层维保费</t>
  </si>
  <si>
    <t>华东-浙-202506078</t>
  </si>
  <si>
    <t>衢州常山共配窄带</t>
  </si>
  <si>
    <t>华东-浙-202506102</t>
  </si>
  <si>
    <t>海宁中通环线加层</t>
  </si>
  <si>
    <t>华东-浙-202507017</t>
  </si>
  <si>
    <t>湖州安吉申通手摆环线</t>
  </si>
  <si>
    <t>华东-浙-202507020</t>
  </si>
  <si>
    <t>台州椒江圆通</t>
  </si>
  <si>
    <t>华东-浙-202507034</t>
  </si>
  <si>
    <t>浙江海宁极兔环线</t>
  </si>
  <si>
    <t>华东-浙-202507034A</t>
  </si>
  <si>
    <t>浙江海宁极兔环线增购</t>
  </si>
  <si>
    <t>华东-浙-202507052</t>
  </si>
  <si>
    <t>临安邮政搬迁</t>
  </si>
  <si>
    <t>华东-浙-202507067</t>
  </si>
  <si>
    <t>萧山亚运村搬迁</t>
  </si>
  <si>
    <t>华东-浙-202507069</t>
  </si>
  <si>
    <t>义乌金马圆通</t>
  </si>
  <si>
    <t>华南-鄂-202206002WB</t>
  </si>
  <si>
    <t>湖北黄梅黄冈共派维保费</t>
  </si>
  <si>
    <t>华南-赣-202506033</t>
  </si>
  <si>
    <t>江西寻乌中通对接申通</t>
  </si>
  <si>
    <t>华南-赣-202506035</t>
  </si>
  <si>
    <t>乐平共派补码</t>
  </si>
  <si>
    <t>华南-赣-202506086</t>
  </si>
  <si>
    <t>江西萍乡湘东共配环线</t>
  </si>
  <si>
    <t>华南-赣-202507008</t>
  </si>
  <si>
    <t>江西分宜申通环线</t>
  </si>
  <si>
    <t>华南-赣-202507086</t>
  </si>
  <si>
    <t>九江柴桑共派mini</t>
  </si>
  <si>
    <t>华南-桂-202507036</t>
  </si>
  <si>
    <t>广西桂平木乐中通环线</t>
  </si>
  <si>
    <t>华南-琼-202506090</t>
  </si>
  <si>
    <t>海南澄迈金江申通直线</t>
  </si>
  <si>
    <t>华南-琼-202506098</t>
  </si>
  <si>
    <t>海南澄迈老城镇共配mini</t>
  </si>
  <si>
    <t>华南-琼-202507013</t>
  </si>
  <si>
    <t>海南定安韵达增购相机</t>
  </si>
  <si>
    <t>华南-琼-202507035</t>
  </si>
  <si>
    <t>海南万宁兴隆韵达mini</t>
  </si>
  <si>
    <t>华南-琼-202507054</t>
  </si>
  <si>
    <t>海南临高中通mini</t>
  </si>
  <si>
    <t>华南-陕-202204015WB</t>
  </si>
  <si>
    <t>西安临潼韵达（直线）维保费</t>
  </si>
  <si>
    <t>华南-粤-201909003WB</t>
  </si>
  <si>
    <t>华南-粤-202202003WB</t>
  </si>
  <si>
    <t>番禺石碁申通维保费</t>
  </si>
  <si>
    <t>华南-粤-202402019拆</t>
  </si>
  <si>
    <t>怀集中通拆机</t>
  </si>
  <si>
    <t>华南-粤-202506054</t>
  </si>
  <si>
    <t>惠来圆通直线</t>
  </si>
  <si>
    <t>华南-粤-202506070</t>
  </si>
  <si>
    <t>零星滑触线配件</t>
  </si>
  <si>
    <t>华南-粤-202506076</t>
  </si>
  <si>
    <t>潮州彩塘极兔二期环线</t>
  </si>
  <si>
    <t>华南-粤-202506087</t>
  </si>
  <si>
    <t>深圳福田华强韵达拆机</t>
  </si>
  <si>
    <t>华南-粤-202506091</t>
  </si>
  <si>
    <t>汕头澄海韵达进港直线</t>
  </si>
  <si>
    <t>华南-粤-202506092</t>
  </si>
  <si>
    <t>广州大源中通进港增补</t>
  </si>
  <si>
    <t>华南-粤-202506094</t>
  </si>
  <si>
    <t>大岭山极兔直线对接极兔出港</t>
  </si>
  <si>
    <t>华南-粤-202507002</t>
  </si>
  <si>
    <t>惠州惠城申通环线</t>
  </si>
  <si>
    <t>华南-粤-202507004</t>
  </si>
  <si>
    <t>清溪圆通搬迁物料增补</t>
  </si>
  <si>
    <t>华南-粤-202507024</t>
  </si>
  <si>
    <t>东莞大朗韵达二期拆机</t>
  </si>
  <si>
    <t>华南-粤-202507038</t>
  </si>
  <si>
    <t>广州广汕申通环线</t>
  </si>
  <si>
    <t>华南-粤-202507053</t>
  </si>
  <si>
    <t>怀集共派增购</t>
  </si>
  <si>
    <t>华南-粤-202507072</t>
  </si>
  <si>
    <t>番禺蔡边申通直线</t>
  </si>
  <si>
    <t>华南-粤-202507073</t>
  </si>
  <si>
    <t>茂名高州极兔直线</t>
  </si>
  <si>
    <t>华南-粤-202507079</t>
  </si>
  <si>
    <t>揭阳东山韵达mini增购</t>
  </si>
  <si>
    <t>西南-川-202506045</t>
  </si>
  <si>
    <t>成都金花共派环线</t>
  </si>
  <si>
    <t>西南-川-202506066</t>
  </si>
  <si>
    <t>德昌韵达对接多多系统</t>
  </si>
  <si>
    <t>西南-川-202507011</t>
  </si>
  <si>
    <t>四川巴中共配环线</t>
  </si>
  <si>
    <t>西南-川-202507041</t>
  </si>
  <si>
    <t>德阳申通增购</t>
  </si>
  <si>
    <t>西南-川-202507043</t>
  </si>
  <si>
    <t>德阳申通二期窄带</t>
  </si>
  <si>
    <t>西南-川-202507044</t>
  </si>
  <si>
    <t>大丰韵达MINI改造</t>
  </si>
  <si>
    <t>西南-川-202507058</t>
  </si>
  <si>
    <t>广元旺苍共配</t>
  </si>
  <si>
    <t>西南-川-202507076</t>
  </si>
  <si>
    <t>芦山共派搬迁调试</t>
  </si>
  <si>
    <t>西南-鄂-202507010</t>
  </si>
  <si>
    <t>武汉市白沙洲一部直线搬迁</t>
  </si>
  <si>
    <t>西南-鄂-202507018</t>
  </si>
  <si>
    <t>武汉丹水池共派直线二期</t>
  </si>
  <si>
    <t>西南-鄂-202507019</t>
  </si>
  <si>
    <t>武汉丹水池共派直线搬迁</t>
  </si>
  <si>
    <t>西南-甘-202506058</t>
  </si>
  <si>
    <t>甘肃景泰中通对接韵达</t>
  </si>
  <si>
    <t>西南-甘-202507028</t>
  </si>
  <si>
    <t>甘肃酒泉玉门共配mini</t>
  </si>
  <si>
    <t>西南-甘-202507085</t>
  </si>
  <si>
    <t>甘肃定西通渭共配mini增购</t>
  </si>
  <si>
    <t>西南-贵-202506063</t>
  </si>
  <si>
    <t>贵州六盘水极兔环线</t>
  </si>
  <si>
    <t>西南-贵-202506079</t>
  </si>
  <si>
    <t>息烽共派搬迁改造</t>
  </si>
  <si>
    <t>西南-贵-202507040</t>
  </si>
  <si>
    <t>贵阳金阳二部中通直线</t>
  </si>
  <si>
    <t>西南-贵-202507080</t>
  </si>
  <si>
    <t>贵阳共派调试</t>
  </si>
  <si>
    <t>西南-陇-202506064</t>
  </si>
  <si>
    <t>甘肃张掖临泽共配增补（顶扫换五面扫）</t>
  </si>
  <si>
    <t>西南-陇-202506095</t>
  </si>
  <si>
    <t>甘肃定西通渭共配mini</t>
  </si>
  <si>
    <t>西南-宁-202506057</t>
  </si>
  <si>
    <t>宁夏贺兰中通搬迁增补物料</t>
  </si>
  <si>
    <t>西南-宁-202506100</t>
  </si>
  <si>
    <t>宁夏贺兰中通搬迁增补第二批</t>
  </si>
  <si>
    <t>西南-陕-202506099</t>
  </si>
  <si>
    <t>陕西西安雁塔城南韵达mini</t>
  </si>
  <si>
    <t>西南-陕-202507007</t>
  </si>
  <si>
    <t>陕西延安延长共配直线</t>
  </si>
  <si>
    <t>西南-陕-202507062</t>
  </si>
  <si>
    <t>陕西榆林韵达mini</t>
  </si>
  <si>
    <t>西南-湘-202506075</t>
  </si>
  <si>
    <t>长沙市马王堆共配直线</t>
  </si>
  <si>
    <t>西南-湘-202506088</t>
  </si>
  <si>
    <t>湖南汨罗共配改造</t>
  </si>
  <si>
    <t>西南-湘-202507074</t>
  </si>
  <si>
    <t>湖南平江共配一期搬迁调试</t>
  </si>
  <si>
    <t>西南-云-202506068</t>
  </si>
  <si>
    <t>云南临沧韵达mini</t>
  </si>
  <si>
    <t>西南-云-202507037</t>
  </si>
  <si>
    <t>云南腾冲圆通直线</t>
  </si>
  <si>
    <t>西南-云-202507045</t>
  </si>
  <si>
    <t>云南大理韵达mini</t>
  </si>
  <si>
    <t>创新-俄罗斯-202508001</t>
  </si>
  <si>
    <t>俄罗斯3D sorter项目二期</t>
  </si>
  <si>
    <t>创新-俄罗斯-202508002</t>
  </si>
  <si>
    <t>俄罗斯3PL 3D Sorter 项目</t>
  </si>
  <si>
    <t>海外-澳洲-202508001</t>
  </si>
  <si>
    <t>iMile澳洲皮带机+快手项目</t>
  </si>
  <si>
    <t>海外-巴西-202507001</t>
  </si>
  <si>
    <t>iMile巴西大件快手项目</t>
  </si>
  <si>
    <t>海外-巴西-202508001</t>
  </si>
  <si>
    <t>iMile吉达搬迁巴西-国内新增配件</t>
  </si>
  <si>
    <t>海外-利雅得-202408001A</t>
  </si>
  <si>
    <t>海外-美国-202508001</t>
  </si>
  <si>
    <t>贤世美国单件分离+除双项目</t>
  </si>
  <si>
    <t>海外-墨西哥-202503001A</t>
  </si>
  <si>
    <t>奥索斯墨城环线安装项目增补安装费</t>
  </si>
  <si>
    <t>海外-墨西哥-202508001</t>
  </si>
  <si>
    <t>墨西哥iMile皮带机项目</t>
  </si>
  <si>
    <t>海外-墨西哥-202508002</t>
  </si>
  <si>
    <t>imile墨西哥备件项目</t>
  </si>
  <si>
    <t>海外-粤-202503001ZB</t>
  </si>
  <si>
    <t>拼多多三水环线交叉带项目增补</t>
  </si>
  <si>
    <t>海外-粤-202508001</t>
  </si>
  <si>
    <t>拼多多三水环线交叉带二期</t>
  </si>
  <si>
    <t>华北-吉-202508018</t>
  </si>
  <si>
    <t>吉林长春双阳共派新增中通接口</t>
  </si>
  <si>
    <t>华北-冀-202506032</t>
  </si>
  <si>
    <t>肃宁圆通增购拆除</t>
  </si>
  <si>
    <t>华北-冀-202507084</t>
  </si>
  <si>
    <t>河北沧州盐山共派直线</t>
  </si>
  <si>
    <t>华北-冀-202507091</t>
  </si>
  <si>
    <t>保定博野共派增补</t>
  </si>
  <si>
    <t>华北-冀-202507096</t>
  </si>
  <si>
    <t>保定莲池恒盛共派mini</t>
  </si>
  <si>
    <t>华北-冀-202508012</t>
  </si>
  <si>
    <t>南皮中通</t>
  </si>
  <si>
    <t>华北-冀-202508024</t>
  </si>
  <si>
    <t>河南濮阳台前申通</t>
  </si>
  <si>
    <t>华北-冀-202508027</t>
  </si>
  <si>
    <t>廊坊永清圆通二层</t>
  </si>
  <si>
    <t>华北-冀-202508028</t>
  </si>
  <si>
    <t>河北邯郸武安共配二期拆装供包台</t>
  </si>
  <si>
    <t>华北-冀-202508034</t>
  </si>
  <si>
    <t>定州极兔mini</t>
  </si>
  <si>
    <t>华北-冀-202508045</t>
  </si>
  <si>
    <t>保定竞秀富昌路共派</t>
  </si>
  <si>
    <t>华北-冀-202508046</t>
  </si>
  <si>
    <t>固安中通二期</t>
  </si>
  <si>
    <t>华北-津-202508010</t>
  </si>
  <si>
    <t>天津滨海新区邮政</t>
  </si>
  <si>
    <t>华北-津-202508036</t>
  </si>
  <si>
    <t>天津北辰韵达mini</t>
  </si>
  <si>
    <t>华北-晋-202508014</t>
  </si>
  <si>
    <t>朔州朔城区韵达</t>
  </si>
  <si>
    <t>华北-京-202507030WB</t>
  </si>
  <si>
    <t>北京顺义邮政交换站维保费</t>
  </si>
  <si>
    <t>华北-京-202507065</t>
  </si>
  <si>
    <t>北京国茂申通直线新增韵达接口</t>
  </si>
  <si>
    <t>华北-京-202507077</t>
  </si>
  <si>
    <t>北京通州武夷花园共派</t>
  </si>
  <si>
    <t>华北-京-202507087</t>
  </si>
  <si>
    <t>北京昌平县城申通</t>
  </si>
  <si>
    <t>华北-京-202508008</t>
  </si>
  <si>
    <t>怀柔韵达（利旧密云韵达）</t>
  </si>
  <si>
    <t>华北-京-202508054</t>
  </si>
  <si>
    <t>北京顺义极兔圆通共派</t>
  </si>
  <si>
    <t>华北-辽-202507095</t>
  </si>
  <si>
    <t>辽宁鞍山共派</t>
  </si>
  <si>
    <t>华北-辽-202508025</t>
  </si>
  <si>
    <t>辽宁朝阳申通</t>
  </si>
  <si>
    <t>华北-蒙-202508030</t>
  </si>
  <si>
    <t>包头极兔技术服务</t>
  </si>
  <si>
    <t>华北-豫-202508039</t>
  </si>
  <si>
    <t>河南济源申通</t>
  </si>
  <si>
    <t>华东-鄂-202402013WB</t>
  </si>
  <si>
    <t>湖北孝感集包仓维保费</t>
  </si>
  <si>
    <t>华东-鄂-202508043</t>
  </si>
  <si>
    <t>湖北武汉光谷搬迁（新增圆通对接）</t>
  </si>
  <si>
    <t>华东-冀-202508007</t>
  </si>
  <si>
    <t>申通网络大会展品</t>
  </si>
  <si>
    <t>华东-冀-202508041</t>
  </si>
  <si>
    <t>廊坊文安中通mini环线</t>
  </si>
  <si>
    <t>华东-冀-202508042</t>
  </si>
  <si>
    <t>廊坊文安中通窄带（自动供包）</t>
  </si>
  <si>
    <t>华东-京-202404044WB</t>
  </si>
  <si>
    <t>马驹桥共派-按票充值维保费</t>
  </si>
  <si>
    <t>华东-京-202408011WB</t>
  </si>
  <si>
    <t>北京久敬庄网格仓维保费</t>
  </si>
  <si>
    <t>华东-鲁-202507100</t>
  </si>
  <si>
    <t>聊城冠县共派</t>
  </si>
  <si>
    <t>华东-鲁-202508052</t>
  </si>
  <si>
    <t>山东临清极兔mini环</t>
  </si>
  <si>
    <t>华东-闽-202507099</t>
  </si>
  <si>
    <t>石狮创业路邮政窄带搬迁</t>
  </si>
  <si>
    <t>华东-苏-202507094</t>
  </si>
  <si>
    <t>通州中通调试</t>
  </si>
  <si>
    <t>华东-苏-202507098</t>
  </si>
  <si>
    <t>常熟圆通mini</t>
  </si>
  <si>
    <t>华东-苏-202508002</t>
  </si>
  <si>
    <t>江苏东海韵达二期mini</t>
  </si>
  <si>
    <t>华东-苏-202508003</t>
  </si>
  <si>
    <t>东海韵达环线改造</t>
  </si>
  <si>
    <t>华东-苏-202508013</t>
  </si>
  <si>
    <t>扬州宝应韵达</t>
  </si>
  <si>
    <t>华东-苏-202508033</t>
  </si>
  <si>
    <t>昆山柏庐网格仓加申通接口</t>
  </si>
  <si>
    <t>华东-苏-202508051</t>
  </si>
  <si>
    <t>金湖县神华大道圆通</t>
  </si>
  <si>
    <t>华东-皖-202507081</t>
  </si>
  <si>
    <t>安徽韵达集包仓二期</t>
  </si>
  <si>
    <t>华东-皖-202507082</t>
  </si>
  <si>
    <t>安徽马鞍山韵达环线</t>
  </si>
  <si>
    <t>华东-皖-202508050</t>
  </si>
  <si>
    <t>安徽马鞍山极兔环线</t>
  </si>
  <si>
    <t>华东-豫-202411009JK</t>
  </si>
  <si>
    <t>河南周口太康圆通对接易丰智能错分报警系统</t>
  </si>
  <si>
    <t>华东-浙-202507083</t>
  </si>
  <si>
    <t>常山共配窄带增购转弯机</t>
  </si>
  <si>
    <t>华东-浙-202508001</t>
  </si>
  <si>
    <t>义乌东苑韵达NC交叉带</t>
  </si>
  <si>
    <t>华东-浙-202508011</t>
  </si>
  <si>
    <t>杭州五堡窄带搬迁加大</t>
  </si>
  <si>
    <t>华东-浙-202508015</t>
  </si>
  <si>
    <t>青田共派采购碳刷</t>
  </si>
  <si>
    <t>华东-浙-202508035</t>
  </si>
  <si>
    <t>椒江圆通调试</t>
  </si>
  <si>
    <t>华东-浙-202508057</t>
  </si>
  <si>
    <t>萧山极兔环线增补方管</t>
  </si>
  <si>
    <t>华南-滇-202306012WB</t>
  </si>
  <si>
    <t>云南宣威中通维保费</t>
  </si>
  <si>
    <t>华南-赣-202307003WB</t>
  </si>
  <si>
    <t>江西上饶中通维保费</t>
  </si>
  <si>
    <t>华南-赣-202507101</t>
  </si>
  <si>
    <t>寻乌申通改造升级</t>
  </si>
  <si>
    <t>华南-桂-202507088</t>
  </si>
  <si>
    <t>广西钦州韵达直线搬迁改造</t>
  </si>
  <si>
    <t>华南-桂-202508016</t>
  </si>
  <si>
    <t>广西荔浦共派环线</t>
  </si>
  <si>
    <t>华南-桂-202508058</t>
  </si>
  <si>
    <t>广西合浦中通搬迁改造</t>
  </si>
  <si>
    <t>华南-琼-202507093</t>
  </si>
  <si>
    <t>海南万宁中通mini</t>
  </si>
  <si>
    <t>华南-琼-202508053</t>
  </si>
  <si>
    <t>琼中韵达极兔集包mini</t>
  </si>
  <si>
    <t>华南-琼-202508060</t>
  </si>
  <si>
    <t>海口龙华中通分拨直线</t>
  </si>
  <si>
    <t>华南-粤-202403037WB</t>
  </si>
  <si>
    <t>普宁西中通维保费</t>
  </si>
  <si>
    <t>华南-粤-202507089</t>
  </si>
  <si>
    <t>广州永兴韵达环线（龙归韵达搬迁）</t>
  </si>
  <si>
    <t>华南-粤-202507097</t>
  </si>
  <si>
    <t>汕尾梅陇圆通增补</t>
  </si>
  <si>
    <t>华南-粤-202508026</t>
  </si>
  <si>
    <t>湛江赤坎韵达直线搬迁</t>
  </si>
  <si>
    <t>华南-粤-202508038</t>
  </si>
  <si>
    <t>东莞新凤岗圆通环线</t>
  </si>
  <si>
    <t>华南-粤-202508038/华南-粤-202508038-1</t>
  </si>
  <si>
    <t>东莞新凤岗圆通环线/东莞新凤岗圆通直线</t>
  </si>
  <si>
    <t>华南-粤-202508038-1</t>
  </si>
  <si>
    <t>东莞新凤岗圆通直线</t>
  </si>
  <si>
    <t>华南-粤-202508047</t>
  </si>
  <si>
    <t>广州石井中通进港直线</t>
  </si>
  <si>
    <t>华南-粤-202508048</t>
  </si>
  <si>
    <t>韶关乐昌共派搬迁</t>
  </si>
  <si>
    <t>华南-粤-202508059</t>
  </si>
  <si>
    <t>茂名信宜申通直线</t>
  </si>
  <si>
    <t>西南-川-202507092</t>
  </si>
  <si>
    <t>涪城极兔搬迁调试</t>
  </si>
  <si>
    <t>西南-川-202508017</t>
  </si>
  <si>
    <t>达州韵达增购</t>
  </si>
  <si>
    <t>西南-川-202508031</t>
  </si>
  <si>
    <t>四川广安共派环线</t>
  </si>
  <si>
    <t>西南-川-202508037</t>
  </si>
  <si>
    <t>龙泉韵达集包仓环线</t>
  </si>
  <si>
    <t>西南-川-202508049</t>
  </si>
  <si>
    <t>成都新南门韵达环线</t>
  </si>
  <si>
    <t>西南-鄂-202507027</t>
  </si>
  <si>
    <t>中南民族大学共配上件段改造</t>
  </si>
  <si>
    <t>西南-鄂-202508020</t>
  </si>
  <si>
    <t>武汉南湖二部新增申通接口</t>
  </si>
  <si>
    <t>西南-鄂-202508021</t>
  </si>
  <si>
    <t>武汉南湖二部增购</t>
  </si>
  <si>
    <t>西南-鄂-202508022</t>
  </si>
  <si>
    <t>武汉南湖板桥增购</t>
  </si>
  <si>
    <t>西南-贵-202508009</t>
  </si>
  <si>
    <t>贵州六盘水中通新增申通接口</t>
  </si>
  <si>
    <t>西南-陕-202508006</t>
  </si>
  <si>
    <t>陕西延安安塞共配直线</t>
  </si>
  <si>
    <t>西南-陕-202508044</t>
  </si>
  <si>
    <t>陕西西安百利威邮政环线</t>
  </si>
  <si>
    <t>西南-陕-202508044-1</t>
  </si>
  <si>
    <t>陕西西安百利威邮政窄带A</t>
  </si>
  <si>
    <t>西南-陕-202508044-2</t>
  </si>
  <si>
    <t>陕西西安百利威邮政窄带B</t>
  </si>
  <si>
    <t>西南-陕-202508044-3</t>
  </si>
  <si>
    <t>陕西西安百利威邮政窄带C</t>
  </si>
  <si>
    <t>西南-湘-202508023</t>
  </si>
  <si>
    <t>湖南衡阳珠晖区共配直线</t>
  </si>
  <si>
    <t>西南-渝-202508005</t>
  </si>
  <si>
    <t>忠县邮政环线</t>
  </si>
  <si>
    <t>西南-云-202507090</t>
  </si>
  <si>
    <t>西双版纳申通环线改造</t>
  </si>
  <si>
    <t>西南-云-202508019</t>
  </si>
  <si>
    <t>石屏共配直线搬迁改造</t>
  </si>
  <si>
    <t>西南-云-202508029</t>
  </si>
  <si>
    <t>云南宾川申通直线</t>
  </si>
  <si>
    <t>西南-云-202508032</t>
  </si>
  <si>
    <t>云南芒市陇川共配直线（溪鸟）</t>
  </si>
  <si>
    <t>2025RD28</t>
  </si>
  <si>
    <t>美客多RC03、JC01样机测试</t>
  </si>
  <si>
    <t>CGWX020</t>
  </si>
  <si>
    <t>珝宸</t>
  </si>
  <si>
    <t>DW202508028</t>
  </si>
  <si>
    <t>成都申通</t>
  </si>
  <si>
    <t>海外-巴西-202505001C</t>
  </si>
  <si>
    <t>安骏巴西直线分拣机搬迁项目</t>
  </si>
  <si>
    <t>海外-巴西-202508001A</t>
  </si>
  <si>
    <t>iMile吉达搬迁巴西-搬迁损耗物料PO</t>
  </si>
  <si>
    <t>海外-菲-202508072</t>
  </si>
  <si>
    <t>极兔菲律宾网点项目</t>
  </si>
  <si>
    <t>海外-泰国-202508001</t>
  </si>
  <si>
    <t>Flash CT1滚筒配件赠送</t>
  </si>
  <si>
    <t>海外-粤-202508001A</t>
  </si>
  <si>
    <t>拼多多三水环线交叉带二期葡萄</t>
  </si>
  <si>
    <t>海外-粤-202508001B</t>
  </si>
  <si>
    <t>拼多多三水环线交叉带二期冬枣</t>
  </si>
  <si>
    <t>华北-黑-202508034</t>
  </si>
  <si>
    <t>哈尔滨群力中通</t>
  </si>
  <si>
    <t>华北-冀-202508055</t>
  </si>
  <si>
    <t>河北沧州盐山共派环线</t>
  </si>
  <si>
    <t>华北-冀-202508065</t>
  </si>
  <si>
    <t>邯郸邮政南库</t>
  </si>
  <si>
    <t>华北-冀-202509009</t>
  </si>
  <si>
    <t>廊坊霸州韵达</t>
  </si>
  <si>
    <t>华北-冀-202509037</t>
  </si>
  <si>
    <t>河北保定满城申通系统调试</t>
  </si>
  <si>
    <t>华北-冀-202509038</t>
  </si>
  <si>
    <t>沧州圆通四期增购单件分离</t>
  </si>
  <si>
    <t>华北-晋-202508032</t>
  </si>
  <si>
    <t>山西运城韵达窄带</t>
  </si>
  <si>
    <t>华北-晋-202508033</t>
  </si>
  <si>
    <t>山西运城闻喜韵达环线</t>
  </si>
  <si>
    <t>华北-辽-202508062</t>
  </si>
  <si>
    <t>辽宁新民申通环线</t>
  </si>
  <si>
    <t>华北-辽-202508063</t>
  </si>
  <si>
    <t>辽宁鞍山西柳韵达</t>
  </si>
  <si>
    <t>华北-辽-202509025</t>
  </si>
  <si>
    <t>沈阳铁西二部中通增购相机</t>
  </si>
  <si>
    <t>华北-蒙-202509003</t>
  </si>
  <si>
    <t>内蒙古乌拉特前旗共派二期环线</t>
  </si>
  <si>
    <t>华北-蒙-202509004</t>
  </si>
  <si>
    <t>内蒙古包头圆通四期</t>
  </si>
  <si>
    <t>华北-蒙-202509027</t>
  </si>
  <si>
    <t>内蒙古赤峰宁城共派环线</t>
  </si>
  <si>
    <t>华北-豫-202509008</t>
  </si>
  <si>
    <t>河南濮阳清丰共配</t>
  </si>
  <si>
    <t>华东-川-202112019WB</t>
  </si>
  <si>
    <t>达州韵达维保费</t>
  </si>
  <si>
    <t>华东-冀-202305016WB</t>
  </si>
  <si>
    <t>晋州申通-按票充值维保费</t>
  </si>
  <si>
    <t>华东-津-202406023WB</t>
  </si>
  <si>
    <t>天津静海申通维保费</t>
  </si>
  <si>
    <t>华东-闽-202509026</t>
  </si>
  <si>
    <t>漳州龙海韵达直线新增接口</t>
  </si>
  <si>
    <t>华东-苏-202508064</t>
  </si>
  <si>
    <t>常熟极兔搬迁改造</t>
  </si>
  <si>
    <t>华东-苏-202508073</t>
  </si>
  <si>
    <t>镇江极兔</t>
  </si>
  <si>
    <t>华东-苏-202509019</t>
  </si>
  <si>
    <t>南京浦口心聚缘共派</t>
  </si>
  <si>
    <t>华东-皖-202508075</t>
  </si>
  <si>
    <t>安徽合肥肥东共派环线</t>
  </si>
  <si>
    <t>华东-皖-202508076</t>
  </si>
  <si>
    <t>安徽池州青阳圆通</t>
  </si>
  <si>
    <t>华东-皖-202508077</t>
  </si>
  <si>
    <t>巢湖共派mini</t>
  </si>
  <si>
    <t>华东-皖-202509002</t>
  </si>
  <si>
    <t>安徽宣城宁国共派二期环线</t>
  </si>
  <si>
    <t>华东-皖-202509018</t>
  </si>
  <si>
    <t>蚌埠韵达集散中心</t>
  </si>
  <si>
    <t>华东-浙-202508056</t>
  </si>
  <si>
    <t>杭州富阳中通</t>
  </si>
  <si>
    <t>华东-浙-202508061</t>
  </si>
  <si>
    <t>丽水云和共派新增邮政接口</t>
  </si>
  <si>
    <t>华东-浙-202509017</t>
  </si>
  <si>
    <t>盐官中通mini</t>
  </si>
  <si>
    <t>华东-浙-202509030</t>
  </si>
  <si>
    <t>韵达总部义乌自建交叉带维修项目</t>
  </si>
  <si>
    <t>华南-赣-202508068</t>
  </si>
  <si>
    <t>江西会昌中通环线</t>
  </si>
  <si>
    <t>华南-桂-202509023</t>
  </si>
  <si>
    <t>广西宜州申通直线</t>
  </si>
  <si>
    <t>华南-粤-202004001WB</t>
  </si>
  <si>
    <t>花都韵达维保费</t>
  </si>
  <si>
    <t>华南-粤-202212004</t>
  </si>
  <si>
    <t>华南-粤-202212004WB</t>
  </si>
  <si>
    <t>里水申通三期维保费</t>
  </si>
  <si>
    <t>华南-粤-202508067</t>
  </si>
  <si>
    <t>花都云山韵达（改圆通）加错分系统</t>
  </si>
  <si>
    <t>华南-粤-202508069</t>
  </si>
  <si>
    <t>龙归极兔直线</t>
  </si>
  <si>
    <t>华南-粤-202508074</t>
  </si>
  <si>
    <t>梅州五华韵达环线</t>
  </si>
  <si>
    <t>华南-粤-202509007</t>
  </si>
  <si>
    <t>东莞凤岗申通进港环线</t>
  </si>
  <si>
    <t>华南-粤-202509010</t>
  </si>
  <si>
    <t>广州大象云仓环线</t>
  </si>
  <si>
    <t>华南-粤-202509012</t>
  </si>
  <si>
    <t>东莞温塘申通改造</t>
  </si>
  <si>
    <t>华南-粤-202509014</t>
  </si>
  <si>
    <t>汕头南澳韵达mini</t>
  </si>
  <si>
    <t>华南-粤-202509016</t>
  </si>
  <si>
    <t>揭阳东山申通</t>
  </si>
  <si>
    <t>华南-粤-202509028</t>
  </si>
  <si>
    <t>梅州兴宁申通环线</t>
  </si>
  <si>
    <t>西南-川-202508070</t>
  </si>
  <si>
    <t>四川成都郫都极兔</t>
  </si>
  <si>
    <t>西南-鄂-202509011</t>
  </si>
  <si>
    <t>武昌南湖板桥中通直线增购</t>
  </si>
  <si>
    <t>西南-鄂-202509013</t>
  </si>
  <si>
    <t>麻阳中通直线</t>
  </si>
  <si>
    <t>西南-陕-202509006</t>
  </si>
  <si>
    <t>陕西咸阳高新共配环线</t>
  </si>
  <si>
    <t>西南-湘-202508071</t>
  </si>
  <si>
    <t>湖南湘潭县共配环线</t>
  </si>
  <si>
    <t>西南-湘-202509022</t>
  </si>
  <si>
    <t>湖南长沙天心共配mini</t>
  </si>
  <si>
    <t>西南-湘-202509029</t>
  </si>
  <si>
    <t>湖南麻阳共配环线</t>
  </si>
  <si>
    <t>西南-云-202509020</t>
  </si>
  <si>
    <t>曲靖申通二期</t>
  </si>
  <si>
    <t>华北-黑-202509015</t>
  </si>
  <si>
    <t>哈尔滨淮河共派增购格口电气</t>
  </si>
  <si>
    <t>华北-黑-202509056</t>
  </si>
  <si>
    <t>哈尔滨淮河共派新增极兔接口</t>
  </si>
  <si>
    <t>华北-吉-202508031</t>
  </si>
  <si>
    <t>长春南关共派新增中通接口</t>
  </si>
  <si>
    <t>华北-冀-202509043</t>
  </si>
  <si>
    <t>井陉共派增购相机（迅捷）</t>
  </si>
  <si>
    <t>华北-冀-202509044</t>
  </si>
  <si>
    <t>井陉共派增购相机（明阜）</t>
  </si>
  <si>
    <t>华北-冀-202509054</t>
  </si>
  <si>
    <t>承德滦平中申共派</t>
  </si>
  <si>
    <t>华北-冀-202509062</t>
  </si>
  <si>
    <t>衡水景县申通</t>
  </si>
  <si>
    <t>华北-冀-202509073</t>
  </si>
  <si>
    <t>邯郸临漳极兔mini环线</t>
  </si>
  <si>
    <t>华北-津-202509074</t>
  </si>
  <si>
    <t>天津滨海塘沽圆通mini环线</t>
  </si>
  <si>
    <t>华北-辽-202509024</t>
  </si>
  <si>
    <t>沈阳铁西二部中通对接多多（韵达）</t>
  </si>
  <si>
    <t>华北-辽-202509058</t>
  </si>
  <si>
    <t>辽宁兴城申通</t>
  </si>
  <si>
    <t>华北-辽-202509066</t>
  </si>
  <si>
    <t>沈阳苏家屯共派</t>
  </si>
  <si>
    <t>华北-蒙-202509008拆</t>
  </si>
  <si>
    <t>康巴什共派窄带拆机</t>
  </si>
  <si>
    <t>华北-蒙-202509042</t>
  </si>
  <si>
    <t>康巴什共派增购相机</t>
  </si>
  <si>
    <t>华北-蒙-202509070</t>
  </si>
  <si>
    <t>内蒙古包头圆通四期增购供包台</t>
  </si>
  <si>
    <t>华东-冀-202305017WB</t>
  </si>
  <si>
    <t>晋州圆通二期维保费</t>
  </si>
  <si>
    <t>华东-鲁-202209001WB</t>
  </si>
  <si>
    <t>滕州中通维保费</t>
  </si>
  <si>
    <t>华东-闽-202509045</t>
  </si>
  <si>
    <t>福建泉州丰泽共配mini</t>
  </si>
  <si>
    <t>华东-闽-202509065</t>
  </si>
  <si>
    <t>泉州南安中通</t>
  </si>
  <si>
    <t>华东-闽-202509077</t>
  </si>
  <si>
    <t>漳州诏安韵达直线</t>
  </si>
  <si>
    <t>华东-苏-202509046</t>
  </si>
  <si>
    <t>苏州相城新区北韵达mini</t>
  </si>
  <si>
    <t>华东-苏-202509049</t>
  </si>
  <si>
    <t>南京浦口桥宁共配</t>
  </si>
  <si>
    <t>华东-皖-202509055</t>
  </si>
  <si>
    <t>安徽肥东韵达一期直线搬迁</t>
  </si>
  <si>
    <t>华东-浙-202509036</t>
  </si>
  <si>
    <t>温州邮政处理中心出港</t>
  </si>
  <si>
    <t>华东-浙-202509060</t>
  </si>
  <si>
    <t>义乌南下朱圆通新增申通接口</t>
  </si>
  <si>
    <t>华东-浙-202509063</t>
  </si>
  <si>
    <t>宁波前湾新区圆通</t>
  </si>
  <si>
    <t>华东-浙-202509072</t>
  </si>
  <si>
    <t>滨江南环路邮政直线拆机</t>
  </si>
  <si>
    <t>华东-浙-202509076</t>
  </si>
  <si>
    <t>杭州滨江南环路邮政</t>
  </si>
  <si>
    <t>华南-桂-202509010</t>
  </si>
  <si>
    <t>广西陆川共派升级改造</t>
  </si>
  <si>
    <t>华南-冀-202307013WB</t>
  </si>
  <si>
    <t>河北保定蠡县中通维保费</t>
  </si>
  <si>
    <t>华南-粤-202302021WB</t>
  </si>
  <si>
    <t>深圳横岗申通维保费</t>
  </si>
  <si>
    <t>华南-粤-202306016WB</t>
  </si>
  <si>
    <t>普宁西圆通维保费</t>
  </si>
  <si>
    <t>华南-粤-202403038WB</t>
  </si>
  <si>
    <t>茂名申通维保费</t>
  </si>
  <si>
    <t>华南-粤-202404019WB</t>
  </si>
  <si>
    <t>普宁西圆通二期维保费</t>
  </si>
  <si>
    <t>华南-粤-202502012WB</t>
  </si>
  <si>
    <t>滨江中通二次搬迁维保费</t>
  </si>
  <si>
    <t>华南-粤-202509041</t>
  </si>
  <si>
    <t>太和极兔直线</t>
  </si>
  <si>
    <t>华南-粤-202509057</t>
  </si>
  <si>
    <t>深圳平湖中通增购格口按钮</t>
  </si>
  <si>
    <t>华南-粤-202509059</t>
  </si>
  <si>
    <t>湛江吴川申通环线</t>
  </si>
  <si>
    <t>华南-粤-202509067</t>
  </si>
  <si>
    <t>深圳龙岗极兔窄带</t>
  </si>
  <si>
    <t>华南-粤-202509068</t>
  </si>
  <si>
    <t>潮州饶平极兔二部mini</t>
  </si>
  <si>
    <t>华南-粤-202509075</t>
  </si>
  <si>
    <t>顺德杏坛极兔直线</t>
  </si>
  <si>
    <t>西南-川-202509047</t>
  </si>
  <si>
    <t>四川龙泉极兔搬迁改造</t>
  </si>
  <si>
    <t>西南-川-202509051</t>
  </si>
  <si>
    <t>四川成都温江申通二期环线</t>
  </si>
  <si>
    <t>西南-贵-202509052</t>
  </si>
  <si>
    <t>贵州省六枝共配环线供包台增购</t>
  </si>
  <si>
    <t>西南-陕-202509048</t>
  </si>
  <si>
    <t>陕西西安南风韵达增加供包区</t>
  </si>
  <si>
    <t>西南-云-202509053</t>
  </si>
  <si>
    <t>云南昆明呈贡大学城共派mini改造</t>
  </si>
  <si>
    <t>西南-云-202509069</t>
  </si>
  <si>
    <t>云南曲靖富源邮政直线1号线改造</t>
  </si>
  <si>
    <t>DW202510023</t>
  </si>
  <si>
    <t>八一乡邮政</t>
  </si>
  <si>
    <t>创新-俄罗斯-202510001</t>
  </si>
  <si>
    <t>俄罗斯OZ三期3D sorter</t>
  </si>
  <si>
    <t>海外-HK-202509001</t>
  </si>
  <si>
    <t>香港HKTV青衣9楼窄带机项目</t>
  </si>
  <si>
    <t>海外-闽-202505001B</t>
  </si>
  <si>
    <t>泉州TKmini环项目增购</t>
  </si>
  <si>
    <t>海外-墨西哥-202508003</t>
  </si>
  <si>
    <t>美客多墨西哥墨城MXRC03</t>
  </si>
  <si>
    <t>海外-粤-202508001AZB</t>
  </si>
  <si>
    <t>拼多多三水环线交叉带二期葡萄增补</t>
  </si>
  <si>
    <t>海外-粤-202508001BZB</t>
  </si>
  <si>
    <t>拼多多三水环线交叉带二期冬枣增补</t>
  </si>
  <si>
    <t>海外-粤-202510001</t>
  </si>
  <si>
    <t>顺丰深莞区755EB机场</t>
  </si>
  <si>
    <t>海外-粤-202510002</t>
  </si>
  <si>
    <t>顺丰深莞区755HE铁甲</t>
  </si>
  <si>
    <t>华北-黑-202505004</t>
  </si>
  <si>
    <t>哈尔滨南岗中通环线</t>
  </si>
  <si>
    <t>华北-吉-202510048</t>
  </si>
  <si>
    <t>吉林松原共派对接溪鸟</t>
  </si>
  <si>
    <t>华北-冀-202509071</t>
  </si>
  <si>
    <t>河北邢台清河圆通新增供包台</t>
  </si>
  <si>
    <t>华北-冀-202510010</t>
  </si>
  <si>
    <t>蠡县建包仓mini（仅调试）</t>
  </si>
  <si>
    <t>华北-冀-202510036</t>
  </si>
  <si>
    <t>唐山唐海圆通mini</t>
  </si>
  <si>
    <t>华北-冀-202510073</t>
  </si>
  <si>
    <t>晋州韵达mini（仅调试）</t>
  </si>
  <si>
    <t>华北-冀-202511010</t>
  </si>
  <si>
    <t>保定竞秀复兴路共派</t>
  </si>
  <si>
    <t>华北-津-202510015</t>
  </si>
  <si>
    <t>天津滨海共配窄带新增中通接口</t>
  </si>
  <si>
    <t>华北-晋-202510055</t>
  </si>
  <si>
    <t>山西太原清徐韵达转运中心建包仓（利旧大同韵达）</t>
  </si>
  <si>
    <t>华北-京-202510069</t>
  </si>
  <si>
    <t>金盏韵达mini（仅调试）</t>
  </si>
  <si>
    <t>华北-豫-202510034</t>
  </si>
  <si>
    <t>河南省濮阳县圆通二期二层</t>
  </si>
  <si>
    <t>华北-豫-202510042</t>
  </si>
  <si>
    <t>河南开封通许邮政新增出港接口</t>
  </si>
  <si>
    <t>华北-豫-202510071</t>
  </si>
  <si>
    <t>河南郑州荥阳韵达</t>
  </si>
  <si>
    <t>华东-鄂-202510023</t>
  </si>
  <si>
    <t>孝昌共派mini（搬迁改造）</t>
  </si>
  <si>
    <t>华东-黑-202510001</t>
  </si>
  <si>
    <t>哈尔滨自动供包改造</t>
  </si>
  <si>
    <t>华东-沪-202510011</t>
  </si>
  <si>
    <t>上海青浦共派新增顺丰接口</t>
  </si>
  <si>
    <t>华东-冀-202404011WB</t>
  </si>
  <si>
    <t>涿州中通维保费</t>
  </si>
  <si>
    <t>华东-冀-202510008</t>
  </si>
  <si>
    <t>沧州南皮中通调试</t>
  </si>
  <si>
    <t>华东-冀-202510076</t>
  </si>
  <si>
    <t>沧州沧县共派环线</t>
  </si>
  <si>
    <t>华东-京-202405036WB</t>
  </si>
  <si>
    <t>义和庄共派搬迁维保费</t>
  </si>
  <si>
    <t>华东-鲁-202210027WB</t>
  </si>
  <si>
    <t>山东兰陵共派维保费</t>
  </si>
  <si>
    <t>华东-鲁-202509087</t>
  </si>
  <si>
    <t>临沂莒南共派三期</t>
  </si>
  <si>
    <t>华东-鲁-202510035</t>
  </si>
  <si>
    <t>威海荣成共派新增申通接口</t>
  </si>
  <si>
    <t>华东-鲁-202510039</t>
  </si>
  <si>
    <t>临沂沂水圆通二期环线</t>
  </si>
  <si>
    <t>华东-闽-202509090</t>
  </si>
  <si>
    <t>厦门集美侨英共派</t>
  </si>
  <si>
    <t>华东-闽-202510005</t>
  </si>
  <si>
    <t>福州长乐湖南镇共派</t>
  </si>
  <si>
    <t>华东-闽-202510006</t>
  </si>
  <si>
    <t>石狮共派</t>
  </si>
  <si>
    <t>华东-闽-202510014</t>
  </si>
  <si>
    <t>福建莆田黄石圆通窄带</t>
  </si>
  <si>
    <t>华东-闽-202510038</t>
  </si>
  <si>
    <t>福州晋安滨江共配mini</t>
  </si>
  <si>
    <t>华东-闽-202510047</t>
  </si>
  <si>
    <t>福建晋江陈埭圆通窄带</t>
  </si>
  <si>
    <t>华东-苏-202412021A</t>
  </si>
  <si>
    <t>南京大厂mini设备拆机</t>
  </si>
  <si>
    <t>华东-苏-202510012</t>
  </si>
  <si>
    <t>南京名苑南路共派</t>
  </si>
  <si>
    <t>华东-苏-202510022</t>
  </si>
  <si>
    <t>徐州丰县圆通环线（利旧本溪）</t>
  </si>
  <si>
    <t>华东-苏-202510065</t>
  </si>
  <si>
    <t>江苏连云港韵达二期</t>
  </si>
  <si>
    <t>华东-皖-202406018WB</t>
  </si>
  <si>
    <t>阜阳申通维保费</t>
  </si>
  <si>
    <t>华东-皖-202510025</t>
  </si>
  <si>
    <t>安徽合肥物流邮政集包仓</t>
  </si>
  <si>
    <t>华东-皖-202510066</t>
  </si>
  <si>
    <t>安徽滁州来安共配窄带</t>
  </si>
  <si>
    <t>华东-豫-202209021WB</t>
  </si>
  <si>
    <t>郑州龙子湖网格仓（直线）维保费</t>
  </si>
  <si>
    <t>华东-浙-201904001JK</t>
  </si>
  <si>
    <t>平湖圆通对接错分系统	</t>
  </si>
  <si>
    <t>华东-浙-202506056JK</t>
  </si>
  <si>
    <t>义乌天鼎韵达加错分系统</t>
  </si>
  <si>
    <t>华东-浙-202509082</t>
  </si>
  <si>
    <t>义乌后宅韵达新增极兔接口</t>
  </si>
  <si>
    <t>华东-浙-202510037</t>
  </si>
  <si>
    <t>玉环中通新增顺丰接口</t>
  </si>
  <si>
    <t>华东-浙-202510053</t>
  </si>
  <si>
    <t>嘉兴嘉善申通环线</t>
  </si>
  <si>
    <t>华东-浙-202510057</t>
  </si>
  <si>
    <t>宁波鄞州共派环线</t>
  </si>
  <si>
    <t>华东-浙-202510058</t>
  </si>
  <si>
    <t>宁波鄞州共派窄带</t>
  </si>
  <si>
    <t>华东-浙-202510061</t>
  </si>
  <si>
    <t>台州临海顺丰窄带</t>
  </si>
  <si>
    <t>华东-浙-202510070</t>
  </si>
  <si>
    <t>瓯海南部中通环线</t>
  </si>
  <si>
    <t>华南-滇-202308016WB</t>
  </si>
  <si>
    <t>云南建水中通维保费</t>
  </si>
  <si>
    <t>华南-鄂-202406015WB</t>
  </si>
  <si>
    <t>武汉青山中通直线（鄂州中通搬迁）维保费</t>
  </si>
  <si>
    <t>华南-赣-202509094</t>
  </si>
  <si>
    <t>江西乐平共派二期环线</t>
  </si>
  <si>
    <t>华南-赣-202510056</t>
  </si>
  <si>
    <t>万年韵达共派窄带</t>
  </si>
  <si>
    <t>华南-桂-202509088</t>
  </si>
  <si>
    <t>广西梧州岑溪邮政环线</t>
  </si>
  <si>
    <t>华南-桂-202509089</t>
  </si>
  <si>
    <t>广西合浦邮政环线</t>
  </si>
  <si>
    <t>华南-桂-202509091</t>
  </si>
  <si>
    <t>广西都安共派窄带</t>
  </si>
  <si>
    <t>华南-桂-202509092</t>
  </si>
  <si>
    <t>南宁申通转运集包仓环线</t>
  </si>
  <si>
    <t>华南-琼-202509085</t>
  </si>
  <si>
    <t>海南三亚韵达网格仓搬迁改造项目</t>
  </si>
  <si>
    <t>华南-琼-202510020</t>
  </si>
  <si>
    <t>海南乐东中通直线</t>
  </si>
  <si>
    <t>华南-陕-202308004WB</t>
  </si>
  <si>
    <t>西安三原拼多多维保费</t>
  </si>
  <si>
    <t>华南-陕-202407047WB</t>
  </si>
  <si>
    <t>咸阳兴平泽西敏华多多仓维保费</t>
  </si>
  <si>
    <t>华南-粤-202302018WB</t>
  </si>
  <si>
    <t>广东阳江中通维保费</t>
  </si>
  <si>
    <t>华南-粤-202307001WB</t>
  </si>
  <si>
    <t>揭阳揭东申通维保费</t>
  </si>
  <si>
    <t>华南-粤-202307010WB</t>
  </si>
  <si>
    <t>广东廉江圆通（直线）维保费</t>
  </si>
  <si>
    <t>华南-粤-202404016拆</t>
  </si>
  <si>
    <t>从化申通小件拆机</t>
  </si>
  <si>
    <t>华南-粤-202407029WB</t>
  </si>
  <si>
    <t>普宁湖东中通环线维保费</t>
  </si>
  <si>
    <t>华南-粤-202509035</t>
  </si>
  <si>
    <t>广州永兴韵达搬迁增补</t>
  </si>
  <si>
    <t>华南-粤-202509039</t>
  </si>
  <si>
    <t>华南-粤-202509079</t>
  </si>
  <si>
    <t>深圳光明韵达拆机</t>
  </si>
  <si>
    <t>华南-粤-202509080</t>
  </si>
  <si>
    <t>汕头外砂圆通环线</t>
  </si>
  <si>
    <t>华南-粤-202509086</t>
  </si>
  <si>
    <t>番禺大学城共派直线</t>
  </si>
  <si>
    <t>华南-粤-202510003</t>
  </si>
  <si>
    <t>潮州潮安韵达丰盛仓窄带</t>
  </si>
  <si>
    <t>华南-粤-202510004</t>
  </si>
  <si>
    <t>潮州潮安韵达龙甲仓窄带</t>
  </si>
  <si>
    <t>华南-粤-202510013</t>
  </si>
  <si>
    <t>惠东吉隆极兔环线</t>
  </si>
  <si>
    <t>华南-粤-202510016</t>
  </si>
  <si>
    <t>东莞大朗极兔</t>
  </si>
  <si>
    <t>华南-粤-202510017</t>
  </si>
  <si>
    <t>深圳横岗极兔进港</t>
  </si>
  <si>
    <t>华南-粤-202510018</t>
  </si>
  <si>
    <t>东莞虎门极兔</t>
  </si>
  <si>
    <t>华南-粤-202510028</t>
  </si>
  <si>
    <t>湛江雷州极兔直线</t>
  </si>
  <si>
    <t>华南-粤-202510029</t>
  </si>
  <si>
    <t>湛江吴川极兔环线</t>
  </si>
  <si>
    <t>华南-粤-202510030</t>
  </si>
  <si>
    <t>东莞清溪极兔</t>
  </si>
  <si>
    <t>华南-粤-202510031</t>
  </si>
  <si>
    <t>茂名茂南极兔直线</t>
  </si>
  <si>
    <t>华南-粤-202510032</t>
  </si>
  <si>
    <t>茂名信宜极兔直线</t>
  </si>
  <si>
    <t>华南-粤-202510033</t>
  </si>
  <si>
    <t>茂名电白极兔直线</t>
  </si>
  <si>
    <t>华南-粤-202510045</t>
  </si>
  <si>
    <t>珠海吉祥街韵达（利旧华强韵达安装）</t>
  </si>
  <si>
    <t>华南-粤-202510050</t>
  </si>
  <si>
    <t>珠海唐家共配(利旧明治韵达安装)</t>
  </si>
  <si>
    <t>华南-粤-202510051</t>
  </si>
  <si>
    <t>潮州饶平极兔一部环线</t>
  </si>
  <si>
    <t>华南-粤-202510052</t>
  </si>
  <si>
    <t>阳春极兔进港</t>
  </si>
  <si>
    <t>华南-粤-202510062</t>
  </si>
  <si>
    <t>东莞风驰二号多多仓搬迁</t>
  </si>
  <si>
    <t>华南-粤-202510063</t>
  </si>
  <si>
    <t>汕尾海丰极兔环线</t>
  </si>
  <si>
    <t>华南-粤-202510064</t>
  </si>
  <si>
    <t>揭阳仙桥极兔直线</t>
  </si>
  <si>
    <t>华南-粤-202510072</t>
  </si>
  <si>
    <t>普宁三部极兔二期环线</t>
  </si>
  <si>
    <t>华南-粤-202510074</t>
  </si>
  <si>
    <t>揭阳新湖极兔直线</t>
  </si>
  <si>
    <t>华南-粤-202510075</t>
  </si>
  <si>
    <t>深圳龙岗极兔出港mini</t>
  </si>
  <si>
    <t>华南-粤-202510078</t>
  </si>
  <si>
    <t>佛山南海黄岐北申通窄带</t>
  </si>
  <si>
    <t>西南-川-202509093</t>
  </si>
  <si>
    <t>四川简阳多多仓环线</t>
  </si>
  <si>
    <t>西南-川-202510040</t>
  </si>
  <si>
    <t>四川广元剑阁共配环线</t>
  </si>
  <si>
    <t>西南-川-202510046</t>
  </si>
  <si>
    <t>四川温江极兔搬迁（仅调试）</t>
  </si>
  <si>
    <t>西南-川-202510068</t>
  </si>
  <si>
    <t>四川宜宾珙县韵达</t>
  </si>
  <si>
    <t>西南-鄂-202509083</t>
  </si>
  <si>
    <t>武汉南湖板桥中通对接申通极兔</t>
  </si>
  <si>
    <t>西南-鄂-202510027</t>
  </si>
  <si>
    <t>湖北襄阳韵达直线(仅调试)</t>
  </si>
  <si>
    <t>西南-鄂-202511009</t>
  </si>
  <si>
    <t>湖北东西湖区顺丰</t>
  </si>
  <si>
    <t>西南-甘-202510043</t>
  </si>
  <si>
    <t>甘肃嘉峪关中通二期</t>
  </si>
  <si>
    <t>西南-甘-202510059</t>
  </si>
  <si>
    <t>甘肃嘉峪关极兔搬迁改造</t>
  </si>
  <si>
    <t>西南-贵-202509084</t>
  </si>
  <si>
    <t>贵州黎平中通mini</t>
  </si>
  <si>
    <t>西南-陕-202509005</t>
  </si>
  <si>
    <t>榆林府谷共配增购</t>
  </si>
  <si>
    <t>西南-陕-202509081</t>
  </si>
  <si>
    <t>陕西西安JP分拣中心</t>
  </si>
  <si>
    <t>西南-陕-202510009</t>
  </si>
  <si>
    <t>西安长安极兔备件</t>
  </si>
  <si>
    <t>西南-湘-202510002</t>
  </si>
  <si>
    <t>湖南岳阳屈原共配mini</t>
  </si>
  <si>
    <t>西南-湘-202510026</t>
  </si>
  <si>
    <t>湖南湘潭共配新增极兔接口</t>
  </si>
  <si>
    <t>西南-云-202509078</t>
  </si>
  <si>
    <t>云南红河元阳直线改造</t>
  </si>
  <si>
    <t>西南-云-202510054</t>
  </si>
  <si>
    <t>云南文山广南中通直线搬迁改造</t>
  </si>
  <si>
    <t>2025RD29</t>
  </si>
  <si>
    <t>3D分拣机</t>
  </si>
  <si>
    <t>CGWX021</t>
  </si>
  <si>
    <t>鸿大</t>
  </si>
  <si>
    <t>创新-俄罗斯-20251101</t>
  </si>
  <si>
    <t>俄罗斯OZ四期3D sorter</t>
  </si>
  <si>
    <t>海外-匈牙利-202506001A</t>
  </si>
  <si>
    <t>iMile匈牙利环线搬迁加大陪产服务</t>
  </si>
  <si>
    <t>海外-粤-202510003</t>
  </si>
  <si>
    <t>三水拼多多一期备件</t>
  </si>
  <si>
    <t>海外-粤-202511001</t>
  </si>
  <si>
    <t>拼多多年框备件（第二批）</t>
  </si>
  <si>
    <t>华北-黑-202511015</t>
  </si>
  <si>
    <t>五大连池中通</t>
  </si>
  <si>
    <t>华北-黑-202511041</t>
  </si>
  <si>
    <t>哈尔滨南岗中通新增OCR</t>
  </si>
  <si>
    <t>华北-冀-202511001</t>
  </si>
  <si>
    <t>固安中通二期二层（利旧固安建包仓）</t>
  </si>
  <si>
    <t>华北-冀-202511002</t>
  </si>
  <si>
    <t>承德高新区共派加大</t>
  </si>
  <si>
    <t>华北-冀-202511014</t>
  </si>
  <si>
    <t>衡水阜城共派窄带</t>
  </si>
  <si>
    <t>华北-冀-202511021</t>
  </si>
  <si>
    <t>沧州盐山申通(利旧北京玉带河共派)</t>
  </si>
  <si>
    <t>华北-冀-202511027</t>
  </si>
  <si>
    <t>石家庄辛集韵达直线</t>
  </si>
  <si>
    <t>华北-京-202511003</t>
  </si>
  <si>
    <t>北京昌平中通窄带</t>
  </si>
  <si>
    <t>华北-辽-202511030</t>
  </si>
  <si>
    <t>辽宁沈阳铁西八共派mini</t>
  </si>
  <si>
    <t>华北-蒙-202511007</t>
  </si>
  <si>
    <t>内蒙古满洲里韵达mini</t>
  </si>
  <si>
    <t>华北-豫-202511005</t>
  </si>
  <si>
    <t>周口申通环线</t>
  </si>
  <si>
    <t>华东-鄂-202511038</t>
  </si>
  <si>
    <t>黄梅圆通新增极兔接口</t>
  </si>
  <si>
    <t>华东-京-202408019WB</t>
  </si>
  <si>
    <t>北京朝阳共派二期（直线）-按票充值维保费</t>
  </si>
  <si>
    <t>华东-鲁-202511011</t>
  </si>
  <si>
    <t>聊城临清韵达mini</t>
  </si>
  <si>
    <t>华东-鲁-202511028</t>
  </si>
  <si>
    <t>河东韵达NC机新增格口电气</t>
  </si>
  <si>
    <t>华东-鲁-202511034</t>
  </si>
  <si>
    <t>德州平原申通NC环</t>
  </si>
  <si>
    <t>华东-闽-202511017</t>
  </si>
  <si>
    <t>安徽蚌埠固镇圆通（利旧湛江吴川共派）</t>
  </si>
  <si>
    <t>华东-苏-202511004</t>
  </si>
  <si>
    <t>南京名苑南路共派环线</t>
  </si>
  <si>
    <t>华东-苏-202511006</t>
  </si>
  <si>
    <t>苏州淞石路共派环线</t>
  </si>
  <si>
    <t>华东-苏-202511033</t>
  </si>
  <si>
    <t>南京市江宁东山圆通环线</t>
  </si>
  <si>
    <t>华东-苏-202511039</t>
  </si>
  <si>
    <t>盐城建湖极兔</t>
  </si>
  <si>
    <t>华东-皖-202405032WB</t>
  </si>
  <si>
    <t>宿州埇桥极兔维保费</t>
  </si>
  <si>
    <t>华东-皖-202511008</t>
  </si>
  <si>
    <t>滁州申通调试服务</t>
  </si>
  <si>
    <t>华东-皖-202511016</t>
  </si>
  <si>
    <t>平潭电商直线</t>
  </si>
  <si>
    <t>华东-皖-202511019</t>
  </si>
  <si>
    <t>安徽合肥肥东共配环线（相机增购）</t>
  </si>
  <si>
    <t>华东-豫-202308019WB</t>
  </si>
  <si>
    <t>商丘梁园申通维保费</t>
  </si>
  <si>
    <t>华东-浙-202511012</t>
  </si>
  <si>
    <t>韵达义乌中心NC交叉带</t>
  </si>
  <si>
    <t>华南-赣-202511049</t>
  </si>
  <si>
    <t>江西湘东共派（溪鸟）增购改造</t>
  </si>
  <si>
    <t>华南-桂-202511026</t>
  </si>
  <si>
    <t>柳州华乐云仓环线</t>
  </si>
  <si>
    <t>华南-吉-202407016WB</t>
  </si>
  <si>
    <t>长春高新一共派窄带维保费</t>
  </si>
  <si>
    <t>华南-粤-202510077</t>
  </si>
  <si>
    <t>揭阳开发区韵达</t>
  </si>
  <si>
    <t>华南-粤-202511022</t>
  </si>
  <si>
    <t>梅州五华韵达环线增购</t>
  </si>
  <si>
    <t>华南-粤-202511023</t>
  </si>
  <si>
    <t>汕头澄海澄翔极兔环线</t>
  </si>
  <si>
    <t>华南-粤-202511024</t>
  </si>
  <si>
    <t>汕头澄海澄纪极兔环线</t>
  </si>
  <si>
    <t>华南-粤-202511025</t>
  </si>
  <si>
    <t>汕头澄海澄纪极兔窄带</t>
  </si>
  <si>
    <t>华南-粤-202511031</t>
  </si>
  <si>
    <t>广东肇庆四会碧素堂二期</t>
  </si>
  <si>
    <t>华南-粤-202511032</t>
  </si>
  <si>
    <t>深圳万邦常平仓增购</t>
  </si>
  <si>
    <t>华南-粤-202511037</t>
  </si>
  <si>
    <t>广东湛江廉江申通改造</t>
  </si>
  <si>
    <t>西南-川-202510067</t>
  </si>
  <si>
    <t>四川宜宾兴文韵达</t>
  </si>
  <si>
    <t>西南-川-202511040</t>
  </si>
  <si>
    <t>四川南充高坪增补</t>
  </si>
  <si>
    <t>西南-鄂-202510060</t>
  </si>
  <si>
    <t>湖北天门申通三期（二期搬迁加大）</t>
  </si>
  <si>
    <t>西南-甘-202510044</t>
  </si>
  <si>
    <t>甘肃嘉峪关中通一期搬迁</t>
  </si>
  <si>
    <t>西南-湘-202510079</t>
  </si>
  <si>
    <t>湖南益阳桃江客货邮直线</t>
  </si>
  <si>
    <t>西南-湘-202510080</t>
  </si>
  <si>
    <t>湖南岳阳平江共配二期增购（格口按钮）</t>
  </si>
  <si>
    <t>西南-湘-202511018</t>
  </si>
  <si>
    <t>湖南永州江华共配环线</t>
  </si>
  <si>
    <t>西南-渝-202511013</t>
  </si>
  <si>
    <t>重庆永川云仓环线</t>
  </si>
  <si>
    <t>西南-云-202510021</t>
  </si>
  <si>
    <t>韵达昆明宜良转运中心自动供包改造</t>
  </si>
  <si>
    <t>西南-云-202511029</t>
  </si>
  <si>
    <t>云南茨坝韵达直线新增极兔接口</t>
  </si>
  <si>
    <t>2026RD01</t>
  </si>
  <si>
    <t>环线分拣系统2026</t>
  </si>
  <si>
    <t>2026RD02</t>
  </si>
  <si>
    <t>窄带分拣系统2026</t>
  </si>
  <si>
    <t>DW202511013</t>
  </si>
  <si>
    <t>南村极兔</t>
  </si>
  <si>
    <t>XM20251203000001</t>
  </si>
  <si>
    <t>iMile哥伦比亚狂扫</t>
  </si>
  <si>
    <t>创新-韩国-202512002ZB</t>
  </si>
  <si>
    <t>韩国展会供包台</t>
  </si>
  <si>
    <t>创新-南非-202512001</t>
  </si>
  <si>
    <t>南非3D SORTER</t>
  </si>
  <si>
    <t>创新-粤-202601001</t>
  </si>
  <si>
    <t>睹煜-G1仓输送线利旧</t>
  </si>
  <si>
    <t>海外-巴林-202512003</t>
  </si>
  <si>
    <t>海外-SMSA巴林辅线设备</t>
  </si>
  <si>
    <t>海外-匈牙利-202512002</t>
  </si>
  <si>
    <t>iMile匈牙利环线搬迁加大陪产服务（二期）</t>
  </si>
  <si>
    <t>海外-匈牙利-202512003</t>
  </si>
  <si>
    <t>iMile匈牙利环线增购备件（2601批次）</t>
  </si>
  <si>
    <t>华北-冀-202511042</t>
  </si>
  <si>
    <t>石家庄藁城共派MINI环</t>
  </si>
  <si>
    <t>华北-冀-202512021</t>
  </si>
  <si>
    <t>山海关共派</t>
  </si>
  <si>
    <t>华北-冀-202512043</t>
  </si>
  <si>
    <t>深泽韵达进港直线</t>
  </si>
  <si>
    <t>华北-冀-202512051</t>
  </si>
  <si>
    <t>保定安新中通mini环</t>
  </si>
  <si>
    <t>华北-冀-202512054</t>
  </si>
  <si>
    <t>保定竞秀北二环共派mini</t>
  </si>
  <si>
    <t>华北-冀-202601001</t>
  </si>
  <si>
    <t>深泽中通环线</t>
  </si>
  <si>
    <t>华北-冀-202601002</t>
  </si>
  <si>
    <t>深泽中通NC环</t>
  </si>
  <si>
    <t>华北-冀-202601010</t>
  </si>
  <si>
    <t>河北邢台内丘极兔搬迁零配件增补</t>
  </si>
  <si>
    <t>华北-冀-202601019</t>
  </si>
  <si>
    <t>河北衡水枣强共派窄带</t>
  </si>
  <si>
    <t>华北-津-202512039</t>
  </si>
  <si>
    <t>天津东丽金桥韵达</t>
  </si>
  <si>
    <t>华北-津-202601008</t>
  </si>
  <si>
    <t>天津滨海生态城共派窄带</t>
  </si>
  <si>
    <t>华北-晋-202512037</t>
  </si>
  <si>
    <t>山西晋中太谷共派环线+自动供件+窄带</t>
  </si>
  <si>
    <t>华北-晋-202512065</t>
  </si>
  <si>
    <t>山西大同天镇共派对接快宝</t>
  </si>
  <si>
    <t>华北-京-202511043</t>
  </si>
  <si>
    <t>北京丰台菜户营共派（仅调试）</t>
  </si>
  <si>
    <t>华北-辽-202512036</t>
  </si>
  <si>
    <t>辽宁辽阳共派mini环</t>
  </si>
  <si>
    <t>华北-辽-202512055</t>
  </si>
  <si>
    <t>盘锦韵达直线（利旧文安中通）</t>
  </si>
  <si>
    <t>华北-辽-202601025</t>
  </si>
  <si>
    <t>沈阳铁西区极兔窄带</t>
  </si>
  <si>
    <t>华北-蒙-202512016</t>
  </si>
  <si>
    <t>内蒙通辽韵达（利旧石家庄藁城韵达直线）</t>
  </si>
  <si>
    <t>华北-豫-202512010</t>
  </si>
  <si>
    <t>河南洛阳伊川共派新增中通接口</t>
  </si>
  <si>
    <t>华北-豫-202512020</t>
  </si>
  <si>
    <t>河南郑州上街韵达NC环</t>
  </si>
  <si>
    <t>华北-豫-202512060</t>
  </si>
  <si>
    <t>河南开封尉氏极兔NC环</t>
  </si>
  <si>
    <t>华北-豫-202601014</t>
  </si>
  <si>
    <t>河南开封尉氏韵达NC环</t>
  </si>
  <si>
    <t>华东-黑-202512008</t>
  </si>
  <si>
    <t>齐齐哈尔极兔环线</t>
  </si>
  <si>
    <t>华东-沪-202511020</t>
  </si>
  <si>
    <t>韵达上海华新自动供件</t>
  </si>
  <si>
    <t>华东-冀-202210008JK</t>
  </si>
  <si>
    <t>高阳韵达加错分系统-技术服务合同</t>
  </si>
  <si>
    <t>华东-冀-202512031</t>
  </si>
  <si>
    <t>保定博野县共派环线</t>
  </si>
  <si>
    <t>华东-晋-202109008WB</t>
  </si>
  <si>
    <t>山西晋城申通转运中心维保费</t>
  </si>
  <si>
    <t>华东-鲁-202512047</t>
  </si>
  <si>
    <t>济南章丘申通窄带</t>
  </si>
  <si>
    <t>华东-闽-202106012WB</t>
  </si>
  <si>
    <t>石狮中通（硬件）维保费</t>
  </si>
  <si>
    <t>华东-闽-202107014WB</t>
  </si>
  <si>
    <t>石狮中通出港维保费</t>
  </si>
  <si>
    <t>华东-闽-202601009</t>
  </si>
  <si>
    <t>福建泉州安溪极兔环线</t>
  </si>
  <si>
    <t>华东-闽-202601011</t>
  </si>
  <si>
    <t>莆田圆通进港二次改造</t>
  </si>
  <si>
    <t>华东-苏-202512001</t>
  </si>
  <si>
    <t>南通崇川区中通NC环</t>
  </si>
  <si>
    <t>华东-苏-202512007</t>
  </si>
  <si>
    <t>南京溧水申通环线</t>
  </si>
  <si>
    <t>华东-苏-202512015</t>
  </si>
  <si>
    <t>苏州平江路韵达直线</t>
  </si>
  <si>
    <t>华东-苏-202512026</t>
  </si>
  <si>
    <t>南京江宁天景共配窄带</t>
  </si>
  <si>
    <t>华东-苏-202512046</t>
  </si>
  <si>
    <t>无锡江阴新澄路共派窄带</t>
  </si>
  <si>
    <t>华东-苏-202512049</t>
  </si>
  <si>
    <t>南京秦淮光华路共派mini环</t>
  </si>
  <si>
    <t>华东-苏-202512061</t>
  </si>
  <si>
    <t>无锡滨湖区韵金石路韵达安装调试</t>
  </si>
  <si>
    <t>华东-苏-202601003</t>
  </si>
  <si>
    <t>镇江大港共派窄带</t>
  </si>
  <si>
    <t>华东-苏-202601004</t>
  </si>
  <si>
    <t>南京雄风路共派环线</t>
  </si>
  <si>
    <t>华东-苏-202601015</t>
  </si>
  <si>
    <t>镇江丹阳申通环线</t>
  </si>
  <si>
    <t>华东-皖-202407016WB</t>
  </si>
  <si>
    <t>亳州申通维保费</t>
  </si>
  <si>
    <t>华东-皖-202511047</t>
  </si>
  <si>
    <t>萧县圆通出港（利旧蚌埠大学城韵达）</t>
  </si>
  <si>
    <t>华东-皖-202512006</t>
  </si>
  <si>
    <t>蚌埠邮政集包仓</t>
  </si>
  <si>
    <t>华东-皖-202512013</t>
  </si>
  <si>
    <t>蚌埠韵达集散二期环线加层</t>
  </si>
  <si>
    <t>华东-皖-202512058</t>
  </si>
  <si>
    <t>颍上共派三期窄带</t>
  </si>
  <si>
    <t>华东-渝-202209023WB</t>
  </si>
  <si>
    <t>九龙坡共派（新）维保费</t>
  </si>
  <si>
    <t>华东-浙-202004001WB</t>
  </si>
  <si>
    <t>苏溪荷叶塘韵达维保费</t>
  </si>
  <si>
    <t>华东-浙-202504020WB</t>
  </si>
  <si>
    <t>路桥中通搬迁维保费</t>
  </si>
  <si>
    <t>华东-浙-202508035JK</t>
  </si>
  <si>
    <t>椒江圆通加错分系统-技术服务合同</t>
  </si>
  <si>
    <t>华东-浙-202512025</t>
  </si>
  <si>
    <t>金华金义顺丰TTS抖音仓环线</t>
  </si>
  <si>
    <t>华南-俄罗斯-202406007A</t>
  </si>
  <si>
    <t>俄罗斯OZ一期3D sorter 采购增补</t>
  </si>
  <si>
    <t>华南-赣-202512019</t>
  </si>
  <si>
    <t>江西丰城中通二期环线</t>
  </si>
  <si>
    <t>华南-桂-202512004</t>
  </si>
  <si>
    <t>广西北流申通环线</t>
  </si>
  <si>
    <t>华南-桂-202512050</t>
  </si>
  <si>
    <t>广西百色田阳韵达mini</t>
  </si>
  <si>
    <t>华南-桂-202601012</t>
  </si>
  <si>
    <t>广西武宣邮政（广西武宣共派搬迁）</t>
  </si>
  <si>
    <t>华南-闽-202512057</t>
  </si>
  <si>
    <t>三明尤溪韵达直线</t>
  </si>
  <si>
    <t>华南-粤-202011001拆</t>
  </si>
  <si>
    <t>吴川共派拆机</t>
  </si>
  <si>
    <t>华南-粤-202202012拆</t>
  </si>
  <si>
    <t>盐步共派直线拆机</t>
  </si>
  <si>
    <t>华南-粤-202303029WB</t>
  </si>
  <si>
    <t>惠东中通直线维保费</t>
  </si>
  <si>
    <t>华南-粤-202303030WB</t>
  </si>
  <si>
    <t>惠东中通环线维保费</t>
  </si>
  <si>
    <t>华南-粤-202511046</t>
  </si>
  <si>
    <t>潮州龙湖申通环线</t>
  </si>
  <si>
    <t>华南-粤-202511048</t>
  </si>
  <si>
    <t>深圳坂田中通增购格口按钮</t>
  </si>
  <si>
    <t>华南-粤-202511052</t>
  </si>
  <si>
    <t>东莞东坑极兔直线</t>
  </si>
  <si>
    <t>华南-粤-202511053</t>
  </si>
  <si>
    <t>东莞黄江圆通直线</t>
  </si>
  <si>
    <t>华南-粤-202511054</t>
  </si>
  <si>
    <t>珠海唐家共配增购</t>
  </si>
  <si>
    <t>华南-粤-202511055</t>
  </si>
  <si>
    <t>珠海吉祥街韵达增购</t>
  </si>
  <si>
    <t>华南-粤-202512002</t>
  </si>
  <si>
    <t>汕头潮南司马极兔环线</t>
  </si>
  <si>
    <t>华南-粤-202512009</t>
  </si>
  <si>
    <t>珠海粤港澳多多仓辅线增补</t>
  </si>
  <si>
    <t>华南-粤-202512014</t>
  </si>
  <si>
    <t>广东普宁东中通环线</t>
  </si>
  <si>
    <t>华南-粤-202512022</t>
  </si>
  <si>
    <t>广州永兴韵达搬迁增补漏缆</t>
  </si>
  <si>
    <t>华南-粤-202512032</t>
  </si>
  <si>
    <t>广州龙归中通环线</t>
  </si>
  <si>
    <t>华南-粤-202512033</t>
  </si>
  <si>
    <t>中山黄圃圆通环线</t>
  </si>
  <si>
    <t>华南-粤-202512034</t>
  </si>
  <si>
    <t>深圳光明韵达直线安装</t>
  </si>
  <si>
    <t>华南-粤-202512035</t>
  </si>
  <si>
    <t>从化申通小件（拆机置换新机）</t>
  </si>
  <si>
    <t>华南-粤-202512040</t>
  </si>
  <si>
    <t>广东东莞麻涌共派直线</t>
  </si>
  <si>
    <t>华南-粤-202512041</t>
  </si>
  <si>
    <t>惠州黄埠韵达增购</t>
  </si>
  <si>
    <t>华南-粤-202512042</t>
  </si>
  <si>
    <t>南村韵达更换驱动盒</t>
  </si>
  <si>
    <t>华南-粤-202512048</t>
  </si>
  <si>
    <t>深圳坂田中通增购格口标签盒</t>
  </si>
  <si>
    <t>华南-粤-202512056</t>
  </si>
  <si>
    <t>广州钟落潭云山仓软件更改</t>
  </si>
  <si>
    <t>华南-粤-202512067</t>
  </si>
  <si>
    <t>揭西极兔</t>
  </si>
  <si>
    <t>华南-粤-202601005</t>
  </si>
  <si>
    <t>惠州大湖中通二期环线</t>
  </si>
  <si>
    <t>华南-粤-202601006</t>
  </si>
  <si>
    <t>惠州大湖极兔环线</t>
  </si>
  <si>
    <t>华南-粤-202601007</t>
  </si>
  <si>
    <t>中山小榄申通二期环线</t>
  </si>
  <si>
    <t>西南-川-202511051</t>
  </si>
  <si>
    <t>成都新都韵达MINI</t>
  </si>
  <si>
    <t>西南-川-202512005</t>
  </si>
  <si>
    <t>四川成都双流新川韵达窄带</t>
  </si>
  <si>
    <t>西南-川-202512024</t>
  </si>
  <si>
    <t>四川德阳罗江共配环线</t>
  </si>
  <si>
    <t>西南-川-202512044</t>
  </si>
  <si>
    <t>德阳共派新增韵达接口</t>
  </si>
  <si>
    <t>西南-鄂-202511045</t>
  </si>
  <si>
    <t>湖北天门申通三期增补纠偏</t>
  </si>
  <si>
    <t>西南-鄂-202512038</t>
  </si>
  <si>
    <t>湖北天门韵达三期搬迁改造</t>
  </si>
  <si>
    <t>西南-鄂-202601023</t>
  </si>
  <si>
    <t>天门韵达4期莱依窕集包仓环线</t>
  </si>
  <si>
    <t>西南-甘-202512030</t>
  </si>
  <si>
    <t>甘肃酒泉瓜州中韵共配mini</t>
  </si>
  <si>
    <t>西南-甘-202601013</t>
  </si>
  <si>
    <t>甘肃嘉峪关中通拆迁</t>
  </si>
  <si>
    <t>西南-贵-202512066</t>
  </si>
  <si>
    <t>贵州贵阳南明二部中通新增韵达接口</t>
  </si>
  <si>
    <t>西南-宁-202512062</t>
  </si>
  <si>
    <t>宁夏银川西夏北民大申通环线</t>
  </si>
  <si>
    <t>西南-青-202512059</t>
  </si>
  <si>
    <t>青海共和邮政窄带</t>
  </si>
  <si>
    <t>西南-陕-202512028</t>
  </si>
  <si>
    <t>陕西安康平利共配直线</t>
  </si>
  <si>
    <t>西南-湘-202511044</t>
  </si>
  <si>
    <t>湖南松雅湖共配新增中通接口</t>
  </si>
  <si>
    <t>西南-湘-202512018</t>
  </si>
  <si>
    <t>湖南浏阳市客货邮环线</t>
  </si>
  <si>
    <t>西南-云-202511035</t>
  </si>
  <si>
    <t>花溪邮政增购（安装调试）</t>
  </si>
  <si>
    <t>西南-云-202511050</t>
  </si>
  <si>
    <t>云南昭通鲁甸共配环线</t>
  </si>
  <si>
    <t>西南-云-202512017</t>
  </si>
  <si>
    <t>云南腾冲圆通直线新增极兔OCR</t>
  </si>
  <si>
    <t>西南-云-202512023</t>
  </si>
  <si>
    <t>云南曲靖韵达环线增补按钮</t>
  </si>
  <si>
    <t>西南-云-202512027</t>
  </si>
  <si>
    <t>云南芒市共配二期窄带</t>
  </si>
  <si>
    <t>西南-云-202512029</t>
  </si>
  <si>
    <t>云南凤庆共配直线</t>
  </si>
  <si>
    <t>西南-云-202512052</t>
  </si>
  <si>
    <t>云南芒市共派环线搬迁</t>
  </si>
  <si>
    <t>西南-云-202601016</t>
  </si>
  <si>
    <t>云南云县共配直线</t>
  </si>
  <si>
    <t>海外-阿联酋-202602001</t>
  </si>
  <si>
    <t>iMile阿联酋配件202602</t>
  </si>
  <si>
    <t>海外-巴西-202601001</t>
  </si>
  <si>
    <t>iMile巴西分拣机配件（202601批次）</t>
  </si>
  <si>
    <t>海外-墨西哥-202601006</t>
  </si>
  <si>
    <t>iMile墨西哥输送设备2026</t>
  </si>
  <si>
    <t>海外-沙特-202601005</t>
  </si>
  <si>
    <t>利雅得RFUFCO(Dkhoon)直线交叉带项目</t>
  </si>
  <si>
    <t>海外-匈牙利-202601001</t>
  </si>
  <si>
    <t>iMile匈牙利环线增购收口布袋</t>
  </si>
  <si>
    <t>海外-匈牙利-202601002</t>
  </si>
  <si>
    <t>iMile匈牙利环线搬迁加大安装增补</t>
  </si>
  <si>
    <t>海外-匈牙利-202601004</t>
  </si>
  <si>
    <t>IMile匈牙利环线线上售后服务（2年）</t>
  </si>
  <si>
    <t>华北-黑-202601070</t>
  </si>
  <si>
    <t>齐齐哈尔铁锋区极兔窄带</t>
  </si>
  <si>
    <t>华北-冀-202601030</t>
  </si>
  <si>
    <t>唐山丰润申通（仅调试）</t>
  </si>
  <si>
    <t>华北-冀-202601031</t>
  </si>
  <si>
    <t>衡水饶阳共派窄带</t>
  </si>
  <si>
    <t>华北-冀-202601050</t>
  </si>
  <si>
    <t>石家庄正定中通环线</t>
  </si>
  <si>
    <t>华北-冀-202601063</t>
  </si>
  <si>
    <t>廊坊香河共派环线</t>
  </si>
  <si>
    <t>华北-冀-202601064</t>
  </si>
  <si>
    <t>邯郸邮政南库二期</t>
  </si>
  <si>
    <t>华北-津-202512011拆</t>
  </si>
  <si>
    <t>天津北辰共派环线拆机</t>
  </si>
  <si>
    <t>华北-辽-202601035</t>
  </si>
  <si>
    <t>大连龙江共配mini环</t>
  </si>
  <si>
    <t>华北-辽-202601052</t>
  </si>
  <si>
    <t>辽东丹东东港共派环线+窄带</t>
  </si>
  <si>
    <t>华北-豫-202601048</t>
  </si>
  <si>
    <t>郑州金水东路共配窄带</t>
  </si>
  <si>
    <t>华东-冀-202304025WB</t>
  </si>
  <si>
    <t>辛集圆通维保费</t>
  </si>
  <si>
    <t>华东-鲁-202407018WB</t>
  </si>
  <si>
    <t>济南临港中通维保费</t>
  </si>
  <si>
    <t>华东-鲁-202409017WB</t>
  </si>
  <si>
    <t>乐陵中通维保费</t>
  </si>
  <si>
    <t>华东-鲁-202501003WB</t>
  </si>
  <si>
    <t>德州齐河中通维保费</t>
  </si>
  <si>
    <t>华东-鲁-202601018</t>
  </si>
  <si>
    <t>烟台芝罘韵达mini环新增极兔接口</t>
  </si>
  <si>
    <t>华东-鲁-202601026</t>
  </si>
  <si>
    <t>济宁邹城共派二期窄带</t>
  </si>
  <si>
    <t>华东-鲁-202601027</t>
  </si>
  <si>
    <t>汶上韵达增购纠偏</t>
  </si>
  <si>
    <t>华东-鲁-202601060</t>
  </si>
  <si>
    <t>江苏连云港韵达二期窄带增购</t>
  </si>
  <si>
    <t>华东-鲁-202601062</t>
  </si>
  <si>
    <t>济宁高新区极兔窄带</t>
  </si>
  <si>
    <t>华东-鲁-202601079</t>
  </si>
  <si>
    <t>山东济宁高新区韵达环线</t>
  </si>
  <si>
    <t>华东-闽-202601038</t>
  </si>
  <si>
    <t>福建潭头极兔环线</t>
  </si>
  <si>
    <t>华东-闽-202601051</t>
  </si>
  <si>
    <t>莆田涵江韵达窄带</t>
  </si>
  <si>
    <t>华东-闽-202601068</t>
  </si>
  <si>
    <t>龙岩新罗区共派</t>
  </si>
  <si>
    <t>华东-闽-202601078</t>
  </si>
  <si>
    <t>厦门后溪圆通直线</t>
  </si>
  <si>
    <t>华东-苏-202601033</t>
  </si>
  <si>
    <t>南京秦淮大光路共派</t>
  </si>
  <si>
    <t>华东-苏-202601037</t>
  </si>
  <si>
    <t>南京鼓楼建宁路共派窄带</t>
  </si>
  <si>
    <t>华东-苏-202601042</t>
  </si>
  <si>
    <t>徐州申通环线改造</t>
  </si>
  <si>
    <t>华东-苏-202602006</t>
  </si>
  <si>
    <t>泗洪韵达二期环线</t>
  </si>
  <si>
    <t>华东-皖-202601069</t>
  </si>
  <si>
    <t>安徽滁州申通增购服务器</t>
  </si>
  <si>
    <t>华东-皖-202601073</t>
  </si>
  <si>
    <t>安徽合肥龙塘路圆通环线</t>
  </si>
  <si>
    <t>华东-浙-202601020</t>
  </si>
  <si>
    <t>嘉兴海盐圆通（利旧从化小件申通）</t>
  </si>
  <si>
    <t>华东-浙-202601021</t>
  </si>
  <si>
    <t>宁波新古林共派窄带</t>
  </si>
  <si>
    <t>华东-浙-202601040</t>
  </si>
  <si>
    <t>义乌金马圆通增购挡板</t>
  </si>
  <si>
    <t>华东-浙-202601043</t>
  </si>
  <si>
    <t>杭州九堡顺丰同城窄带</t>
  </si>
  <si>
    <t>华东-浙-202601044</t>
  </si>
  <si>
    <t>浙江杭州义蓬共派窄带</t>
  </si>
  <si>
    <t>华东-浙-202601046</t>
  </si>
  <si>
    <t>上溪邮政环线新增极兔接口</t>
  </si>
  <si>
    <t>华东-浙-202601072</t>
  </si>
  <si>
    <t>宁波新古林共派窄带增购格口电气</t>
  </si>
  <si>
    <t>华东-浙-202601077</t>
  </si>
  <si>
    <t>温州龙湾申通环线</t>
  </si>
  <si>
    <t>华东-浙-202602002</t>
  </si>
  <si>
    <t>瓯海西部韵达环线</t>
  </si>
  <si>
    <t>华南-赣-202601045</t>
  </si>
  <si>
    <t>江西赣州安远申通圆通环线</t>
  </si>
  <si>
    <t>华南-赣-202601059</t>
  </si>
  <si>
    <t>南昌小蓝韵达环线</t>
  </si>
  <si>
    <t>华南-赣-202601065</t>
  </si>
  <si>
    <t>景德镇顺丰转运站mini</t>
  </si>
  <si>
    <t>华南-赣-202601075</t>
  </si>
  <si>
    <t>江西吉安安福共配环线</t>
  </si>
  <si>
    <t>华南-桂-202601058</t>
  </si>
  <si>
    <t>海口龙华中通分拨直线增补</t>
  </si>
  <si>
    <t>华南-桂-202601080</t>
  </si>
  <si>
    <t>广西南宁韵达集包仓环线</t>
  </si>
  <si>
    <t>华南-湘-202602003</t>
  </si>
  <si>
    <t>湖南湘西凤凰客货邮</t>
  </si>
  <si>
    <t>华南-粤-202210021WB</t>
  </si>
  <si>
    <t>广东湛江申通维保费</t>
  </si>
  <si>
    <t>华南-粤-202405043WB</t>
  </si>
  <si>
    <t>廉江极兔直线维保费</t>
  </si>
  <si>
    <t>华南-粤-202601017</t>
  </si>
  <si>
    <t>深圳龙岗平湖邮政环线电控（标杩）</t>
  </si>
  <si>
    <t>华南-粤-202601029</t>
  </si>
  <si>
    <t>广东肇庆怀集申通（改系统）</t>
  </si>
  <si>
    <t>华南-粤-202601032</t>
  </si>
  <si>
    <t>白云龙归极兔环线</t>
  </si>
  <si>
    <t>华南-粤-202601034</t>
  </si>
  <si>
    <t>揭阳仙桥极兔增购</t>
  </si>
  <si>
    <t>华南-粤-202601036</t>
  </si>
  <si>
    <t>广州花都大象云仓二期环线</t>
  </si>
  <si>
    <t>华南-粤-202601039</t>
  </si>
  <si>
    <t>广东湛江吴川极兔环线</t>
  </si>
  <si>
    <t>华南-粤-202601041</t>
  </si>
  <si>
    <t>广东湛江廉江中通mini</t>
  </si>
  <si>
    <t>华南-粤-202601047</t>
  </si>
  <si>
    <t>广州白云夏花极兔进港直线</t>
  </si>
  <si>
    <t>华南-粤-202601049</t>
  </si>
  <si>
    <t>广州白云夏花极兔出港环线</t>
  </si>
  <si>
    <t>华南-粤-202601053A</t>
  </si>
  <si>
    <t>广州中通云仓转运中心</t>
  </si>
  <si>
    <t>华南-粤-202601054</t>
  </si>
  <si>
    <t>深圳光明韵达直线安装增补</t>
  </si>
  <si>
    <t>华南-粤-202601056</t>
  </si>
  <si>
    <t>深圳盐田韵达（西丽搬迁-盐田）</t>
  </si>
  <si>
    <t>华南-粤-202601066</t>
  </si>
  <si>
    <t>普宁北申通环线</t>
  </si>
  <si>
    <t>华南-粤-202601074</t>
  </si>
  <si>
    <t>普宁三部极兔二期增加快宝接口</t>
  </si>
  <si>
    <t>华南-粤-202602001</t>
  </si>
  <si>
    <t>深圳沙井极兔环线</t>
  </si>
  <si>
    <t>华南-粤-202602011</t>
  </si>
  <si>
    <t>广州白云同和极兔窄带</t>
  </si>
  <si>
    <t>西南-川-202601067</t>
  </si>
  <si>
    <t>四川成都航空港中通环线</t>
  </si>
  <si>
    <t>西南-川-202602004</t>
  </si>
  <si>
    <t>达州中通对接极兔</t>
  </si>
  <si>
    <t>西南-贵-202601028</t>
  </si>
  <si>
    <t>贵州六盘水水城共配二期环线</t>
  </si>
  <si>
    <t>西南-贵-202601055</t>
  </si>
  <si>
    <t>贵州兴仁共派1号线新增邮政接口</t>
  </si>
  <si>
    <t>西南-贵-202602009</t>
  </si>
  <si>
    <t>贵州六盘水水城共配一期搬迁</t>
  </si>
  <si>
    <t>西南-陕-202601071</t>
  </si>
  <si>
    <t>陕西咸阳万纬申通出港集包仓</t>
  </si>
  <si>
    <t>西南-湘-202601022</t>
  </si>
  <si>
    <t>湖南岳阳中通新增极兔接口</t>
  </si>
  <si>
    <t>西南-渝-202508005A</t>
  </si>
  <si>
    <t>忠县邮政租赁</t>
  </si>
  <si>
    <t>西南-云-202601061</t>
  </si>
  <si>
    <t>云南屏边共派窄带</t>
  </si>
  <si>
    <t>西南-云-202602007</t>
  </si>
  <si>
    <t>云南保山申通二期环线</t>
  </si>
  <si>
    <t>2026RD03</t>
  </si>
  <si>
    <t>单工位自动供包系统</t>
  </si>
  <si>
    <t>2026RD04</t>
  </si>
  <si>
    <t>NC环线分拣系统2026-西门子600标准版</t>
  </si>
  <si>
    <t>创新-粤-202601002</t>
  </si>
  <si>
    <t>3DS 特步项目</t>
  </si>
  <si>
    <t>创新-粤-202601004</t>
  </si>
  <si>
    <t>3DS一期备件</t>
  </si>
  <si>
    <t>海外-巴西-202602004</t>
  </si>
  <si>
    <t>Imile-巴西CDC项目</t>
  </si>
  <si>
    <t>海外-巴西-202602006</t>
  </si>
  <si>
    <t>iMile巴西米纳斯搬迁（利旧沙特吉达）</t>
  </si>
  <si>
    <t>海外-巴西-202602007</t>
  </si>
  <si>
    <t>巴西安骏五套NC分拣机</t>
  </si>
  <si>
    <t>海外-德国-202602005</t>
  </si>
  <si>
    <t>奥索斯德国科隆集成项目</t>
  </si>
  <si>
    <t>海外-德国-202602010</t>
  </si>
  <si>
    <t>欧洲项目CE认证样线采购</t>
  </si>
  <si>
    <t>海外-哥伦比亚-202512001</t>
  </si>
  <si>
    <t>海外-墨西哥-202602009</t>
  </si>
  <si>
    <t>iMile墨西哥钢扣机（补）</t>
  </si>
  <si>
    <t>海外-香港-202602008</t>
  </si>
  <si>
    <t>香港HKTV将军澳窄带机项目</t>
  </si>
  <si>
    <t>海外-粤-202602002</t>
  </si>
  <si>
    <t>万色东莞松富物流厂房项目</t>
  </si>
  <si>
    <t>海外-浙-202602003</t>
  </si>
  <si>
    <t>万色义乌2号仓项目</t>
  </si>
  <si>
    <t>华北-黑-202602026</t>
  </si>
  <si>
    <t>哈尔滨市宾县共配mini</t>
  </si>
  <si>
    <t>华北-冀-202602017</t>
  </si>
  <si>
    <t>霸州中通出港环线</t>
  </si>
  <si>
    <t>华北-冀-202602018</t>
  </si>
  <si>
    <t>霸州圆通出港环线</t>
  </si>
  <si>
    <t>华北-冀-202602019</t>
  </si>
  <si>
    <t>霸州共派（一车双带）</t>
  </si>
  <si>
    <t>华北-冀-202602024</t>
  </si>
  <si>
    <t>霸州极兔NC环线</t>
  </si>
  <si>
    <t>华北-冀-202603002</t>
  </si>
  <si>
    <t>河北衡水枣强共派窄带改造</t>
  </si>
  <si>
    <t>华北-冀-202603012</t>
  </si>
  <si>
    <t>石家庄开发区三部共派窄带</t>
  </si>
  <si>
    <t>华北-津-202602020</t>
  </si>
  <si>
    <t>静海圆通环线</t>
  </si>
  <si>
    <t>华北-津-202602021</t>
  </si>
  <si>
    <t>静海圆通窄带</t>
  </si>
  <si>
    <t>华北-晋-202602030</t>
  </si>
  <si>
    <t>山西运城韵达窄带增购</t>
  </si>
  <si>
    <t>华东-沪-202602031</t>
  </si>
  <si>
    <t>上海杨海顺丰窄带</t>
  </si>
  <si>
    <t>华东-沪-202603014</t>
  </si>
  <si>
    <t>上海中春路顺丰窄带</t>
  </si>
  <si>
    <t>华东-京-202408027WB</t>
  </si>
  <si>
    <t>北京大兴龙腾共派（窄带）-按票充值维保费</t>
  </si>
  <si>
    <t>华东-鲁-202602023</t>
  </si>
  <si>
    <t>昌邑极兔窄带</t>
  </si>
  <si>
    <t>华东-闽-202602032</t>
  </si>
  <si>
    <t>三明沙县申通窄带</t>
  </si>
  <si>
    <t>华东-闽-202603004</t>
  </si>
  <si>
    <t>三明沙县申通环线</t>
  </si>
  <si>
    <t>华东-苏-202602022</t>
  </si>
  <si>
    <t>南京栖霞友谊路共配窄带</t>
  </si>
  <si>
    <t>华东-苏-202602043</t>
  </si>
  <si>
    <t>徐州鼓楼万科城极兔窄带</t>
  </si>
  <si>
    <t>华东-苏-202603011</t>
  </si>
  <si>
    <t>南京六合大厂博富路共派</t>
  </si>
  <si>
    <t>华东-豫-202601081WB</t>
  </si>
  <si>
    <t>溪鸟蔚县半年维保</t>
  </si>
  <si>
    <t>华东-浙-202602010</t>
  </si>
  <si>
    <t>慈溪观海卫申通窄带</t>
  </si>
  <si>
    <t>华东-浙-202602012</t>
  </si>
  <si>
    <t>温州龙湾蒲州极兔环线</t>
  </si>
  <si>
    <t>华东-浙-202602025</t>
  </si>
  <si>
    <t>金华金义顺丰TTS抖音仓增购</t>
  </si>
  <si>
    <t>华东-浙-202602027</t>
  </si>
  <si>
    <t>湖州圆通进港窄带2号机</t>
  </si>
  <si>
    <t>华东-浙-202602028</t>
  </si>
  <si>
    <t>湖州圆通进港窄带1号机</t>
  </si>
  <si>
    <t>华东-浙-202602029</t>
  </si>
  <si>
    <t>湖州圆通出港摆轮线</t>
  </si>
  <si>
    <t>华东-浙-202603006</t>
  </si>
  <si>
    <t>平湖申通一期环线</t>
  </si>
  <si>
    <t>华东-浙-202603007</t>
  </si>
  <si>
    <t>平湖申通二期窄带</t>
  </si>
  <si>
    <t>华东-浙-202603008</t>
  </si>
  <si>
    <t>龙岩新罗区共派增购</t>
  </si>
  <si>
    <t>华东-浙-202603013</t>
  </si>
  <si>
    <t>路桥城区圆通窄带</t>
  </si>
  <si>
    <t>华南-赣-202602015</t>
  </si>
  <si>
    <t>南昌向塘申通环线</t>
  </si>
  <si>
    <t>华南-赣-202602037</t>
  </si>
  <si>
    <t>江西遂川邮政环线</t>
  </si>
  <si>
    <t>华南-桂-202602036</t>
  </si>
  <si>
    <t>柳州雒容共派环线调试</t>
  </si>
  <si>
    <t>华南-桂-202602038</t>
  </si>
  <si>
    <t>广西钦州河东中通直线</t>
  </si>
  <si>
    <t>华南-桂-202603009</t>
  </si>
  <si>
    <t>广西桂林平乐邮政环线</t>
  </si>
  <si>
    <t>华南-粤-202107004-1WB</t>
  </si>
  <si>
    <t>汕尾圆通三期维保费</t>
  </si>
  <si>
    <t>华南-粤-202211003WB</t>
  </si>
  <si>
    <t>汕尾城区圆通直线维保费</t>
  </si>
  <si>
    <t>华南-粤-202602014</t>
  </si>
  <si>
    <t>揭阳市榕城共配mini</t>
  </si>
  <si>
    <t>华南-粤-202602039</t>
  </si>
  <si>
    <t>惠州罗阳共派窄带</t>
  </si>
  <si>
    <t>华南-粤-202602040</t>
  </si>
  <si>
    <t>普宁占陇中通环线</t>
  </si>
  <si>
    <t>西南-川-202602033</t>
  </si>
  <si>
    <t>四川成都郫都申通环线</t>
  </si>
  <si>
    <t>西南-川-202603001</t>
  </si>
  <si>
    <t>金花共配韵达对接</t>
  </si>
  <si>
    <t>西南-川-202603015</t>
  </si>
  <si>
    <t>四川冕宁共配新增OCR</t>
  </si>
  <si>
    <t>西南-贵-202602013</t>
  </si>
  <si>
    <t>贵州息烽共配二期窄带</t>
  </si>
  <si>
    <t>西南-新-202602016</t>
  </si>
  <si>
    <t>新疆巴州轮台极兔窄带</t>
  </si>
  <si>
    <t>西南-渝-202602008</t>
  </si>
  <si>
    <t>重庆井口二期共派窄带</t>
  </si>
  <si>
    <t>西南-云-202602034</t>
  </si>
  <si>
    <t>云南河口共派窄带</t>
  </si>
  <si>
    <t>西南-云-202602035</t>
  </si>
  <si>
    <t>云南芒市共配二期窄带增补</t>
  </si>
  <si>
    <t>西南-云-202602041</t>
  </si>
  <si>
    <t>云南昆明东川共配窄带</t>
  </si>
  <si>
    <t>西南-云-202602042</t>
  </si>
  <si>
    <t>昆明南窑共配直线搬迁</t>
  </si>
  <si>
    <t>新兴-粤-202601024</t>
  </si>
  <si>
    <t>东莞麻涌京东大药房仓</t>
  </si>
  <si>
    <t>202600-备件</t>
  </si>
  <si>
    <t>艮业备件</t>
  </si>
  <si>
    <t>2026RD05</t>
  </si>
  <si>
    <t>3DS海外展机</t>
  </si>
  <si>
    <t>创新-粤-202603001</t>
  </si>
  <si>
    <t>清远维龙二仓-3D分拣机</t>
  </si>
  <si>
    <t>创新-粤-202603002</t>
  </si>
  <si>
    <t>东莞一产-3D分拣机</t>
  </si>
  <si>
    <t>创新-粤-202604001</t>
  </si>
  <si>
    <t>牧星25年项目增补</t>
  </si>
  <si>
    <t>大同广灵圆通窄带</t>
  </si>
  <si>
    <t>海外-巴西SSP45-202603005</t>
  </si>
  <si>
    <t>美客多SVC巴西SSP45快手窄带分拣项目</t>
  </si>
  <si>
    <t>海外-巴西XMG1-202603006</t>
  </si>
  <si>
    <t>美客多SVC巴西XMG1快手窄带分拣项目</t>
  </si>
  <si>
    <t>海外-墨西哥-202603001</t>
  </si>
  <si>
    <t>钢扣PO20250528016</t>
  </si>
  <si>
    <t>海外-墨西哥-202603002</t>
  </si>
  <si>
    <t>墨西哥本地皮带机安装PO20241219018（补）</t>
  </si>
  <si>
    <t>海外-墨西哥SMX9-202603003</t>
  </si>
  <si>
    <t>美客多SVC墨西哥SMX9快手窄带分拣项目</t>
  </si>
  <si>
    <t>海外-墨西哥SPB1-202603004</t>
  </si>
  <si>
    <t>美客多SVC墨西哥SPB1快手窄带分拣项目</t>
  </si>
  <si>
    <t>华北-黑-202603003</t>
  </si>
  <si>
    <t>黑龙江齐齐哈尔铁锋区极兔增购</t>
  </si>
  <si>
    <t>华北-黑-202603081</t>
  </si>
  <si>
    <t>佳木斯东风区共配mini</t>
  </si>
  <si>
    <t>华北-黑-202604002</t>
  </si>
  <si>
    <t>黑龙江哈尔滨道里区共派</t>
  </si>
  <si>
    <t>华北-黑-202604005</t>
  </si>
  <si>
    <t>齐齐哈尔铁锋区极兔增购电柜</t>
  </si>
  <si>
    <t>华北-吉-202603090</t>
  </si>
  <si>
    <t>长春南关区五部共配窄带</t>
  </si>
  <si>
    <t>华北-吉-202603091</t>
  </si>
  <si>
    <t>长春绿园区奔驰路共配窄带</t>
  </si>
  <si>
    <t>华北-冀-202602005</t>
  </si>
  <si>
    <t>韵达廊坊到达</t>
  </si>
  <si>
    <t>华北-冀-202603020</t>
  </si>
  <si>
    <t>邯郸磁县共派二期环线</t>
  </si>
  <si>
    <t>华北-冀-202603021</t>
  </si>
  <si>
    <t>邯郸磁县共派二期窄带</t>
  </si>
  <si>
    <t>华北-冀-202603033</t>
  </si>
  <si>
    <t>河北衡水冀州新发地共派</t>
  </si>
  <si>
    <t>华北-冀-202603038</t>
  </si>
  <si>
    <t>河北衡水冀州圆通+河北衡水冀州大营圆通</t>
  </si>
  <si>
    <t>华北-冀-202603043</t>
  </si>
  <si>
    <t>河北保定满城申通服务费用增补</t>
  </si>
  <si>
    <t>华北-冀-202603046</t>
  </si>
  <si>
    <t>石家庄藁城梅花韵达NC机</t>
  </si>
  <si>
    <t>华北-冀-202603049</t>
  </si>
  <si>
    <t>保定容城中通mini</t>
  </si>
  <si>
    <t>华北-冀-202603058</t>
  </si>
  <si>
    <t>石家庄新华区共派窄带</t>
  </si>
  <si>
    <t>华北-冀-202603083</t>
  </si>
  <si>
    <t>河北容城申通环线</t>
  </si>
  <si>
    <t>华北-冀-202603094</t>
  </si>
  <si>
    <t>秦皇岛山海关共派mini</t>
  </si>
  <si>
    <t>华北-冀-202603095</t>
  </si>
  <si>
    <t>深泽韵达NC机</t>
  </si>
  <si>
    <t>华北-冀-202604001</t>
  </si>
  <si>
    <t>保定满城中通NC机</t>
  </si>
  <si>
    <t>华北-冀-202604006</t>
  </si>
  <si>
    <t>沧州圆通二期加层</t>
  </si>
  <si>
    <t>华北-冀-202604017</t>
  </si>
  <si>
    <t>保定定州圆通环线</t>
  </si>
  <si>
    <t>华北-冀-202604027</t>
  </si>
  <si>
    <t>邯郸成安共派环线</t>
  </si>
  <si>
    <t>华北-冀-202604028</t>
  </si>
  <si>
    <t>华北-冀-202604029</t>
  </si>
  <si>
    <t>邯郸广平共派环线</t>
  </si>
  <si>
    <t>华北-津-202603079</t>
  </si>
  <si>
    <t>天津武清中通出港环线</t>
  </si>
  <si>
    <t>华北-晋-202603060</t>
  </si>
  <si>
    <t>山西太谷共派dws+摆轮搬迁</t>
  </si>
  <si>
    <t>华北-辽-202603067</t>
  </si>
  <si>
    <t>盘锦大洼区韵达窄带</t>
  </si>
  <si>
    <t>华北-辽-202603092</t>
  </si>
  <si>
    <t>沈阳新民环线增购供包台相机</t>
  </si>
  <si>
    <t>华北-辽-202604008</t>
  </si>
  <si>
    <t>沈阳苏家屯南京街共配窄带</t>
  </si>
  <si>
    <t>华北-辽-202604012</t>
  </si>
  <si>
    <t>沈阳铁西区南七西路极兔窄带</t>
  </si>
  <si>
    <t>华北-蒙-202604037</t>
  </si>
  <si>
    <t>内蒙古包头圆通改造</t>
  </si>
  <si>
    <t>华北-豫-202506073ZG</t>
  </si>
  <si>
    <t>长垣共派碳刷</t>
  </si>
  <si>
    <t>华北-豫-202603042</t>
  </si>
  <si>
    <t>河南周口商水圆通二期环线</t>
  </si>
  <si>
    <t>华北-豫-202603045</t>
  </si>
  <si>
    <t>河南焦作博爱申通窄带</t>
  </si>
  <si>
    <t>华北-豫-202603054</t>
  </si>
  <si>
    <t>河南洛阳伊洛韵达NC机</t>
  </si>
  <si>
    <t>华北-豫-202603077</t>
  </si>
  <si>
    <t>邓州申通环线</t>
  </si>
  <si>
    <t>华北-豫-202603082</t>
  </si>
  <si>
    <t>河南郑州省体韵达nc机</t>
  </si>
  <si>
    <t>华北-豫-202604020</t>
  </si>
  <si>
    <t>商丘夏邑栗城韵达mini</t>
  </si>
  <si>
    <t>华北-豫-202604023</t>
  </si>
  <si>
    <t>河南商丘夏邑南极兔环线</t>
  </si>
  <si>
    <t>华东-黑-202603017</t>
  </si>
  <si>
    <t>齐齐哈尔极兔增补主电</t>
  </si>
  <si>
    <t>华东-黑-202604030</t>
  </si>
  <si>
    <t>黑龙江齐齐哈尔极兔备件</t>
  </si>
  <si>
    <t>华东-津-202403007WB</t>
  </si>
  <si>
    <t>天津红桥佳园里中通维保费</t>
  </si>
  <si>
    <t>华东-鲁-202504033-拆</t>
  </si>
  <si>
    <t>山东枣庄市中区韵达mini环-拆机</t>
  </si>
  <si>
    <t>华东-鲁-202603048</t>
  </si>
  <si>
    <t>诸城极兔窄带</t>
  </si>
  <si>
    <t>华东-鲁-202603056</t>
  </si>
  <si>
    <t>济宁泗水圆通窄带</t>
  </si>
  <si>
    <t>华东-鲁-202603057</t>
  </si>
  <si>
    <t>济宁泗水极兔窄带</t>
  </si>
  <si>
    <t>华东-鲁-202603078</t>
  </si>
  <si>
    <t>潍坊青州韵达窄带</t>
  </si>
  <si>
    <t>华东-鲁-202603084</t>
  </si>
  <si>
    <t>聊城东昌府韵达环线</t>
  </si>
  <si>
    <t>华东-鲁-202603098</t>
  </si>
  <si>
    <t>山东新泰中通环线</t>
  </si>
  <si>
    <t>华东-鲁-202603103</t>
  </si>
  <si>
    <t>潍坊安丘邮政环线</t>
  </si>
  <si>
    <t>华东-鲁-202604022</t>
  </si>
  <si>
    <t>山东菏泽东明共派环线改造</t>
  </si>
  <si>
    <t>华东-闽-202603080</t>
  </si>
  <si>
    <t>三明沙县申通环线增补满袋</t>
  </si>
  <si>
    <t>华东-闽-202603086</t>
  </si>
  <si>
    <t>福建南平邵武申通环线</t>
  </si>
  <si>
    <t>华东-闽-202603102</t>
  </si>
  <si>
    <t>福州晋安滨江共配mini增购格口</t>
  </si>
  <si>
    <t>华东-苏-202603028</t>
  </si>
  <si>
    <t>南京江北大道共派二期</t>
  </si>
  <si>
    <t>华东-苏-202603031</t>
  </si>
  <si>
    <t>常熟申通二期环线</t>
  </si>
  <si>
    <t>华东-苏-202603036</t>
  </si>
  <si>
    <t>徐州申通环线改造增购</t>
  </si>
  <si>
    <t>华东-苏-202603044</t>
  </si>
  <si>
    <t>苏州建包仓邮政新增圆通接口</t>
  </si>
  <si>
    <t>华东-苏-202603050</t>
  </si>
  <si>
    <t>泰州戴南共派</t>
  </si>
  <si>
    <t>华东-苏-202603061</t>
  </si>
  <si>
    <t>常州武进申通环线</t>
  </si>
  <si>
    <t>华东-苏-202603076</t>
  </si>
  <si>
    <t>南京禄口圆通集包仓</t>
  </si>
  <si>
    <t>华东-苏-202604009</t>
  </si>
  <si>
    <t>昆山吴淞江网格仓新增中通接口</t>
  </si>
  <si>
    <t>华东-苏-202604013</t>
  </si>
  <si>
    <t>宿迁宿城杉杉电商仓环线</t>
  </si>
  <si>
    <t>华东-苏-202604018</t>
  </si>
  <si>
    <t>南京栖霞燕尧路共派mini</t>
  </si>
  <si>
    <t>华东-皖-202603096</t>
  </si>
  <si>
    <t>安徽合肥磨店圆通窄带</t>
  </si>
  <si>
    <t>华东-皖-202604021</t>
  </si>
  <si>
    <t>韵达亳州到达库交叉带自动供包项目</t>
  </si>
  <si>
    <t>华东-浙-202603053</t>
  </si>
  <si>
    <t>义乌公路港韵达接申通接口</t>
  </si>
  <si>
    <t>华东-浙-202604016</t>
  </si>
  <si>
    <t>温州乐成申通窄带</t>
  </si>
  <si>
    <t>华东-浙-202604019</t>
  </si>
  <si>
    <t>下骆宅韵达三期环线</t>
  </si>
  <si>
    <t>华东-浙-202604025</t>
  </si>
  <si>
    <t>乐清柳白申通窄带</t>
  </si>
  <si>
    <t>华东-浙-202604026</t>
  </si>
  <si>
    <t>杭州临平星桥申通窄带</t>
  </si>
  <si>
    <t>华南-鄂-202401003WB</t>
  </si>
  <si>
    <t>武汉大桥新区共配维保费</t>
  </si>
  <si>
    <t>华南-赣-202603026</t>
  </si>
  <si>
    <t>江西上饶铅山共配环线</t>
  </si>
  <si>
    <t>华南-赣-202603085</t>
  </si>
  <si>
    <t>江西赣州杨梅新村极兔环线</t>
  </si>
  <si>
    <t>华南-赣-202604014A</t>
  </si>
  <si>
    <t>韵达南昌分拨中心A环NCmini</t>
  </si>
  <si>
    <t>华南-赣-202604034</t>
  </si>
  <si>
    <t>江西湘东共派增购软件</t>
  </si>
  <si>
    <t>华南-赣-202604038</t>
  </si>
  <si>
    <t>江西南昌昌北中通集包仓环线</t>
  </si>
  <si>
    <t>华南-桂-202603010</t>
  </si>
  <si>
    <t>广西合浦邮政自动供包</t>
  </si>
  <si>
    <t>华南-桂-202603051</t>
  </si>
  <si>
    <t>广西玉林韵达二期环线</t>
  </si>
  <si>
    <t>华南-桂-202603052</t>
  </si>
  <si>
    <t>广西南宁韵达集包仓环线二层</t>
  </si>
  <si>
    <t>华南-桂-202603066</t>
  </si>
  <si>
    <t>广西玉林韵达二期窄带</t>
  </si>
  <si>
    <t>华南-冀-202208008WB</t>
  </si>
  <si>
    <t>河北清河极兔维保费</t>
  </si>
  <si>
    <t>华南-湘-202603059</t>
  </si>
  <si>
    <t>湖南湘西凤凰县客货邮环线</t>
  </si>
  <si>
    <t>华南-粤-202410012WB</t>
  </si>
  <si>
    <t>湛江麻章极兔直线维保费</t>
  </si>
  <si>
    <t>华南-粤-202603016</t>
  </si>
  <si>
    <t>揭阳桂岭极兔窄带</t>
  </si>
  <si>
    <t>华南-粤-202603018</t>
  </si>
  <si>
    <t>中山黄圃圆通窄带</t>
  </si>
  <si>
    <t>华南-粤-202603019</t>
  </si>
  <si>
    <t>广东深圳龙华中通二部环线</t>
  </si>
  <si>
    <t>华南-粤-202603023</t>
  </si>
  <si>
    <t>佛山三水乐平共派窄带</t>
  </si>
  <si>
    <t>华南-粤-202603024</t>
  </si>
  <si>
    <t>中山黄圃圆通改造</t>
  </si>
  <si>
    <t>华南-粤-202603025</t>
  </si>
  <si>
    <t>东莞南城极兔窄带</t>
  </si>
  <si>
    <t>华南-粤-202603029</t>
  </si>
  <si>
    <t>深圳罗湖极兔直线</t>
  </si>
  <si>
    <t>华南-粤-202603030</t>
  </si>
  <si>
    <t>揭阳揭西极兔环线</t>
  </si>
  <si>
    <t>华南-粤-202603035</t>
  </si>
  <si>
    <t>惠州园洲极兔环线</t>
  </si>
  <si>
    <t>华南-粤-202603040</t>
  </si>
  <si>
    <t>揭阳白塔圆通直线</t>
  </si>
  <si>
    <t>华南-粤-202603055</t>
  </si>
  <si>
    <t>标杩供包台发广东潮州</t>
  </si>
  <si>
    <t>华南-粤-202603063</t>
  </si>
  <si>
    <t>东莞中堂极兔环线</t>
  </si>
  <si>
    <t>华南-粤-202603064</t>
  </si>
  <si>
    <t>惠州石湾申通窄带</t>
  </si>
  <si>
    <t>华南-粤-202603065</t>
  </si>
  <si>
    <t>番禺繁华申通搬迁调试</t>
  </si>
  <si>
    <t>华南-粤-202603069</t>
  </si>
  <si>
    <t>汕头金平申通NC环</t>
  </si>
  <si>
    <t>华南-粤-202603070</t>
  </si>
  <si>
    <t>东莞东坑极兔增购</t>
  </si>
  <si>
    <t>华南-粤-202603071</t>
  </si>
  <si>
    <t>深圳龙岗锦程极兔mini</t>
  </si>
  <si>
    <t>华南-粤-202603073</t>
  </si>
  <si>
    <t>深圳横岗极兔搬迁</t>
  </si>
  <si>
    <t>华南-粤-202603075</t>
  </si>
  <si>
    <t>广东广州永平极兔直线</t>
  </si>
  <si>
    <t>华南-粤-202603088</t>
  </si>
  <si>
    <t>韶关翁源中通环线</t>
  </si>
  <si>
    <t>华南-粤-202603099</t>
  </si>
  <si>
    <t>广东东莞虎门申通环线</t>
  </si>
  <si>
    <t>华南-粤-202603100</t>
  </si>
  <si>
    <t>广东茂名茂南极兔直线</t>
  </si>
  <si>
    <t>华南-粤-202604015</t>
  </si>
  <si>
    <t>潮州龙湖申通改造龙门架</t>
  </si>
  <si>
    <t>华南-粤-202604035</t>
  </si>
  <si>
    <t>广州竹料中通加高格口挡板</t>
  </si>
  <si>
    <t>西南-川-202603089</t>
  </si>
  <si>
    <t>内江圆通改造</t>
  </si>
  <si>
    <t>西南-川-202604003</t>
  </si>
  <si>
    <t>南充高坪共派改造</t>
  </si>
  <si>
    <t>西南-川-202604024</t>
  </si>
  <si>
    <t>金花共配韵达增购开关</t>
  </si>
  <si>
    <t>西南-鄂-202603032</t>
  </si>
  <si>
    <t>湖北襄阳襄州区圆通改造</t>
  </si>
  <si>
    <t>西南-鄂-202603074</t>
  </si>
  <si>
    <t>湖北恩施宣恩共派新增邮政接口</t>
  </si>
  <si>
    <t>西南-鄂-202603093</t>
  </si>
  <si>
    <t>湖北恩施共配窄带</t>
  </si>
  <si>
    <t>西南-鄂-202603097</t>
  </si>
  <si>
    <t>湖北武汉新竹路共配窄带</t>
  </si>
  <si>
    <t>西南-甘-202603022</t>
  </si>
  <si>
    <t>甘肃嘉峪关中通一期搬迁1</t>
  </si>
  <si>
    <t>西南-贵-202603039</t>
  </si>
  <si>
    <t>君乐供包台</t>
  </si>
  <si>
    <t>西南-贵-202603062</t>
  </si>
  <si>
    <t>六盘水中通搬迁改造</t>
  </si>
  <si>
    <t>西南-贵-202603072</t>
  </si>
  <si>
    <t>贵州贵阳白云区共派窄带</t>
  </si>
  <si>
    <t>西南-陕-202603101A</t>
  </si>
  <si>
    <t>陕西安康汉阴共配直线A</t>
  </si>
  <si>
    <t>西南-陕-202604042</t>
  </si>
  <si>
    <t>陕西渭南极兔出港集包仓</t>
  </si>
  <si>
    <t>西南-新-202603027</t>
  </si>
  <si>
    <t>新疆乌市米东小地磅二钢极兔</t>
  </si>
  <si>
    <t>西南-新-202604031</t>
  </si>
  <si>
    <t>新疆北屯极兔改造自动供包</t>
  </si>
  <si>
    <t>西南-渝-202604036</t>
  </si>
  <si>
    <t>重庆高新区共配窄带</t>
  </si>
  <si>
    <t>西南-云-202603034</t>
  </si>
  <si>
    <t>云南昭通绥江共配环线</t>
  </si>
  <si>
    <t>西南-云-202603037</t>
  </si>
  <si>
    <t>临沧市沧源县共配窄带</t>
  </si>
  <si>
    <t>西南-云-202603041</t>
  </si>
  <si>
    <t>云南永仁县共配窄带</t>
  </si>
  <si>
    <t>西南-云-202603047</t>
  </si>
  <si>
    <t>云南保山申通二期环线增补</t>
  </si>
  <si>
    <t>西南-云-202603068</t>
  </si>
  <si>
    <t>云南曲靖陆良邮政窄带</t>
  </si>
  <si>
    <t>西南-云-202603087</t>
  </si>
  <si>
    <t>云南玉溪峨山共配窄带</t>
  </si>
  <si>
    <t>西南-云-202604007</t>
  </si>
  <si>
    <t>云南石屏共配新增多多接口</t>
  </si>
  <si>
    <t>KA-京-202604022</t>
  </si>
  <si>
    <t>北京人形供包台定制项目</t>
  </si>
  <si>
    <t>KA-粤-202605001</t>
  </si>
  <si>
    <t>深圳市优必选科技股份有限公司</t>
  </si>
  <si>
    <t>创新-粤-202604002</t>
  </si>
  <si>
    <t>3Dsorter俄罗斯项目26年项目增补</t>
  </si>
  <si>
    <t>创新-粤-202605001</t>
  </si>
  <si>
    <t>东莞倍思TOB仓窄带项目</t>
  </si>
  <si>
    <t>海外-巴西XSC2-202604002</t>
  </si>
  <si>
    <t>美客多SVC巴西XSC2快手窄带分拣项目</t>
  </si>
  <si>
    <t>海外-墨西哥SGD2-202604001</t>
  </si>
  <si>
    <t>美客多SVC墨西哥SGD2快手窄带分拣项目</t>
  </si>
  <si>
    <t>海外-沙特-202604003</t>
  </si>
  <si>
    <t>沙特SMSA 流水线搬迁售后服务</t>
  </si>
  <si>
    <t>海外-台湾-202604003</t>
  </si>
  <si>
    <t>京东台湾直线CBS项目</t>
  </si>
  <si>
    <t>海外-匈牙利-202605002</t>
  </si>
  <si>
    <t>iMile匈牙利环线巡检2026Q2</t>
  </si>
  <si>
    <t>华北-黑-202604049</t>
  </si>
  <si>
    <t>哈尔滨中央大街圆通mini</t>
  </si>
  <si>
    <t>华北-黑-202604063</t>
  </si>
  <si>
    <t>齐齐哈尔富裕圆通窄带</t>
  </si>
  <si>
    <t>华北-黑-202604078</t>
  </si>
  <si>
    <t>黑龙江齐齐哈尔极兔备件2</t>
  </si>
  <si>
    <t>华北-黑-202604079</t>
  </si>
  <si>
    <t>哈尔滨群力新区共配mini</t>
  </si>
  <si>
    <t>华北-黑-202605001</t>
  </si>
  <si>
    <t>哈尔滨哈西韵达mini</t>
  </si>
  <si>
    <t>华北-黑-202605017</t>
  </si>
  <si>
    <t>哈尔滨江北申通窄带</t>
  </si>
  <si>
    <t>华北-吉-202604112</t>
  </si>
  <si>
    <t>长春南关区五部共配窄带增购OCR</t>
  </si>
  <si>
    <t>华北-冀-202604046</t>
  </si>
  <si>
    <t>河北承德兴隆共配窄带</t>
  </si>
  <si>
    <t>华北-冀-202604047</t>
  </si>
  <si>
    <t>保定北三环共派窄带</t>
  </si>
  <si>
    <t>华北-冀-202604052</t>
  </si>
  <si>
    <t>徐水申通环线</t>
  </si>
  <si>
    <t>华北-冀-202604053</t>
  </si>
  <si>
    <t>徐水申通NC环线</t>
  </si>
  <si>
    <t>华北-冀-202604077</t>
  </si>
  <si>
    <t>河北沧州肃宁申通窄带</t>
  </si>
  <si>
    <t>华北-冀-202604087</t>
  </si>
  <si>
    <t>河北衡水冀州中通mini</t>
  </si>
  <si>
    <t>华北-冀-202604105</t>
  </si>
  <si>
    <t>河北衡水冀州极兔搬迁仅调试</t>
  </si>
  <si>
    <t>华北-冀-202605006</t>
  </si>
  <si>
    <t>石家庄开发区一部共派</t>
  </si>
  <si>
    <t>华北-津-202605011</t>
  </si>
  <si>
    <t>天津津南柳林申通mini</t>
  </si>
  <si>
    <t>华北-晋-202604011</t>
  </si>
  <si>
    <t>华北-晋-202604032</t>
  </si>
  <si>
    <t>山西忻州五台县共派环线</t>
  </si>
  <si>
    <t>华北-晋-202604065</t>
  </si>
  <si>
    <t>华北-晋-202604072</t>
  </si>
  <si>
    <t>山西吕梁交城极兔窄带</t>
  </si>
  <si>
    <t>华北-晋-202604090</t>
  </si>
  <si>
    <t>山西吕梁文水极兔窄带</t>
  </si>
  <si>
    <t>华北-京-202507077拆</t>
  </si>
  <si>
    <t>北京武夷花园共派-拆机</t>
  </si>
  <si>
    <t>华北-京-202604041</t>
  </si>
  <si>
    <t>北京远洋共派窄带改造</t>
  </si>
  <si>
    <t>华北-辽-202604048</t>
  </si>
  <si>
    <t>辽宁辽阳极兔窄带</t>
  </si>
  <si>
    <t>华北-辽-202604094</t>
  </si>
  <si>
    <t>辽宁鞍山韵达邮政环线+窄带</t>
  </si>
  <si>
    <t>华北-辽-202605015</t>
  </si>
  <si>
    <t>辽宁鞍山申通窄带</t>
  </si>
  <si>
    <t>华北-豫-202604040</t>
  </si>
  <si>
    <t>信阳光山极兔窄带</t>
  </si>
  <si>
    <t>华北-豫-202604083</t>
  </si>
  <si>
    <t>新乡延津申通环线</t>
  </si>
  <si>
    <t>华东-沪-202604043</t>
  </si>
  <si>
    <t>上海闵行陈行申通窄带</t>
  </si>
  <si>
    <t>华东-沪-202604084</t>
  </si>
  <si>
    <t>上海宝山长江西路圆通</t>
  </si>
  <si>
    <t>华东-冀-202503039WB</t>
  </si>
  <si>
    <t>沧州中通维保费</t>
  </si>
  <si>
    <t>华东-京-202401009WB</t>
  </si>
  <si>
    <t>北京菜户营共派维保费</t>
  </si>
  <si>
    <t>华东-鲁-202405047WB</t>
  </si>
  <si>
    <t>德州申通维保费</t>
  </si>
  <si>
    <t>华东-鲁-202604044</t>
  </si>
  <si>
    <t>胶州极兔窄带</t>
  </si>
  <si>
    <t>华东-鲁-202604055</t>
  </si>
  <si>
    <t>临沂北城新区极兔环线</t>
  </si>
  <si>
    <t>华东-鲁-202604074</t>
  </si>
  <si>
    <t>郯城马头镇韵达环线（电控）</t>
  </si>
  <si>
    <t>华东-鲁-202604096</t>
  </si>
  <si>
    <t>烟台福山区共派mini</t>
  </si>
  <si>
    <t>华东-鲁-202604104</t>
  </si>
  <si>
    <t>济南临港圆通自动供包环线</t>
  </si>
  <si>
    <t>华东-鲁-202604107</t>
  </si>
  <si>
    <t>聊城中通增购错分预警系统</t>
  </si>
  <si>
    <t>华东-闽-202604010</t>
  </si>
  <si>
    <t>龙岩新罗区共派二次增购</t>
  </si>
  <si>
    <t>华东-闽-202604039</t>
  </si>
  <si>
    <t>宁德古田韵达mini技术服务</t>
  </si>
  <si>
    <t>华东-闽-202604045</t>
  </si>
  <si>
    <t>漳州诏安韵达窄带</t>
  </si>
  <si>
    <t>华东-闽-202604059</t>
  </si>
  <si>
    <t>龙岩新罗区共派增购供包台</t>
  </si>
  <si>
    <t>华东-苏-202011006-1</t>
  </si>
  <si>
    <t>华东-苏-202507029拆</t>
  </si>
  <si>
    <t>如东二期搬迁拆机</t>
  </si>
  <si>
    <t>华东-苏-202604068</t>
  </si>
  <si>
    <t>南通海门叠石桥中通环线</t>
  </si>
  <si>
    <t>华东-苏-202604110</t>
  </si>
  <si>
    <t>扬州仪征大连路共派</t>
  </si>
  <si>
    <t>华东-苏-202604111</t>
  </si>
  <si>
    <t>镇江丁卯中通直线</t>
  </si>
  <si>
    <t>华东-苏-202605005</t>
  </si>
  <si>
    <t>太仓南京路圆通环线调试</t>
  </si>
  <si>
    <t>华东-苏-202605021</t>
  </si>
  <si>
    <t>常熟丰树韵达</t>
  </si>
  <si>
    <t>华东-苏-202605028</t>
  </si>
  <si>
    <t>镇江丁卯中通增购光眼</t>
  </si>
  <si>
    <t>华东-皖-202401043WB</t>
  </si>
  <si>
    <t>安徽太和韵达维保费</t>
  </si>
  <si>
    <t>华东-皖-202401044WB</t>
  </si>
  <si>
    <t>太和申通维保费</t>
  </si>
  <si>
    <t>华东-豫-202210015WB</t>
  </si>
  <si>
    <t>濮阳申通维保费</t>
  </si>
  <si>
    <t>华东-浙-202006006-1WB</t>
  </si>
  <si>
    <t>华东-浙-202206012WB</t>
  </si>
  <si>
    <t>濮院共派维保费</t>
  </si>
  <si>
    <t>华东-浙-202309042WB</t>
  </si>
  <si>
    <t>桐乡韵达窄带维保费</t>
  </si>
  <si>
    <t>华东-浙-202310037WB</t>
  </si>
  <si>
    <t>嘉兴洪合韵达维保费</t>
  </si>
  <si>
    <t>华东-浙-202408009WB</t>
  </si>
  <si>
    <t>桐乡园韵改造维保费</t>
  </si>
  <si>
    <t>华东-浙-202604051</t>
  </si>
  <si>
    <t>路桥漯洋极兔窄带</t>
  </si>
  <si>
    <t>华东-浙-202604056</t>
  </si>
  <si>
    <t>瓯海西部极兔环线</t>
  </si>
  <si>
    <t>华东-浙-202604064</t>
  </si>
  <si>
    <t>宁波鄞州姜山共派窄带</t>
  </si>
  <si>
    <t>华东-浙-202604067</t>
  </si>
  <si>
    <t>湖州安吉共派二期环线</t>
  </si>
  <si>
    <t>华东-浙-202604088</t>
  </si>
  <si>
    <t>温州永嘉中通一部环线</t>
  </si>
  <si>
    <t>华东-浙-202604095</t>
  </si>
  <si>
    <t>义乌曹宅韵达</t>
  </si>
  <si>
    <t>华东-浙-202605003</t>
  </si>
  <si>
    <t>永嘉桥头中通环线</t>
  </si>
  <si>
    <t>华东-浙-202605004</t>
  </si>
  <si>
    <t>杭州钱塘采荷中通环线</t>
  </si>
  <si>
    <t>华东-浙-202605009</t>
  </si>
  <si>
    <t>青田共派零星采购</t>
  </si>
  <si>
    <t>华东-浙-202605014</t>
  </si>
  <si>
    <t>义乌公路港申通增购满袋</t>
  </si>
  <si>
    <t>华东-浙-202605016</t>
  </si>
  <si>
    <t>廿三里圆通进港窄带</t>
  </si>
  <si>
    <t>华东-浙-202605019</t>
  </si>
  <si>
    <t>临平车站路邮政直线改造</t>
  </si>
  <si>
    <t>华东-浙-202605020</t>
  </si>
  <si>
    <t>义乌北苑邮政新增申通接口</t>
  </si>
  <si>
    <t>华南-鄂-202211008WB</t>
  </si>
  <si>
    <t>武汉藏龙岛共派二期搬迁维保费</t>
  </si>
  <si>
    <t>华南-赣-202604058</t>
  </si>
  <si>
    <t>南通优佚供包台（发江西鹰潭）</t>
  </si>
  <si>
    <t>华南-赣-202604075</t>
  </si>
  <si>
    <t>江西向塘申通增购满袋</t>
  </si>
  <si>
    <t>华南-赣-202604080</t>
  </si>
  <si>
    <t>江西南昌昌北中通集包仓环线纠偏增补</t>
  </si>
  <si>
    <t>华南-赣-202604113</t>
  </si>
  <si>
    <t>江西南昌象湖共配改造格口</t>
  </si>
  <si>
    <t>华南-桂-202604071</t>
  </si>
  <si>
    <t>广西武宣韵达窄带</t>
  </si>
  <si>
    <t>华南-粤-202310017WB</t>
  </si>
  <si>
    <t>深圳固戍申通维保费</t>
  </si>
  <si>
    <t>华南-粤-202412001WB</t>
  </si>
  <si>
    <t>花都阿康云仓改造维保费</t>
  </si>
  <si>
    <t>华南-粤-202604050</t>
  </si>
  <si>
    <t>普宁占陇中通真双层环线</t>
  </si>
  <si>
    <t>华南-粤-202604054</t>
  </si>
  <si>
    <t>普宁北申通窄带</t>
  </si>
  <si>
    <t>华南-粤-202604060</t>
  </si>
  <si>
    <t>东莞谢岗马来西亚多多仓</t>
  </si>
  <si>
    <t>华南-粤-202604069</t>
  </si>
  <si>
    <t>广东深圳龙华中通二部增购布袋</t>
  </si>
  <si>
    <t>华南-粤-202604070</t>
  </si>
  <si>
    <t>广东茂名信宜申通直线搬迁</t>
  </si>
  <si>
    <t>华南-粤-202604076</t>
  </si>
  <si>
    <t>深圳龙岗平湖邮政环线电控增购（标杩）</t>
  </si>
  <si>
    <t>华南-粤-202604089</t>
  </si>
  <si>
    <t>广东深圳龙华极兔窄带（50格口）</t>
  </si>
  <si>
    <t>华南-粤-202604091</t>
  </si>
  <si>
    <t>番禺石基圆通加二层环线</t>
  </si>
  <si>
    <t>华南-粤-202604100</t>
  </si>
  <si>
    <t>惠州石湾圆通窄带</t>
  </si>
  <si>
    <t>华南-粤-202604102</t>
  </si>
  <si>
    <t>汕头金平申通环线NC</t>
  </si>
  <si>
    <t>华南-粤-202604103</t>
  </si>
  <si>
    <t>揭阳市榕城共配mini增购</t>
  </si>
  <si>
    <t>华南-粤-202604109</t>
  </si>
  <si>
    <t>广州石井中通搬迁</t>
  </si>
  <si>
    <t>华南-粤-202605002</t>
  </si>
  <si>
    <t>佛山南海黄岐中通一部环线出港</t>
  </si>
  <si>
    <t>华南-粤-202605007</t>
  </si>
  <si>
    <t>广州花都大象云仓二期环线增购</t>
  </si>
  <si>
    <t>华南-粤-202605008</t>
  </si>
  <si>
    <t>广东茂名信宜申通增补</t>
  </si>
  <si>
    <t>华南-粤-202605018</t>
  </si>
  <si>
    <t>番禺繁华申通搬迁增补</t>
  </si>
  <si>
    <t>西南-鄂-202604073</t>
  </si>
  <si>
    <t>湖北武汉白沙洲共配窄带二期</t>
  </si>
  <si>
    <t>西南-贵-202604101</t>
  </si>
  <si>
    <t>花溪共派二期窄带</t>
  </si>
  <si>
    <t>西南-贵-202604106</t>
  </si>
  <si>
    <t>贵州锦屏共配窄带</t>
  </si>
  <si>
    <t>西南-陕-202604057</t>
  </si>
  <si>
    <t>陕西宝鸡邮政电控</t>
  </si>
  <si>
    <t>西南-陕-202604108</t>
  </si>
  <si>
    <t>陕西宝鸡邮政电控增购松下滑触线</t>
  </si>
  <si>
    <t>西南-新-202604062</t>
  </si>
  <si>
    <t>新疆伊犁清水河极兔窄带</t>
  </si>
  <si>
    <t>西南-新-202604085</t>
  </si>
  <si>
    <t>新疆伊宁极兔增购格口按钮</t>
  </si>
  <si>
    <t>西南-新-202604092</t>
  </si>
  <si>
    <t>星络联达喀什分拨中心窄带</t>
  </si>
  <si>
    <t>西南-新-202604099</t>
  </si>
  <si>
    <t>新疆喀什莎车极兔窄带</t>
  </si>
  <si>
    <t>西南-云-202604097</t>
  </si>
  <si>
    <t>云南宜良县共配mini</t>
  </si>
  <si>
    <t>西南-云-202604098</t>
  </si>
  <si>
    <t>云南泸西中通mini</t>
  </si>
  <si>
    <t>西南-云-202605013</t>
  </si>
  <si>
    <t>保山申通直线拆除</t>
  </si>
  <si>
    <t>西南-云-202605022</t>
  </si>
  <si>
    <t>云南昭通巧家共配窄带1</t>
  </si>
  <si>
    <t>新兴-浙-202604061</t>
  </si>
  <si>
    <t>递一国际嘉兴嘉善仓</t>
  </si>
  <si>
    <t>DW2026</t>
  </si>
  <si>
    <t>外部项目</t>
  </si>
  <si>
    <t>海外-巴西-202602007A</t>
  </si>
  <si>
    <t>巴西安骏五套NC分拣机项目增补主电</t>
  </si>
  <si>
    <t>海外-巴西-202605005</t>
  </si>
  <si>
    <t>imile巴西里约RDC交叉带项目</t>
  </si>
  <si>
    <t>海外-科威特-202606003</t>
  </si>
  <si>
    <t>海外-SMSA科威特辅线设备</t>
  </si>
  <si>
    <t>海外-美国-202606002</t>
  </si>
  <si>
    <t>运去哪美国摆轮分拣项目</t>
  </si>
  <si>
    <t>海外-墨西哥-202605001</t>
  </si>
  <si>
    <t>美客多JC01物料增补</t>
  </si>
  <si>
    <t>海外-墨西哥-202606004</t>
  </si>
  <si>
    <t>iMile墨西哥墨城新DC分拣机</t>
  </si>
  <si>
    <t>海外-尼日利亚-202605003</t>
  </si>
  <si>
    <t>速达非售后线上服务采购合同2026年V2</t>
  </si>
  <si>
    <t>海外-粤-202605004</t>
  </si>
  <si>
    <t>东莞松富仓自动分拣系统集成项目咨询服务</t>
  </si>
  <si>
    <t>海外-粤-202606001</t>
  </si>
  <si>
    <t>速达非备件采购2026</t>
  </si>
  <si>
    <t>华北-黑-202605063</t>
  </si>
  <si>
    <t>哈尔滨道里区共派增购海康顶扫</t>
  </si>
  <si>
    <t>华北-吉-202605074</t>
  </si>
  <si>
    <t>吉林通化辉南共派窄带</t>
  </si>
  <si>
    <t>华北-冀-2026050387</t>
  </si>
  <si>
    <t>石家庄辛集韵达改造</t>
  </si>
  <si>
    <t>华北-冀-202605047</t>
  </si>
  <si>
    <t>河北沧州肃宁圆通搬迁</t>
  </si>
  <si>
    <t>华北-冀-202605068</t>
  </si>
  <si>
    <t>邯郸韵达分拨中心NCmini</t>
  </si>
  <si>
    <t>华北-冀-202605080</t>
  </si>
  <si>
    <t>石家庄辛集极兔环线</t>
  </si>
  <si>
    <t>华北-冀-202605086</t>
  </si>
  <si>
    <t>石家庄裕华区共派mini调试</t>
  </si>
  <si>
    <t>华北-冀-202606002</t>
  </si>
  <si>
    <t>唐山玉田中通二期</t>
  </si>
  <si>
    <t>华北-冀-202606007</t>
  </si>
  <si>
    <t>邯郸馆陶共派（仅调试）</t>
  </si>
  <si>
    <t>华北-冀-202606026</t>
  </si>
  <si>
    <t>白沟中通NCmini</t>
  </si>
  <si>
    <t>华北-冀-202606027</t>
  </si>
  <si>
    <t>固安中通增购纠偏</t>
  </si>
  <si>
    <t>华北-津-202605044</t>
  </si>
  <si>
    <t>天津津南邮政环线</t>
  </si>
  <si>
    <t>华北-津-202605053</t>
  </si>
  <si>
    <t>天津崔黄口韵达NCmini</t>
  </si>
  <si>
    <t>华北-晋-2026050396</t>
  </si>
  <si>
    <t>山西太谷共派增购供包台</t>
  </si>
  <si>
    <t>华北-京-2026050397</t>
  </si>
  <si>
    <t>北京朝阳共派二期改造五面扫</t>
  </si>
  <si>
    <t>华北-京-202605079</t>
  </si>
  <si>
    <t>北京朝阳双桥共派</t>
  </si>
  <si>
    <t>华北-京-202606001</t>
  </si>
  <si>
    <t>北京朝阳水郡共派改造</t>
  </si>
  <si>
    <t>华北-辽-202605040</t>
  </si>
  <si>
    <t>沈阳新民极兔窄带</t>
  </si>
  <si>
    <t>华北-辽-202605064</t>
  </si>
  <si>
    <t>辽宁兴城共派窄带</t>
  </si>
  <si>
    <t>华北-辽-202606025</t>
  </si>
  <si>
    <t>辽宁营口大石桥极兔窄带</t>
  </si>
  <si>
    <t>华北-豫-2026050389</t>
  </si>
  <si>
    <t>河南洛阳涧西区韵达mini</t>
  </si>
  <si>
    <t>华北-豫-2026050393</t>
  </si>
  <si>
    <t>河南商丘夏邑申通NC环</t>
  </si>
  <si>
    <t>华北-豫-2026050395</t>
  </si>
  <si>
    <t>河南安阳内黄共配环线</t>
  </si>
  <si>
    <t>华北-豫-202605046</t>
  </si>
  <si>
    <t>许昌襄城县极兔</t>
  </si>
  <si>
    <t>华北-豫-202605060</t>
  </si>
  <si>
    <t>郑州空港韵达分拨集包仓</t>
  </si>
  <si>
    <t>华北-豫-202606015</t>
  </si>
  <si>
    <t>河南确山共配搬迁</t>
  </si>
  <si>
    <t>华北-豫-202606019</t>
  </si>
  <si>
    <t>驻马店遂平极兔窄带</t>
  </si>
  <si>
    <t>华东-鄂-202405033WB</t>
  </si>
  <si>
    <t>湖北汉川中通维保费</t>
  </si>
  <si>
    <t>华东-沪-2026050388</t>
  </si>
  <si>
    <t>上海宝山长江西路圆通增购</t>
  </si>
  <si>
    <t>华东-沪-202606005</t>
  </si>
  <si>
    <t>上海青浦华新申通窄带</t>
  </si>
  <si>
    <t>华东-冀-202606013</t>
  </si>
  <si>
    <t>河北沧州任丘申通环线</t>
  </si>
  <si>
    <t>华东-鲁-202209003WB</t>
  </si>
  <si>
    <t>聊城中通二期维保费</t>
  </si>
  <si>
    <t>华东-鲁-202605034</t>
  </si>
  <si>
    <t>聊城高唐共配窄带</t>
  </si>
  <si>
    <t>华东-鲁-202605042</t>
  </si>
  <si>
    <t>济宁鱼台极兔mini</t>
  </si>
  <si>
    <t>华东-鲁-202605058</t>
  </si>
  <si>
    <t>烟台福山区云仓环线</t>
  </si>
  <si>
    <t>华东-鲁-202605084</t>
  </si>
  <si>
    <t>山东威海申通环线</t>
  </si>
  <si>
    <t>华东-闽-2026050392</t>
  </si>
  <si>
    <t>漳州城北邮政窄带搬迁</t>
  </si>
  <si>
    <t>华东-闽-202605070</t>
  </si>
  <si>
    <t>福建三明清流共派窄带</t>
  </si>
  <si>
    <t>华东-闽-202605075</t>
  </si>
  <si>
    <t>福建三明沙县极兔</t>
  </si>
  <si>
    <t>华东-闽-202605085</t>
  </si>
  <si>
    <t>漳州诏安申通窄带</t>
  </si>
  <si>
    <t>华东-闽-202606030</t>
  </si>
  <si>
    <t>长乐金峰申通环线</t>
  </si>
  <si>
    <t>华东-苏-202412029WB</t>
  </si>
  <si>
    <t>高邮共派二期维保费</t>
  </si>
  <si>
    <t>华东-苏-202502001-项目取消</t>
  </si>
  <si>
    <t>江苏泗洪韵达mini-项目取消</t>
  </si>
  <si>
    <t>华东-苏-202605029</t>
  </si>
  <si>
    <t>无锡江阴城中韵达窄带</t>
  </si>
  <si>
    <t>华东-苏-202605065</t>
  </si>
  <si>
    <t>南京大厂共派环线加层</t>
  </si>
  <si>
    <t>华东-苏-202606012</t>
  </si>
  <si>
    <t>南京栖霞燕尧路共派mini改造</t>
  </si>
  <si>
    <t>华东-皖-202605077</t>
  </si>
  <si>
    <t>安徽宣城宁国共派三期环线</t>
  </si>
  <si>
    <t>华东-皖-202605078</t>
  </si>
  <si>
    <t>安徽宣城宁国共派三期窄带</t>
  </si>
  <si>
    <t>华东-皖-202605087</t>
  </si>
  <si>
    <t>安徽宣城宁国共派二期环线搬迁</t>
  </si>
  <si>
    <t>华东-豫-202411009WB</t>
  </si>
  <si>
    <t>周口太康圆通搬迁改造（利旧周口圆通设备）维保费</t>
  </si>
  <si>
    <t>华东-浙-202503021WB</t>
  </si>
  <si>
    <t>温州海城申通mini维保费</t>
  </si>
  <si>
    <t>华东-浙-202605010</t>
  </si>
  <si>
    <t>龙岩新罗区共派供包台增购</t>
  </si>
  <si>
    <t>华东-浙-202605032</t>
  </si>
  <si>
    <t>嘉兴余新韵达mini</t>
  </si>
  <si>
    <t>华东-浙-202605035</t>
  </si>
  <si>
    <t>宁波余姚兰江极兔</t>
  </si>
  <si>
    <t>华东-浙-2026050391</t>
  </si>
  <si>
    <t>乐清柳市极兔</t>
  </si>
  <si>
    <t>华东-浙-2026050394</t>
  </si>
  <si>
    <t>瑞安韵达新增申通接口</t>
  </si>
  <si>
    <t>华东-浙-2026050398</t>
  </si>
  <si>
    <t>金华塘雅邮政投递中心</t>
  </si>
  <si>
    <t>华东-浙-2026050399</t>
  </si>
  <si>
    <t>金华雅畈邮政投递中心</t>
  </si>
  <si>
    <t>华东-浙-202605054</t>
  </si>
  <si>
    <t>桐乡濮院共派搬迁改造</t>
  </si>
  <si>
    <t>华东-浙-202605055</t>
  </si>
  <si>
    <t>宁波鄞州百宁街极兔窄带</t>
  </si>
  <si>
    <t>华东-浙-202605061</t>
  </si>
  <si>
    <t>宁波鄞州姜山共派溪鸟接口</t>
  </si>
  <si>
    <t>华东-浙-202605067</t>
  </si>
  <si>
    <t>萧山所前极兔环线</t>
  </si>
  <si>
    <t>华东-浙-202605073</t>
  </si>
  <si>
    <t>宁波镇海共配</t>
  </si>
  <si>
    <t>华东-浙-202605076</t>
  </si>
  <si>
    <t>杭州萧山申通环线</t>
  </si>
  <si>
    <t>华东-浙-202606014</t>
  </si>
  <si>
    <t>温州鹿城双屿中通环线</t>
  </si>
  <si>
    <t>华东-浙-202606020</t>
  </si>
  <si>
    <t>温州瑞安申通</t>
  </si>
  <si>
    <t>华南-赣-202509094-1</t>
  </si>
  <si>
    <t>江西乐平共派一期搬迁</t>
  </si>
  <si>
    <t>华南-赣-202605033</t>
  </si>
  <si>
    <t>丰城中通二期增补圆通OCR软件</t>
  </si>
  <si>
    <t>华南-赣-202605051</t>
  </si>
  <si>
    <t>江西赣县中通环线</t>
  </si>
  <si>
    <t>华南-赣-202605056</t>
  </si>
  <si>
    <t>江西丰城中通二期增补</t>
  </si>
  <si>
    <t>华南-赣-202605057</t>
  </si>
  <si>
    <t>德兴共配二期增补供包台</t>
  </si>
  <si>
    <t>华南-赣-202605082</t>
  </si>
  <si>
    <t>江西丰城共配三期窄带</t>
  </si>
  <si>
    <t>华南-赣-202606032</t>
  </si>
  <si>
    <t>江西新余韵达环线</t>
  </si>
  <si>
    <t>华南-桂-202605024</t>
  </si>
  <si>
    <t>广西玉林东广场邮政揽投部</t>
  </si>
  <si>
    <t>华南-桂-202605025</t>
  </si>
  <si>
    <t>广西玉林苗园邮政揽投部</t>
  </si>
  <si>
    <t>华南-桂-202605026</t>
  </si>
  <si>
    <t>广西融水邮政揽投部</t>
  </si>
  <si>
    <t>华南-桂-202605027</t>
  </si>
  <si>
    <t>广西桂林高新区邮政揽投部</t>
  </si>
  <si>
    <t>华南-桂-202605030</t>
  </si>
  <si>
    <t>广西来宾滨港大道二直投揽投部</t>
  </si>
  <si>
    <t>华南-桂-202605031</t>
  </si>
  <si>
    <t>广西贵港大学城直投中心</t>
  </si>
  <si>
    <t>华南-桂-202605037</t>
  </si>
  <si>
    <t>南宁市青秀区航洋直投中心</t>
  </si>
  <si>
    <t>华南-桂-202605043</t>
  </si>
  <si>
    <t>南宁凤岭韵达软件服务</t>
  </si>
  <si>
    <t>华南-桂-202605081</t>
  </si>
  <si>
    <t>广西平果申通快递环线</t>
  </si>
  <si>
    <t>华南-桂-202606009</t>
  </si>
  <si>
    <t>广西南宁安吉邮政处理中心（购买配件）</t>
  </si>
  <si>
    <t>华南-桂-202606021</t>
  </si>
  <si>
    <t>广西百色右江共派二期环线</t>
  </si>
  <si>
    <t>华南-冀-202406023WB</t>
  </si>
  <si>
    <t>邢台信都共派环线+窄带维保费</t>
  </si>
  <si>
    <t>华南-粤-202605048</t>
  </si>
  <si>
    <t>广东东莞谢岗普洛斯多多仓</t>
  </si>
  <si>
    <t>华南-粤-202605049</t>
  </si>
  <si>
    <t>广东东莞常平假维龙多多仓</t>
  </si>
  <si>
    <t>华南-粤-202605052</t>
  </si>
  <si>
    <t>潮州邮政增购布袋</t>
  </si>
  <si>
    <t>华南-粤-202605062</t>
  </si>
  <si>
    <t>深圳罗湖极兔增补格口</t>
  </si>
  <si>
    <t>华南-粤-202605069</t>
  </si>
  <si>
    <t>广东湛江霞山申通窄带</t>
  </si>
  <si>
    <t>华南-粤-202605071</t>
  </si>
  <si>
    <t>广州花都花东金谷建包仓环线</t>
  </si>
  <si>
    <t>华南-粤-202605072</t>
  </si>
  <si>
    <t>普宁南圆通环线</t>
  </si>
  <si>
    <t>华南-粤-202605083</t>
  </si>
  <si>
    <t>广东深圳新和极兔（原广州嘉禾极兔搬迁加大）</t>
  </si>
  <si>
    <t>华南-粤-202606004</t>
  </si>
  <si>
    <t>汕头谷饶申通窄带</t>
  </si>
  <si>
    <t>华南-粤-202606006</t>
  </si>
  <si>
    <t>番禺繁华申通搬迁增补1</t>
  </si>
  <si>
    <t>华南-粤-202606008</t>
  </si>
  <si>
    <t>普宁东圆通四期环线</t>
  </si>
  <si>
    <t>华南-粤-202606022</t>
  </si>
  <si>
    <t>深圳横岗极兔进港窄带</t>
  </si>
  <si>
    <t>华南-粤-202606023</t>
  </si>
  <si>
    <t>汕头龙湖中通mini</t>
  </si>
  <si>
    <t>华南-粤-202606024</t>
  </si>
  <si>
    <t>广州大源退货仓mini</t>
  </si>
  <si>
    <t>西南-川-202606029</t>
  </si>
  <si>
    <t>四川温江柳橙圆通环线</t>
  </si>
  <si>
    <t>西南-贵-202605045</t>
  </si>
  <si>
    <t>贵州南明区中通调试</t>
  </si>
  <si>
    <t>西南-贵-202606010</t>
  </si>
  <si>
    <t>贵州遵义汇川共配环线</t>
  </si>
  <si>
    <t>西南-陇-202606011</t>
  </si>
  <si>
    <t>甘肃静宁共配增补韵达接口</t>
  </si>
  <si>
    <t>西南-陕-202510043拆</t>
  </si>
  <si>
    <t>甘肃嘉峪关中通二期-拆机</t>
  </si>
  <si>
    <t>西南-陕-202605050</t>
  </si>
  <si>
    <t>陕西咸阳空港多多仓</t>
  </si>
  <si>
    <t>西南-陕-202606017</t>
  </si>
  <si>
    <t>陕西西安鄠邑极兔窄带</t>
  </si>
  <si>
    <t>西南-新-202605036</t>
  </si>
  <si>
    <t>新疆伊犁清水河极兔五米皮带增购</t>
  </si>
  <si>
    <t>西南-新-202606003</t>
  </si>
  <si>
    <t>新疆和田墨玉极兔窄带</t>
  </si>
  <si>
    <t>西南-渝-20260541</t>
  </si>
  <si>
    <t>涪陵韵达集包仓环线</t>
  </si>
  <si>
    <t>西南-云-2026050</t>
  </si>
  <si>
    <t>曲靖圆通二期窄带</t>
  </si>
  <si>
    <t>西南-云-202605023</t>
  </si>
  <si>
    <t>云南孟连共配窄带</t>
  </si>
  <si>
    <t>西南-云-202606033</t>
  </si>
  <si>
    <t>云南曲靖圆通二期窄带</t>
  </si>
  <si>
    <t>新兴-菲律宾-202606016</t>
  </si>
  <si>
    <t>律宾申通国际CFZ中心1号库</t>
  </si>
  <si>
    <t>CGWX022</t>
  </si>
  <si>
    <t>君赛</t>
  </si>
  <si>
    <t>KA-京-202606001</t>
  </si>
  <si>
    <t>第五纪供包台定制项目</t>
  </si>
  <si>
    <t>创新-粤-202606001</t>
  </si>
  <si>
    <t>清远维龙二仓-3D分拣机(第二套)</t>
  </si>
  <si>
    <t>创新-粤-202606002</t>
  </si>
  <si>
    <t>东莞一产-3D分拣机（第二套）</t>
  </si>
  <si>
    <t>海外-巴西-202606006</t>
  </si>
  <si>
    <t>iMile巴鲁埃里新增窄带及矩阵改造项目</t>
  </si>
  <si>
    <t>海外-巴西-202606006ZB</t>
  </si>
  <si>
    <t>iMile巴鲁埃里新增窄带及矩阵改造项目增补</t>
  </si>
  <si>
    <t>海外-迪拜-202607002</t>
  </si>
  <si>
    <t>iMile迪拜狂扫设备</t>
  </si>
  <si>
    <t>海外-美国-202606005</t>
  </si>
  <si>
    <t>美国工厂</t>
  </si>
  <si>
    <t>海外-香港-202607001</t>
  </si>
  <si>
    <t>香港HKTV观塘窄带项目</t>
  </si>
  <si>
    <t>海外-粤-202606005</t>
  </si>
  <si>
    <t>唯品会分拣机电器设计及软件设计</t>
  </si>
  <si>
    <t>华北-黑-202607037</t>
  </si>
  <si>
    <t>黑龙江嫩江共配mini</t>
  </si>
  <si>
    <t>华北-吉-202606079</t>
  </si>
  <si>
    <t>吉林龙井申通mini</t>
  </si>
  <si>
    <t>华北-冀-202606066</t>
  </si>
  <si>
    <t>石家庄平山共派环线</t>
  </si>
  <si>
    <t>华北-冀-202606067</t>
  </si>
  <si>
    <t>河北邢台南和极兔二期环线</t>
  </si>
  <si>
    <t>华北-冀-202606069</t>
  </si>
  <si>
    <t>河北邯郸武安共派二期新增中通接口</t>
  </si>
  <si>
    <t>华北-冀-202606073</t>
  </si>
  <si>
    <t>河北邢台宁晋极兔窄带</t>
  </si>
  <si>
    <t>华北-冀-202606074</t>
  </si>
  <si>
    <t>河北邯郸武安共派二期新增相机</t>
  </si>
  <si>
    <t>华北-冀-202606086</t>
  </si>
  <si>
    <t>徐水极兔二期环线</t>
  </si>
  <si>
    <t>华北-冀-202607012</t>
  </si>
  <si>
    <t>定州极兔二期</t>
  </si>
  <si>
    <t>华北-冀-202607018</t>
  </si>
  <si>
    <t>临漳极兔搬迁</t>
  </si>
  <si>
    <t>华北-冀-202607023</t>
  </si>
  <si>
    <t>吴桥共派二期mini</t>
  </si>
  <si>
    <t>华北-冀-202607036</t>
  </si>
  <si>
    <t>霸州申通NC环线</t>
  </si>
  <si>
    <t>华北-晋-202606047</t>
  </si>
  <si>
    <t>晋城泽州中通直线</t>
  </si>
  <si>
    <t>华北-晋-202606085</t>
  </si>
  <si>
    <t>山西吕梁孝义中通二期</t>
  </si>
  <si>
    <t>华北-晋-202607002</t>
  </si>
  <si>
    <t>平遥共派二期</t>
  </si>
  <si>
    <t>华北-京-202606043</t>
  </si>
  <si>
    <t>北京房山阎村共派窄带</t>
  </si>
  <si>
    <t>华北-京-202606059</t>
  </si>
  <si>
    <t>北京德茂共派二期窄带</t>
  </si>
  <si>
    <t>华北-京-202607031</t>
  </si>
  <si>
    <t>华北-辽-202606034</t>
  </si>
  <si>
    <t>鞍山岫岩极兔窄带</t>
  </si>
  <si>
    <t>华北-辽-202606054</t>
  </si>
  <si>
    <t>辽宁锦州极兔窄带</t>
  </si>
  <si>
    <t>华北-辽-202606058</t>
  </si>
  <si>
    <t>葫芦岛绥中共派窄带</t>
  </si>
  <si>
    <t>华北-蒙-202607021</t>
  </si>
  <si>
    <t>包头东河共配二期</t>
  </si>
  <si>
    <t>华北-豫-202606068</t>
  </si>
  <si>
    <t>河南安阳滑县极兔NCmini</t>
  </si>
  <si>
    <t>华北-豫-202607019</t>
  </si>
  <si>
    <t>郑州连云路圆通窄带</t>
  </si>
  <si>
    <t>华北-豫-202607039</t>
  </si>
  <si>
    <t>河南郑州金水韵达mini</t>
  </si>
  <si>
    <t>华东-鲁-202606060</t>
  </si>
  <si>
    <t>郯城马头镇韵达增补格口按钮</t>
  </si>
  <si>
    <t>华东-鲁-202606072</t>
  </si>
  <si>
    <t>德州中通错分预警系统增购</t>
  </si>
  <si>
    <t>华东-鲁-202607005</t>
  </si>
  <si>
    <t>滨州中通环线调试</t>
  </si>
  <si>
    <t>华东-鲁-202607006</t>
  </si>
  <si>
    <t>济南槐荫区腊山申通窄带</t>
  </si>
  <si>
    <t>华东-鲁-202607007</t>
  </si>
  <si>
    <t>济南莱芜中通环线</t>
  </si>
  <si>
    <t>华东-闽-202606037</t>
  </si>
  <si>
    <t>福鼎邮政搬迁</t>
  </si>
  <si>
    <t>华东-闽-202606088</t>
  </si>
  <si>
    <t>莆田中通二部出港改造</t>
  </si>
  <si>
    <t>华东-闽-202607003</t>
  </si>
  <si>
    <t>长乐金峰中通韵达</t>
  </si>
  <si>
    <t>华东-苏-202606031</t>
  </si>
  <si>
    <t>苏州淞石路共配新增韵达接口</t>
  </si>
  <si>
    <t>华东-苏-202606041</t>
  </si>
  <si>
    <t>苏州苏蠡路韵达窄带</t>
  </si>
  <si>
    <t>华东-苏-202606056</t>
  </si>
  <si>
    <t>徐州新沂人民西路极兔mini</t>
  </si>
  <si>
    <t>华东-苏-202606062</t>
  </si>
  <si>
    <t>苏州吴江汾湖申通窄带</t>
  </si>
  <si>
    <t>华东-苏-202606064</t>
  </si>
  <si>
    <t>扬州邗江申通窄带</t>
  </si>
  <si>
    <t>华东-苏-202606076</t>
  </si>
  <si>
    <t>常熟转运中心2026年第二季度备品备件采购项目</t>
  </si>
  <si>
    <t>华东-苏-202606082</t>
  </si>
  <si>
    <t>苏州相城陆慕共派窄带</t>
  </si>
  <si>
    <t>华东-苏-202606087</t>
  </si>
  <si>
    <t>苏州相城澄阳韵达窄带</t>
  </si>
  <si>
    <t>华东-苏-202607008</t>
  </si>
  <si>
    <t>靖江城西大道韵达</t>
  </si>
  <si>
    <t>华东-苏-202607016</t>
  </si>
  <si>
    <t>苏州蠡口共配窄带改造</t>
  </si>
  <si>
    <t>华东-皖-202606081</t>
  </si>
  <si>
    <t>合肥肥东韵达三期环线</t>
  </si>
  <si>
    <t>华东-皖-202607014</t>
  </si>
  <si>
    <t>肥西圆通（仅调试）</t>
  </si>
  <si>
    <t>华东-渝-202504015WB</t>
  </si>
  <si>
    <t>云阳共派维保费</t>
  </si>
  <si>
    <t>华东-浙-202203027WB</t>
  </si>
  <si>
    <t>义乌公路港韵达维保费</t>
  </si>
  <si>
    <t>华东-浙-202304014WB</t>
  </si>
  <si>
    <t>义乌北苑邮政维保费</t>
  </si>
  <si>
    <t>华东-浙-202403041JK</t>
  </si>
  <si>
    <t>义乌宝湾韵达集包仓错分报警系统</t>
  </si>
  <si>
    <t>华东-浙-202403041WB</t>
  </si>
  <si>
    <t>义乌宝湾韵达维保费</t>
  </si>
  <si>
    <t>华东-浙-202503042拆机</t>
  </si>
  <si>
    <t>临安极兔mini拆机</t>
  </si>
  <si>
    <t>华东-浙-202606042</t>
  </si>
  <si>
    <t>龙湾申通环线增补满袋</t>
  </si>
  <si>
    <t>华东-浙-202606048</t>
  </si>
  <si>
    <t>宁波奉化极兔窄带</t>
  </si>
  <si>
    <t>华东-浙-202606065</t>
  </si>
  <si>
    <t>桐乡韵达五期搬迁</t>
  </si>
  <si>
    <t>华东-浙-202607010</t>
  </si>
  <si>
    <t>义乌北苑韵达NCmini</t>
  </si>
  <si>
    <t>华东-浙-202607017</t>
  </si>
  <si>
    <t>温州永嘉中通一部环线增补格口按钮</t>
  </si>
  <si>
    <t>华东-浙-202607028</t>
  </si>
  <si>
    <t>济南临港中通环线供包台增购</t>
  </si>
  <si>
    <t>华南-鄂-202302026WB</t>
  </si>
  <si>
    <t>咸宁共派维保费</t>
  </si>
  <si>
    <t>华南-赣-202606061</t>
  </si>
  <si>
    <t>江西吉安安福共配增补</t>
  </si>
  <si>
    <t>华南-赣-202606080</t>
  </si>
  <si>
    <t>江西共青城邮政环线</t>
  </si>
  <si>
    <t>华南-赣-202607022</t>
  </si>
  <si>
    <t>江西丰城共配三期窄带增购五面扫</t>
  </si>
  <si>
    <t>华南-桂-202606089</t>
  </si>
  <si>
    <t>广西柳州白云极兔</t>
  </si>
  <si>
    <t>华南-陕-202408013WB</t>
  </si>
  <si>
    <t>联储邮政多多仓环线维保费</t>
  </si>
  <si>
    <t>华南-陕-202412020WB</t>
  </si>
  <si>
    <t>西安风驰5号多多仓维保费</t>
  </si>
  <si>
    <t>华南-粤-202501010WB</t>
  </si>
  <si>
    <t>古镇极兔进港直线维保费</t>
  </si>
  <si>
    <t>华南-粤-202510032-取消</t>
  </si>
  <si>
    <t>茂名信宜极兔直线-取消</t>
  </si>
  <si>
    <t>华南-粤-202606040</t>
  </si>
  <si>
    <t>广东广州永平极兔直线增购五面扫</t>
  </si>
  <si>
    <t>华南-粤-202606049</t>
  </si>
  <si>
    <t>揭阳空港韵达增购纠偏</t>
  </si>
  <si>
    <t>华南-粤-202606050</t>
  </si>
  <si>
    <t>深圳坪地极兔mini</t>
  </si>
  <si>
    <t>华南-粤-202606053</t>
  </si>
  <si>
    <t>广州花都炭步云仓环线</t>
  </si>
  <si>
    <t>华南-粤-202606057</t>
  </si>
  <si>
    <t>广东揭阳新亨申通环线</t>
  </si>
  <si>
    <t>华南-粤-202606071</t>
  </si>
  <si>
    <t>ebuy珠海澳门仓NCmini</t>
  </si>
  <si>
    <t>华南-粤-202606075</t>
  </si>
  <si>
    <t>华南-粤-202606078</t>
  </si>
  <si>
    <t>广东惠州陈江申通NC环</t>
  </si>
  <si>
    <t>华南-粤-202606084</t>
  </si>
  <si>
    <t>惠州韵达电控</t>
  </si>
  <si>
    <t>华南-粤-202607015</t>
  </si>
  <si>
    <t>深圳华强北申通环线</t>
  </si>
  <si>
    <t>华南-粤-202607029</t>
  </si>
  <si>
    <t>云途物流寮步大件窄带</t>
  </si>
  <si>
    <t>华南-粤-202607034</t>
  </si>
  <si>
    <t>东莞塘厦极兔环线窄带</t>
  </si>
  <si>
    <t>其他-粤-202607001</t>
  </si>
  <si>
    <t>MQ机器人测试线</t>
  </si>
  <si>
    <t>西南-川-202606045</t>
  </si>
  <si>
    <t>四川西昌韵达窄带</t>
  </si>
  <si>
    <t>西南-川-202607013</t>
  </si>
  <si>
    <t>四川成都郫县中通二部窄带</t>
  </si>
  <si>
    <t>西南-川-202607030</t>
  </si>
  <si>
    <t>四川达州宣汉申通窄带</t>
  </si>
  <si>
    <t>西南-鄂-202606046</t>
  </si>
  <si>
    <t>武汉江岸二七A区共派新增ocr</t>
  </si>
  <si>
    <t>西南-鄂-202606052</t>
  </si>
  <si>
    <t>武汉新竹路共派二期窄带</t>
  </si>
  <si>
    <t>西南-鄂-202606063</t>
  </si>
  <si>
    <t>武汉新竹路共配窄带一期改造</t>
  </si>
  <si>
    <t>西南-甘-202607011</t>
  </si>
  <si>
    <t>甘肃临夏永靖共配窄带</t>
  </si>
  <si>
    <t>西南-贵-202606036</t>
  </si>
  <si>
    <t>贵阳小河共派窄带</t>
  </si>
  <si>
    <t>西南-贵-202607024</t>
  </si>
  <si>
    <t>贵州毕节赫章申通窄带</t>
  </si>
  <si>
    <t>西南-贵-202607025</t>
  </si>
  <si>
    <t>贵州毕节赫章韵达窄带</t>
  </si>
  <si>
    <t>西南-贵-202607026</t>
  </si>
  <si>
    <t>贵州毕节赫章中通窄带</t>
  </si>
  <si>
    <t>西南-陕-202606035</t>
  </si>
  <si>
    <t>陕西咸阳三原共配窄带</t>
  </si>
  <si>
    <t>西南-陕-202606051</t>
  </si>
  <si>
    <t>陕西西安未央区和平申通窄带</t>
  </si>
  <si>
    <t>西南-陕-202606077</t>
  </si>
  <si>
    <t>西安风驰五仓交叉带项目续保</t>
  </si>
  <si>
    <t>西南-湘-202606055</t>
  </si>
  <si>
    <t>湖南汨罗共配窄带</t>
  </si>
  <si>
    <t>西南-湘-202606090</t>
  </si>
  <si>
    <t>湖南岳阳汨罗共配新增中通接口</t>
  </si>
  <si>
    <t>西南-湘-202607001</t>
  </si>
  <si>
    <t>湖南岳阳岳阳楼区共配环线</t>
  </si>
  <si>
    <t>西南-湘-202607004</t>
  </si>
  <si>
    <t>夷陵韵达网格仓增加极兔接口</t>
  </si>
  <si>
    <t>西南-新-202604092-1</t>
  </si>
  <si>
    <t>星络联达喀什分拨中心窄带辅线</t>
  </si>
  <si>
    <t>西南-新-202606039</t>
  </si>
  <si>
    <t>新疆阿拉尔极兔窄带</t>
  </si>
  <si>
    <t>西南-渝-202606038</t>
  </si>
  <si>
    <t>重庆高新区共配窄带增购</t>
  </si>
  <si>
    <t>西南-云-202606044</t>
  </si>
  <si>
    <t>云南普洱澜沧共配环线窄带</t>
  </si>
  <si>
    <t>西南-云-202606070</t>
  </si>
  <si>
    <t>云南保山申通直线安装</t>
  </si>
  <si>
    <t>KA-京-202604022B</t>
  </si>
  <si>
    <t>北京人形供包台定制项目滑槽改造</t>
  </si>
  <si>
    <t>海外-迪拜-202608003</t>
  </si>
  <si>
    <t>iMile迪拜快手设备</t>
  </si>
  <si>
    <t>海外-哥伦比亚-202608002</t>
  </si>
  <si>
    <t>iMile哥伦比亚皮带机</t>
  </si>
  <si>
    <t>海外-美国-202607006</t>
  </si>
  <si>
    <t>奥索斯美国ATL（亚特兰大）皮带机项目</t>
  </si>
  <si>
    <t>海外-美国-202607007</t>
  </si>
  <si>
    <t>奥索斯美国EWR（纽瓦克）皮带机项目</t>
  </si>
  <si>
    <t>海外-墨西哥-202607003</t>
  </si>
  <si>
    <t>iMile墨西哥备件2026</t>
  </si>
  <si>
    <t>海外-尼日利亚-202607004</t>
  </si>
  <si>
    <t>速达非备件采购2026A</t>
  </si>
  <si>
    <t>海外-尼日利亚-202607008</t>
  </si>
  <si>
    <t>速达非备件采购2026B</t>
  </si>
  <si>
    <t>海外-尼日利亚-202608001</t>
  </si>
  <si>
    <t>速达非备件采购2026C</t>
  </si>
  <si>
    <t>海外-香港-202607005</t>
  </si>
  <si>
    <t>香港HKTV青衣9F回流线增补</t>
  </si>
  <si>
    <t>华北-黑-202607050</t>
  </si>
  <si>
    <t>哈尔滨龙华路共配窄带</t>
  </si>
  <si>
    <t>华北-黑-202608014</t>
  </si>
  <si>
    <t>黑龙江绥化青冈共配窄带</t>
  </si>
  <si>
    <t>华北-冀-202506034WB</t>
  </si>
  <si>
    <t>固安申通搬迁维保费</t>
  </si>
  <si>
    <t>华北-冀-202603049JK</t>
  </si>
  <si>
    <t>保定容城中通mini错分系统</t>
  </si>
  <si>
    <t>华北-冀-202607035</t>
  </si>
  <si>
    <t>清河极兔二期环线</t>
  </si>
  <si>
    <t>华北-冀-202607063</t>
  </si>
  <si>
    <t>韵达廊坊交叉带自动供件项目辅线增补</t>
  </si>
  <si>
    <t>华北-冀-202607080</t>
  </si>
  <si>
    <t>保定望都极兔mini</t>
  </si>
  <si>
    <t>华北-冀-202607086</t>
  </si>
  <si>
    <t>邯郸永年韵达窄带</t>
  </si>
  <si>
    <t>华北-冀-202607093</t>
  </si>
  <si>
    <t>唐山极兔二层NC环线</t>
  </si>
  <si>
    <t>华北-冀-202607094</t>
  </si>
  <si>
    <t>廊坊文安共派环线</t>
  </si>
  <si>
    <t>华北-冀-202608013</t>
  </si>
  <si>
    <t>河北承德丰宁共配</t>
  </si>
  <si>
    <t>华北-津-202607045</t>
  </si>
  <si>
    <t>天津崔黄口申通NC环</t>
  </si>
  <si>
    <t>华北-晋-202607061</t>
  </si>
  <si>
    <t>吕梁孝义申通窄带</t>
  </si>
  <si>
    <t>华北-京-202607054</t>
  </si>
  <si>
    <t>北京金盏mini仅调试</t>
  </si>
  <si>
    <t>华北-辽-202607087</t>
  </si>
  <si>
    <t>抚顺新宾共派-取消</t>
  </si>
  <si>
    <t>华北-辽-202607097</t>
  </si>
  <si>
    <t>沈阳浑南白塔中通窄带</t>
  </si>
  <si>
    <t>华北-辽-202608003</t>
  </si>
  <si>
    <t>大连甘井子共派NCmini</t>
  </si>
  <si>
    <t>华北-蒙-202607053</t>
  </si>
  <si>
    <t>内蒙古牙克石韵达搬迁</t>
  </si>
  <si>
    <t>华北-蒙-202607059</t>
  </si>
  <si>
    <t>内蒙古满洲里申通搬迁</t>
  </si>
  <si>
    <t>华北-豫-202607038</t>
  </si>
  <si>
    <t>河南洛阳嵩县共配环线</t>
  </si>
  <si>
    <t>华北-豫-202607074</t>
  </si>
  <si>
    <t>周口鹿邑中通</t>
  </si>
  <si>
    <t>华北-豫-202607078</t>
  </si>
  <si>
    <t>河南新乡韵达</t>
  </si>
  <si>
    <t>华北-豫-202607090</t>
  </si>
  <si>
    <t>河南郑州荥阳极兔（仅调试）</t>
  </si>
  <si>
    <t>华东-鄂-202409007WB</t>
  </si>
  <si>
    <t>襄阳襄城营盘路共派维保费</t>
  </si>
  <si>
    <t>华东-冀-202209017JK</t>
  </si>
  <si>
    <t>邯郸永年圆通错分系统</t>
  </si>
  <si>
    <t>华东-鲁-202607020</t>
  </si>
  <si>
    <t>山东日照五莲共派环线</t>
  </si>
  <si>
    <t>华东-鲁-202607052</t>
  </si>
  <si>
    <t>枣庄市中区中通环线</t>
  </si>
  <si>
    <t>华东-鲁-202607055</t>
  </si>
  <si>
    <t>东营利津极兔窄带</t>
  </si>
  <si>
    <t>华东-鲁-202607064</t>
  </si>
  <si>
    <t>聊城茌平极兔环线</t>
  </si>
  <si>
    <t>华东-闽-202607043</t>
  </si>
  <si>
    <t>德化邮政搬迁</t>
  </si>
  <si>
    <t>华东-闽-202607095</t>
  </si>
  <si>
    <t>仙游共派三期窄带</t>
  </si>
  <si>
    <t>华东-闽-202607096</t>
  </si>
  <si>
    <t>漳州龙海澄东中通mini</t>
  </si>
  <si>
    <t>华东-苏-202607047</t>
  </si>
  <si>
    <t>苏州吴江平望韵达mini</t>
  </si>
  <si>
    <t>华东-苏-202607069</t>
  </si>
  <si>
    <t>泗洪韵达三期窄带</t>
  </si>
  <si>
    <t>华东-苏-202607077</t>
  </si>
  <si>
    <t>常熟极兔窄带改造调试</t>
  </si>
  <si>
    <t>华东-苏-202607084</t>
  </si>
  <si>
    <t>镇江丹徒地留仓环线</t>
  </si>
  <si>
    <t>华东-苏-202607091</t>
  </si>
  <si>
    <t>南通通州邮政君乐供包台</t>
  </si>
  <si>
    <t>华东-苏-202608002</t>
  </si>
  <si>
    <t>苏州平江路韵达直线系统对接</t>
  </si>
  <si>
    <t>华东-苏-202608011</t>
  </si>
  <si>
    <t>江苏无锡邮政环线</t>
  </si>
  <si>
    <t>华东-皖-202607051</t>
  </si>
  <si>
    <t>安徽芜湖弋江申通环线</t>
  </si>
  <si>
    <t>华东-皖-202607067</t>
  </si>
  <si>
    <t>合肥肥东申通环线</t>
  </si>
  <si>
    <t>华东-皖-202607068</t>
  </si>
  <si>
    <t>安徽宿州砀山圆通出港环线</t>
  </si>
  <si>
    <t>华东-皖-202607073</t>
  </si>
  <si>
    <t>安庆望江韵达窄带</t>
  </si>
  <si>
    <t>华东-皖-202607099</t>
  </si>
  <si>
    <t>安徽滁州申通环线改造</t>
  </si>
  <si>
    <t>华东-浙-202311020WB</t>
  </si>
  <si>
    <t>临平圆通进港维保费</t>
  </si>
  <si>
    <t>华东-浙-202604025-拆机</t>
  </si>
  <si>
    <t>乐清柳白申通窄带-拆机</t>
  </si>
  <si>
    <t>华东-浙-202607027</t>
  </si>
  <si>
    <t>杭州萧山开发区共配-环线</t>
  </si>
  <si>
    <t>华东-浙-202607027-1</t>
  </si>
  <si>
    <t>杭州萧山开发区共配-窄带</t>
  </si>
  <si>
    <t>华东-浙-202607058</t>
  </si>
  <si>
    <t>天鼎韵达NC环电控</t>
  </si>
  <si>
    <t>华东-浙-202607065</t>
  </si>
  <si>
    <t>杭州上城彭埠申通环线</t>
  </si>
  <si>
    <t>华东-浙-202607071</t>
  </si>
  <si>
    <t>嘉兴海盐极兔窄带（利旧柳白申通）</t>
  </si>
  <si>
    <t>华东-浙-202607072</t>
  </si>
  <si>
    <t>宁波鄞州百宁街极兔增补</t>
  </si>
  <si>
    <t>华东-浙-202607075</t>
  </si>
  <si>
    <t>杭州西溪顺丰窄带</t>
  </si>
  <si>
    <t>华东-浙-202607079</t>
  </si>
  <si>
    <t>北苑韵达三期搬迁</t>
  </si>
  <si>
    <t>华东-浙-202607098</t>
  </si>
  <si>
    <t>杭州义蓬韵达mini改造</t>
  </si>
  <si>
    <t>华东-浙-202608005</t>
  </si>
  <si>
    <t>义乌科技园极兔</t>
  </si>
  <si>
    <t>华南-赣-202607062</t>
  </si>
  <si>
    <t>江西宜春中通二期环线</t>
  </si>
  <si>
    <t>华南-桂-202607089</t>
  </si>
  <si>
    <t>荔浦中通直线调试</t>
  </si>
  <si>
    <t>华南-冀-202405010WB</t>
  </si>
  <si>
    <t>高阳中通二期搬迁改造维保费</t>
  </si>
  <si>
    <t>华南-蒙-202403010WB</t>
  </si>
  <si>
    <t>包头圆通大件窄带维保费</t>
  </si>
  <si>
    <t>华南-粤-202408024WB</t>
  </si>
  <si>
    <t>谢岗共派窄带维保费</t>
  </si>
  <si>
    <t>华南-粤-202502018WB</t>
  </si>
  <si>
    <t>横沥极兔维保费</t>
  </si>
  <si>
    <t>华南-粤-202502019WB</t>
  </si>
  <si>
    <t>横沥圆通维保费</t>
  </si>
  <si>
    <t>华南-粤-202505034WB</t>
  </si>
  <si>
    <t>中山东凤共派窄带维保费</t>
  </si>
  <si>
    <t>华南-粤-202508038/华南-粤-202508038</t>
  </si>
  <si>
    <t>华南-粤-202511037WB</t>
  </si>
  <si>
    <t>广东湛江廉江申通改造维保费</t>
  </si>
  <si>
    <t>华南-粤-202607048</t>
  </si>
  <si>
    <t>广东深圳万邦常平仓数据对接</t>
  </si>
  <si>
    <t>华南-粤-202607060</t>
  </si>
  <si>
    <t>深圳福永韵达搬迁</t>
  </si>
  <si>
    <t>华南-粤-202607083</t>
  </si>
  <si>
    <t>深圳布吉极兔窄带</t>
  </si>
  <si>
    <t>华南-粤-202607088</t>
  </si>
  <si>
    <t>东莞清溪极兔环线</t>
  </si>
  <si>
    <t>华南-粤-202607092</t>
  </si>
  <si>
    <t>湛江雷州极兔窄带</t>
  </si>
  <si>
    <t>华南-粤-202608004</t>
  </si>
  <si>
    <t>中山学校实训用机mini</t>
  </si>
  <si>
    <t>华南-云-202212009WB</t>
  </si>
  <si>
    <t>云南曲靖申通维保费</t>
  </si>
  <si>
    <t>西南-鄂-202607044</t>
  </si>
  <si>
    <t>荆州沙市mini环改造</t>
  </si>
  <si>
    <t>西南-贵-202607046</t>
  </si>
  <si>
    <t>贵州长顺共配窄带</t>
  </si>
  <si>
    <t>西南-贵-202607049</t>
  </si>
  <si>
    <t>贵州晴隆共配窄带</t>
  </si>
  <si>
    <t>西南-宁-202607066</t>
  </si>
  <si>
    <t>宁夏银川北民大申通增加韵达接口</t>
  </si>
  <si>
    <t>西南-青-202607085</t>
  </si>
  <si>
    <t>青海西宁城西共配窄带</t>
  </si>
  <si>
    <t>西南-陕-202607057</t>
  </si>
  <si>
    <t>陕西延安甘泉韵达分拨中心</t>
  </si>
  <si>
    <t>西南-陕-202607082</t>
  </si>
  <si>
    <t>陕西大荔韵达调试（利旧西安高新韵达直线）</t>
  </si>
  <si>
    <t>西南-陕-202608001</t>
  </si>
  <si>
    <t>陕西铜川耀州申通窄带</t>
  </si>
  <si>
    <t>西南-湘-202607056</t>
  </si>
  <si>
    <t>湖南汨罗共配环线供包台角度改造</t>
  </si>
  <si>
    <t>西南-新-202607081</t>
  </si>
  <si>
    <t>新疆阿克苏极兔二期环线</t>
  </si>
  <si>
    <t>西南-新-202608006</t>
  </si>
  <si>
    <t>新疆库车极兔新增三方对接韵达</t>
  </si>
  <si>
    <t>西南-渝-202607040</t>
  </si>
  <si>
    <t>重庆大学城共配三期</t>
  </si>
  <si>
    <t>西南-云-202607033</t>
  </si>
  <si>
    <t>云南曲靖圆通二期窄带增购</t>
  </si>
  <si>
    <t>西南-云-202607070</t>
  </si>
  <si>
    <t>云南曲靖韵达环线换供包台</t>
  </si>
  <si>
    <t>西南-云-202607076</t>
  </si>
  <si>
    <t>云南鹤庆共派窄带</t>
  </si>
  <si>
    <t>西南-云-202608009</t>
  </si>
  <si>
    <t>云南昭通威信共配窄带</t>
  </si>
  <si>
    <t>新兴-泰国-202608008</t>
  </si>
  <si>
    <t>泰国2026年第三季度备件</t>
  </si>
  <si>
    <t>2026RD06</t>
  </si>
  <si>
    <t>2026年mini3D播种墙研发</t>
  </si>
  <si>
    <t>CGWX023</t>
  </si>
  <si>
    <t>驰能</t>
  </si>
  <si>
    <t>KA-京-202604022A</t>
  </si>
  <si>
    <t>北京人形供包台定制项目增补</t>
  </si>
  <si>
    <t>KA-京-202604022C</t>
  </si>
  <si>
    <t>北京人形供包回流线项目</t>
  </si>
  <si>
    <t>KA-京-202606001A</t>
  </si>
  <si>
    <t>第五纪增购定制供包台</t>
  </si>
  <si>
    <t>KA-京-202606001B</t>
  </si>
  <si>
    <t>第五纪增购定制供包台（二次）</t>
  </si>
  <si>
    <t>KA-粤-202605001A</t>
  </si>
  <si>
    <t>优必选供包台增购</t>
  </si>
  <si>
    <t>海外-巴西-202608004</t>
  </si>
  <si>
    <t>iMile巴西BA1窄带集成项目</t>
  </si>
  <si>
    <t>海外-巴西-202608005</t>
  </si>
  <si>
    <t>iMile巴西SP4窄带集成项目</t>
  </si>
  <si>
    <t>海外-巴西-202608012</t>
  </si>
  <si>
    <t>iMile巴西配件（202609批次）</t>
  </si>
  <si>
    <t>海外-俄罗斯-202608007</t>
  </si>
  <si>
    <t>海外-菜鸟3D播种墙-俄罗斯WB</t>
  </si>
  <si>
    <t>海外-美国-202608006</t>
  </si>
  <si>
    <t>奥索斯美国LAX六面扫DWS+快手项目</t>
  </si>
  <si>
    <t>海外-美国-202608010</t>
  </si>
  <si>
    <t>奥索斯美国LAX项目</t>
  </si>
  <si>
    <t>海外-尼日利亚-202608011</t>
  </si>
  <si>
    <t>速达非备件采购2026D</t>
  </si>
  <si>
    <t>海外-沙特-202608008</t>
  </si>
  <si>
    <t>iMile沙特钢扣配件</t>
  </si>
  <si>
    <t>海外-沙特-202608013</t>
  </si>
  <si>
    <t>iMile沙特手持称重设备</t>
  </si>
  <si>
    <t>海外-香港-202608009</t>
  </si>
  <si>
    <t>香港HKTV上水窄带项目</t>
  </si>
  <si>
    <t>华北-黑-202505004JK</t>
  </si>
  <si>
    <t>哈尔滨南岗中通环线错分报警系统</t>
  </si>
  <si>
    <t>华北-黑-202608044</t>
  </si>
  <si>
    <t>哈尔滨香坊申通云仓环线</t>
  </si>
  <si>
    <t>华北-冀-202604047-拆机</t>
  </si>
  <si>
    <t>保定北三环共派窄带-拆机</t>
  </si>
  <si>
    <t>华北-冀-202608040</t>
  </si>
  <si>
    <t>河北雄安安新邮政mini</t>
  </si>
  <si>
    <t>华北-冀-202608041</t>
  </si>
  <si>
    <t>石家庄永壁邮政mini</t>
  </si>
  <si>
    <t>华北-冀-202608042</t>
  </si>
  <si>
    <t>衡水故城极兔（仅调试）</t>
  </si>
  <si>
    <t>华北-冀-202608057</t>
  </si>
  <si>
    <t>衡水枣强大营中通（仅调试）</t>
  </si>
  <si>
    <t>华北-冀-202608058</t>
  </si>
  <si>
    <t>涿州申通窄带</t>
  </si>
  <si>
    <t>华北-冀-202608066</t>
  </si>
  <si>
    <t>河北邯郸涉县共派二期环线</t>
  </si>
  <si>
    <t>华北-冀-202608067</t>
  </si>
  <si>
    <t>廊坊三河极兔新增圆通接口</t>
  </si>
  <si>
    <t>华北-冀-202609038</t>
  </si>
  <si>
    <t>阜城共派窄带仅调试</t>
  </si>
  <si>
    <t>华北-冀-202609043</t>
  </si>
  <si>
    <t>河北承德兴隆邮政窄带</t>
  </si>
  <si>
    <t>华北-津-202608031</t>
  </si>
  <si>
    <t>天津静海圆通搬迁（仅调试）</t>
  </si>
  <si>
    <t>华北-津-202608048</t>
  </si>
  <si>
    <t>天津滨海新区韵达mini仅调试</t>
  </si>
  <si>
    <t>华北-晋-202609021</t>
  </si>
  <si>
    <t>山西运城夏县共派</t>
  </si>
  <si>
    <t>华北-晋-202609025</t>
  </si>
  <si>
    <t>山西吕梁临县极兔窄带</t>
  </si>
  <si>
    <t>华北-京-202608034</t>
  </si>
  <si>
    <t>北京大兴龙腾共派搬迁加大</t>
  </si>
  <si>
    <t>华北-京-202608068</t>
  </si>
  <si>
    <t>北京庞各庄共派增加圆通接口</t>
  </si>
  <si>
    <t>华北-京-202608070</t>
  </si>
  <si>
    <t>北京金顶街改造自动供包</t>
  </si>
  <si>
    <t>华北-京-202609016</t>
  </si>
  <si>
    <t>北京义和庄共派窄带加大</t>
  </si>
  <si>
    <t>华北-辽-202608027</t>
  </si>
  <si>
    <t>辽宁抚顺韵达二期mini增购格口电气</t>
  </si>
  <si>
    <t>华北-辽-202608054</t>
  </si>
  <si>
    <t>辽宁沈阳皇姑共派相机改五面扫</t>
  </si>
  <si>
    <t>华北-辽-202609006</t>
  </si>
  <si>
    <t>辽宁锦州凌海极兔窄带</t>
  </si>
  <si>
    <t>华北-蒙-202608059</t>
  </si>
  <si>
    <t>内蒙鄂尔多斯圆通改造</t>
  </si>
  <si>
    <t>华北-苏-202608033</t>
  </si>
  <si>
    <t>2026申通网络大会设备展示</t>
  </si>
  <si>
    <t>华北-豫-202608022</t>
  </si>
  <si>
    <t>商水邮政仅调试</t>
  </si>
  <si>
    <t>华北-豫-202608071</t>
  </si>
  <si>
    <t>临颍极兔</t>
  </si>
  <si>
    <t>华北-豫-202608072</t>
  </si>
  <si>
    <t>南乐极兔</t>
  </si>
  <si>
    <t>华北-豫-202609014</t>
  </si>
  <si>
    <t>河南安阳林州中通环线</t>
  </si>
  <si>
    <t>华东-川-202008011JK</t>
  </si>
  <si>
    <t>乐山圆通错分报警系统</t>
  </si>
  <si>
    <t>华东-沪-202608056</t>
  </si>
  <si>
    <t>上海华新申通增购供包台</t>
  </si>
  <si>
    <t>华东-沪-202608064</t>
  </si>
  <si>
    <t>上海青浦源盟申通窄带</t>
  </si>
  <si>
    <t>华东-冀-202608018</t>
  </si>
  <si>
    <t>石家庄灵寿县极兔窄带</t>
  </si>
  <si>
    <t>华东-冀-202608019</t>
  </si>
  <si>
    <t>河北邯郸武安共派二期新增圆通接口</t>
  </si>
  <si>
    <t>华东-鲁-202604044-拆机</t>
  </si>
  <si>
    <t>胶州极兔窄带-拆机</t>
  </si>
  <si>
    <t>华东-鲁-202608045</t>
  </si>
  <si>
    <t>潍坊寿光邮政窄带</t>
  </si>
  <si>
    <t>华东-鲁-202608050</t>
  </si>
  <si>
    <t>山东济宁任城区极兔环线</t>
  </si>
  <si>
    <t>华东-鲁-202608060</t>
  </si>
  <si>
    <t>潍坊寿光极兔窄带</t>
  </si>
  <si>
    <t>华东-闽-202608015</t>
  </si>
  <si>
    <t>厦门华闽韵达mini搬迁</t>
  </si>
  <si>
    <t>华东-闽-202608023</t>
  </si>
  <si>
    <t>武平圆通接口</t>
  </si>
  <si>
    <t>华东-闽-202608046</t>
  </si>
  <si>
    <t>漳州漳浦共派二期窄带</t>
  </si>
  <si>
    <t>华东-闽-202609045</t>
  </si>
  <si>
    <t>泉州东海中通三期mini</t>
  </si>
  <si>
    <t>华东-苏-202602006拆机</t>
  </si>
  <si>
    <t>泗洪韵达mini拆机</t>
  </si>
  <si>
    <t>华东-苏-202608020</t>
  </si>
  <si>
    <t>君乐供包台木板</t>
  </si>
  <si>
    <t>华东-苏-202608039</t>
  </si>
  <si>
    <t>苏州望亭发出场地NCmini</t>
  </si>
  <si>
    <t>华东-苏-202608065</t>
  </si>
  <si>
    <t>镇江丹徒共配窄带</t>
  </si>
  <si>
    <t>华东-苏-202609013</t>
  </si>
  <si>
    <t>南京江宁新润路韵达窄带</t>
  </si>
  <si>
    <t>华东-苏-202609027</t>
  </si>
  <si>
    <t>无锡江阴申港共配窄带</t>
  </si>
  <si>
    <t>华东-苏-202609042</t>
  </si>
  <si>
    <t>平江路韵达改造调试</t>
  </si>
  <si>
    <t>华东-皖-202608037</t>
  </si>
  <si>
    <t>淮南寿县申通窄带</t>
  </si>
  <si>
    <t>华东-皖-202608047</t>
  </si>
  <si>
    <t>安徽阜阳圆通三期环线</t>
  </si>
  <si>
    <t>华东-皖-202609015</t>
  </si>
  <si>
    <t>合肥巢湖申通云仓环线</t>
  </si>
  <si>
    <t>华东-皖-202609032</t>
  </si>
  <si>
    <t>池州东至大渡口韵达</t>
  </si>
  <si>
    <t>华东-皖-202609033</t>
  </si>
  <si>
    <t>安徽滁州圆通环线</t>
  </si>
  <si>
    <t>华东-皖-202609034</t>
  </si>
  <si>
    <t>安徽蚌埠佰利申通窄带</t>
  </si>
  <si>
    <t>华东-渝-202403004WB</t>
  </si>
  <si>
    <t>余杭搬迁至重庆渝北仓维保费</t>
  </si>
  <si>
    <t>华东-浙-202608021</t>
  </si>
  <si>
    <t>金华稠江丰网增购纠偏</t>
  </si>
  <si>
    <t>华东-浙-202608024</t>
  </si>
  <si>
    <t>金华婺城十八里中通环线</t>
  </si>
  <si>
    <t>华东-浙-202608025</t>
  </si>
  <si>
    <t>杭州城北邮政搬迁改造</t>
  </si>
  <si>
    <t>华东-浙-202608043</t>
  </si>
  <si>
    <t>北苑韵达搬迁增补</t>
  </si>
  <si>
    <t>华东-浙-202608055</t>
  </si>
  <si>
    <t>金东苏家爱华分拣仓环线</t>
  </si>
  <si>
    <t>华东-浙-202608062</t>
  </si>
  <si>
    <t>金东亚飞电商分拣仓</t>
  </si>
  <si>
    <t>华东-浙-202609001</t>
  </si>
  <si>
    <t>台州临海城东极兔</t>
  </si>
  <si>
    <t>华东-浙-202609018</t>
  </si>
  <si>
    <t>温州平阳万海极兔环线</t>
  </si>
  <si>
    <t>华东-浙-202609022</t>
  </si>
  <si>
    <t>绍兴越城袍江极兔环线</t>
  </si>
  <si>
    <t>华东-浙-202609030</t>
  </si>
  <si>
    <t>临海圆通二期环线</t>
  </si>
  <si>
    <t>华东-浙-202609037</t>
  </si>
  <si>
    <t>鄞州共派增购相机</t>
  </si>
  <si>
    <t>华南-滇-202304011WB</t>
  </si>
  <si>
    <t>云南曲靖韵达维保费</t>
  </si>
  <si>
    <t>华南-赣-202608035</t>
  </si>
  <si>
    <t>江西萍乡邮政环线</t>
  </si>
  <si>
    <t>华南-赣-202608049</t>
  </si>
  <si>
    <t>江西南昌小蓝极兔二期环线（加二层）</t>
  </si>
  <si>
    <t>华南-赣-202609019</t>
  </si>
  <si>
    <t>南昌县小蓝圆通二期环线</t>
  </si>
  <si>
    <t>华南-贵-202302024WB</t>
  </si>
  <si>
    <t>贵阳云岩共派（直线）维保费</t>
  </si>
  <si>
    <t>华南-桂-202609011</t>
  </si>
  <si>
    <t>广西浦北中通搬迁改造&amp;广西灵山中通加大改造</t>
  </si>
  <si>
    <t>华南-桂-202609024</t>
  </si>
  <si>
    <t>广西横县申通窄带</t>
  </si>
  <si>
    <t>华南-桂-202609026</t>
  </si>
  <si>
    <t>广西横县韵达窄带</t>
  </si>
  <si>
    <t>华南-桂-202609049</t>
  </si>
  <si>
    <t>广西平南邮政环线窄带</t>
  </si>
  <si>
    <t>华南-粤-202304009WB</t>
  </si>
  <si>
    <t>里水极兔维保费</t>
  </si>
  <si>
    <t>华南-粤-202506003WB</t>
  </si>
  <si>
    <t>湛江徐闻极兔窄带维保费</t>
  </si>
  <si>
    <t>华南-粤-202506005WB</t>
  </si>
  <si>
    <t>湛江坡头极兔窄带维保费</t>
  </si>
  <si>
    <t>华南-粤-202608026</t>
  </si>
  <si>
    <t>深圳龙岗宝龙极兔窄带</t>
  </si>
  <si>
    <t>华南-粤-202608029</t>
  </si>
  <si>
    <t>汕头金平申通NC环增补</t>
  </si>
  <si>
    <t>华南-粤-202608032</t>
  </si>
  <si>
    <t>中山古镇韵达直线（利旧沙溪韵达）</t>
  </si>
  <si>
    <t>华南-粤-202608051</t>
  </si>
  <si>
    <t>惠州大亚湾极兔环线</t>
  </si>
  <si>
    <t>华南-粤-202608053</t>
  </si>
  <si>
    <t>普宁占陇退件仓对接快宝</t>
  </si>
  <si>
    <t>华南-粤-202608063</t>
  </si>
  <si>
    <t>东莞风暴云仓环线搬迁</t>
  </si>
  <si>
    <t>华南-粤-202608069</t>
  </si>
  <si>
    <t>三角邮政/公明邮政搬迁指导安装调试</t>
  </si>
  <si>
    <t>华南-粤-202609004</t>
  </si>
  <si>
    <t>广东惠州秋长极兔环线</t>
  </si>
  <si>
    <t>华南-粤-202609029</t>
  </si>
  <si>
    <t>深圳韵达清溪仓NCmini环</t>
  </si>
  <si>
    <t>华南-粤-202609035</t>
  </si>
  <si>
    <t>广州大源退货仓mini增补</t>
  </si>
  <si>
    <t>其他-美国-202608001</t>
  </si>
  <si>
    <t>美国SUYOU项目电滚筒</t>
  </si>
  <si>
    <t>其他-粤-202607001A</t>
  </si>
  <si>
    <t>MQ机器人测试线增购</t>
  </si>
  <si>
    <t>西南-鄂-202609005</t>
  </si>
  <si>
    <t>湖北荆门钟祥极兔窄带</t>
  </si>
  <si>
    <t>西南-鄂-202609020</t>
  </si>
  <si>
    <t>宜昌枝江申通窄带</t>
  </si>
  <si>
    <t>西南-甘-202608028</t>
  </si>
  <si>
    <t>甘肃张掖山丹共配窄带</t>
  </si>
  <si>
    <t>西南-贵-202609002</t>
  </si>
  <si>
    <t>贵州德江共配窄带</t>
  </si>
  <si>
    <t>西南-贵-202609007</t>
  </si>
  <si>
    <t>贵州遵义汇川申通窄带</t>
  </si>
  <si>
    <t>西南-陕-202608030</t>
  </si>
  <si>
    <t>陕西联储仓项目碳刷增补</t>
  </si>
  <si>
    <t>西南-陕-202608061</t>
  </si>
  <si>
    <t>西安宇培仓直线碳刷增补</t>
  </si>
  <si>
    <t>西南-陕-202609003</t>
  </si>
  <si>
    <t>陕西汉中韵达窄带</t>
  </si>
  <si>
    <t>西南-陕-202609017</t>
  </si>
  <si>
    <t>陕西安康旬阳邮政环线</t>
  </si>
  <si>
    <t>西南-陕-202609028</t>
  </si>
  <si>
    <t>陕西西安风驰五仓配件增购&amp;西安长安配件增补</t>
  </si>
  <si>
    <t>西南-陕-202609041</t>
  </si>
  <si>
    <t>陕西西安jp分拣中心增购</t>
  </si>
  <si>
    <t>西南-湘-202609010</t>
  </si>
  <si>
    <t>长沙县水卫士出港仓环线</t>
  </si>
  <si>
    <t>西南-渝-202609031</t>
  </si>
  <si>
    <t>重庆渝北邮政</t>
  </si>
  <si>
    <t>西南-云-202608007</t>
  </si>
  <si>
    <t>云南昌宁共派窄带</t>
  </si>
  <si>
    <t>西南-云-202608038</t>
  </si>
  <si>
    <t>26年昆明分拨自动供件测试项目</t>
  </si>
  <si>
    <t>新兴-苏-202609009</t>
  </si>
  <si>
    <t>江苏逸祥宝应工厂标品装车线</t>
  </si>
  <si>
    <t>新兴-粤-202608016</t>
  </si>
  <si>
    <t>广州中通云仓3楼NC环增补</t>
  </si>
  <si>
    <t>新兴-浙-202608017</t>
  </si>
  <si>
    <t>义乌金华中通云仓转运中心</t>
  </si>
  <si>
    <t>直接人工</t>
  </si>
  <si>
    <t>0805</t>
  </si>
  <si>
    <t>0002</t>
  </si>
  <si>
    <t>艮业_董事长</t>
  </si>
  <si>
    <t>社保</t>
  </si>
  <si>
    <t>0806</t>
  </si>
  <si>
    <t>对应发票</t>
  </si>
  <si>
    <t>0003</t>
  </si>
  <si>
    <t>艮业_生态战略中心</t>
  </si>
  <si>
    <t>广州骏业智能科技有限公司</t>
  </si>
  <si>
    <t>公积金</t>
  </si>
  <si>
    <t>0807</t>
  </si>
  <si>
    <t>航空运输（中国）</t>
  </si>
  <si>
    <t>CLLX001</t>
  </si>
  <si>
    <t>机票</t>
  </si>
  <si>
    <t>飞机票纸质或者电子行程单</t>
  </si>
  <si>
    <t>0003-0001</t>
  </si>
  <si>
    <t>艮业_产业园项目部</t>
  </si>
  <si>
    <t>广州艮业信息科技有限公司海宁分公司</t>
  </si>
  <si>
    <t>1030</t>
  </si>
  <si>
    <t>铁路车票（中国）</t>
  </si>
  <si>
    <t>CLLX002</t>
  </si>
  <si>
    <t>火车票</t>
  </si>
  <si>
    <t>取票机的报销凭证（蓝色硬质纸票），人口售票口的票据，电子铁路客票</t>
  </si>
  <si>
    <t>0004</t>
  </si>
  <si>
    <t>艮业_营销中心</t>
  </si>
  <si>
    <t>凌跃科技（嘉兴）有限公司</t>
  </si>
  <si>
    <t>应付职工工资</t>
  </si>
  <si>
    <t>CI001</t>
  </si>
  <si>
    <t>其他运输票</t>
  </si>
  <si>
    <t>卷式出租车发票、流水针式打印路桥费，定额水陆发票，手撕地铁、公交、出租车等运输发票</t>
  </si>
  <si>
    <t>0004-0001</t>
  </si>
  <si>
    <t>艮业_国内销售部</t>
  </si>
  <si>
    <t>广州汇佳机械设备有限公司</t>
  </si>
  <si>
    <t>社会保险费</t>
  </si>
  <si>
    <t>CI002</t>
  </si>
  <si>
    <t>其他取得电子普票的旅客运输（中国）</t>
  </si>
  <si>
    <t>CLLX004</t>
  </si>
  <si>
    <t>电子普通发票、纸质普通发票（只有红色一联，电子票有普通发票字样）</t>
  </si>
  <si>
    <t>0004-0001-0001</t>
  </si>
  <si>
    <t>艮业_商务部</t>
  </si>
  <si>
    <t>佛山坎业科技有限公司</t>
  </si>
  <si>
    <t>住房公积金</t>
  </si>
  <si>
    <t>CI003</t>
  </si>
  <si>
    <t>住宿费</t>
  </si>
  <si>
    <t>CLLX005</t>
  </si>
  <si>
    <t>增值税发票</t>
  </si>
  <si>
    <t>增值税专用发票（纸质票有绿色联和红色联，电子票有专用发票字样）</t>
  </si>
  <si>
    <t>0004-0001-0002</t>
  </si>
  <si>
    <t>艮业_华南大区</t>
  </si>
  <si>
    <t>芜湖领航智能设备有限公司</t>
  </si>
  <si>
    <t>职工福利费</t>
  </si>
  <si>
    <t>CI004</t>
  </si>
  <si>
    <t>其他费用</t>
  </si>
  <si>
    <t>CLLX006</t>
  </si>
  <si>
    <t>手写收据、手写收条、付款截图、医院收据、政府基金收据</t>
  </si>
  <si>
    <t>0004-0001-0002-0001</t>
  </si>
  <si>
    <t>艮业_粤西省区</t>
  </si>
  <si>
    <t>差旅费</t>
  </si>
  <si>
    <t>CI005</t>
  </si>
  <si>
    <t>0004-0001-0002-0002</t>
  </si>
  <si>
    <t>艮业_粤东省区</t>
  </si>
  <si>
    <t>CI005.01</t>
  </si>
  <si>
    <t>0004-0001-0002-0003</t>
  </si>
  <si>
    <t>艮业_琼桂省区</t>
  </si>
  <si>
    <t>铁路费</t>
  </si>
  <si>
    <t>CI005.02</t>
  </si>
  <si>
    <t>0004-0001-0002-0004</t>
  </si>
  <si>
    <t>艮业_江西省区</t>
  </si>
  <si>
    <t>机票费</t>
  </si>
  <si>
    <t>CI005.03</t>
  </si>
  <si>
    <t>0004-0001-0003</t>
  </si>
  <si>
    <t>艮业_华东大区</t>
  </si>
  <si>
    <t>0004-0001-0003-0001</t>
  </si>
  <si>
    <t>艮业_安徽省区</t>
  </si>
  <si>
    <t>差旅费-其他费用</t>
  </si>
  <si>
    <t>CI005.05</t>
  </si>
  <si>
    <t>0004-0001-0003-0002</t>
  </si>
  <si>
    <t>艮业_江苏省区</t>
  </si>
  <si>
    <t>出差补贴</t>
  </si>
  <si>
    <t>CI005.06</t>
  </si>
  <si>
    <t>0004-0001-0003-0003</t>
  </si>
  <si>
    <t>艮业_山东省区</t>
  </si>
  <si>
    <t>车辆费用</t>
  </si>
  <si>
    <t>CI006</t>
  </si>
  <si>
    <t>0004-0001-0003-0004</t>
  </si>
  <si>
    <t>艮业_福建省区</t>
  </si>
  <si>
    <t>0004-0001-0003-0005</t>
  </si>
  <si>
    <t>艮业_浙沪省区</t>
  </si>
  <si>
    <t>路桥费</t>
  </si>
  <si>
    <t>CI006.02</t>
  </si>
  <si>
    <t>0004-0001-0004</t>
  </si>
  <si>
    <t>艮业_西南大区</t>
  </si>
  <si>
    <t>停车费</t>
  </si>
  <si>
    <t>CI006.03</t>
  </si>
  <si>
    <t>0004-0001-0004-0001</t>
  </si>
  <si>
    <t>艮业_云贵省区</t>
  </si>
  <si>
    <t>车辆维修及保养</t>
  </si>
  <si>
    <t>CI006.04</t>
  </si>
  <si>
    <t>0004-0001-0004-0002</t>
  </si>
  <si>
    <t>艮业_西北省区</t>
  </si>
  <si>
    <t>车辆保险费</t>
  </si>
  <si>
    <t>CI006.05</t>
  </si>
  <si>
    <t>0004-0001-0004-0003</t>
  </si>
  <si>
    <t>艮业_川渝省区</t>
  </si>
  <si>
    <t>租车费</t>
  </si>
  <si>
    <t>CI006.07</t>
  </si>
  <si>
    <t>0004-0001-0004-0004</t>
  </si>
  <si>
    <t>艮业_湘鄂省区</t>
  </si>
  <si>
    <t>办公费用</t>
  </si>
  <si>
    <t>CI007</t>
  </si>
  <si>
    <t>0004-0001-0005</t>
  </si>
  <si>
    <t>艮业_华北大区</t>
  </si>
  <si>
    <t>提成及奖金</t>
  </si>
  <si>
    <t>CI008</t>
  </si>
  <si>
    <t>0004-0001-0005-0001</t>
  </si>
  <si>
    <t>艮业_东三省一组</t>
  </si>
  <si>
    <t>修理费</t>
  </si>
  <si>
    <t>CI009</t>
  </si>
  <si>
    <t>0004-0001-0005-0002</t>
  </si>
  <si>
    <t>艮业_京津冀省区</t>
  </si>
  <si>
    <t>租赁费</t>
  </si>
  <si>
    <t>CI010</t>
  </si>
  <si>
    <t>0004-0001-0005-0003</t>
  </si>
  <si>
    <t>艮业_晋豫省区</t>
  </si>
  <si>
    <t>董事会费用</t>
  </si>
  <si>
    <t>CI011</t>
  </si>
  <si>
    <t>0004-0001-0005-0004</t>
  </si>
  <si>
    <t>艮业_东三省区</t>
  </si>
  <si>
    <t>工会经费</t>
  </si>
  <si>
    <t>CI012</t>
  </si>
  <si>
    <t>0004-0002</t>
  </si>
  <si>
    <t>艮业_运营部</t>
  </si>
  <si>
    <t>职工教育经费</t>
  </si>
  <si>
    <t>CI013</t>
  </si>
  <si>
    <t>0004-0002-0001</t>
  </si>
  <si>
    <t>艮业_数据组</t>
  </si>
  <si>
    <t>无形资产摊销</t>
  </si>
  <si>
    <t>CI014</t>
  </si>
  <si>
    <t>0004-0002-0002</t>
  </si>
  <si>
    <t>艮业_运营组</t>
  </si>
  <si>
    <t>商业保险费</t>
  </si>
  <si>
    <t>CI015</t>
  </si>
  <si>
    <t>0004-0003</t>
  </si>
  <si>
    <t>艮业_市场部</t>
  </si>
  <si>
    <t>研发支出</t>
  </si>
  <si>
    <t>CI017</t>
  </si>
  <si>
    <t>0004-0004</t>
  </si>
  <si>
    <t>艮业_KA销售部</t>
  </si>
  <si>
    <t>诉讼费</t>
  </si>
  <si>
    <t>CI018</t>
  </si>
  <si>
    <t>0005</t>
  </si>
  <si>
    <t>艮业_创新业务中心</t>
  </si>
  <si>
    <t>物业管理费</t>
  </si>
  <si>
    <t>CI019</t>
  </si>
  <si>
    <t>0005-0001</t>
  </si>
  <si>
    <t>艮业_综合部</t>
  </si>
  <si>
    <t>水电费</t>
  </si>
  <si>
    <t>CI020</t>
  </si>
  <si>
    <t>0005-0001-0001</t>
  </si>
  <si>
    <t>艮业_商务项目组</t>
  </si>
  <si>
    <t>劳动保护费</t>
  </si>
  <si>
    <t>CI021</t>
  </si>
  <si>
    <t>0005-0002</t>
  </si>
  <si>
    <t>艮业_3D sorter 实施部</t>
  </si>
  <si>
    <t>业务招待费</t>
  </si>
  <si>
    <t>CI022</t>
  </si>
  <si>
    <t>0005-0003</t>
  </si>
  <si>
    <t>艮业_研发生产部</t>
  </si>
  <si>
    <t>折旧费用</t>
  </si>
  <si>
    <t>CI023</t>
  </si>
  <si>
    <t>0005-0003-0001</t>
  </si>
  <si>
    <t>艮业_研发组</t>
  </si>
  <si>
    <t>通讯费</t>
  </si>
  <si>
    <t>CI024</t>
  </si>
  <si>
    <t>0005-0003-0001-0001</t>
  </si>
  <si>
    <t>艮业_工控</t>
  </si>
  <si>
    <t>离职补偿</t>
  </si>
  <si>
    <t>CI026</t>
  </si>
  <si>
    <t>0005-0003-0001-0002</t>
  </si>
  <si>
    <t>艮业_软件</t>
  </si>
  <si>
    <t>劳务费</t>
  </si>
  <si>
    <t>CI027</t>
  </si>
  <si>
    <t>0005-0003-0001-0003</t>
  </si>
  <si>
    <t>艮业_设计</t>
  </si>
  <si>
    <t>材料</t>
  </si>
  <si>
    <t>CI028</t>
  </si>
  <si>
    <t>0007</t>
  </si>
  <si>
    <t>艮业_海外业务中心</t>
  </si>
  <si>
    <t>服务费</t>
  </si>
  <si>
    <t>CI030</t>
  </si>
  <si>
    <t>0007-0001</t>
  </si>
  <si>
    <t>艮业_CB部</t>
  </si>
  <si>
    <t>招聘费</t>
  </si>
  <si>
    <t>CI031</t>
  </si>
  <si>
    <t>0007-0001-0001</t>
  </si>
  <si>
    <t>艮业_外协组</t>
  </si>
  <si>
    <t>专利费</t>
  </si>
  <si>
    <t>CI032</t>
  </si>
  <si>
    <t>0007-0001-0002</t>
  </si>
  <si>
    <t>艮业_业务组</t>
  </si>
  <si>
    <t>招标费用</t>
  </si>
  <si>
    <t>CI034</t>
  </si>
  <si>
    <t>0007-0001-0002-0001</t>
  </si>
  <si>
    <t>艮业_技术支持</t>
  </si>
  <si>
    <t>装卸费</t>
  </si>
  <si>
    <t>CI036</t>
  </si>
  <si>
    <t>0007-0001-0002-0001-0001</t>
  </si>
  <si>
    <t>艮业_集成</t>
  </si>
  <si>
    <t>运费</t>
  </si>
  <si>
    <t>CI039</t>
  </si>
  <si>
    <t>0007-0001-0002-0001-0002</t>
  </si>
  <si>
    <t>艮业_规划</t>
  </si>
  <si>
    <t>卫生费</t>
  </si>
  <si>
    <t>CI040</t>
  </si>
  <si>
    <t>0007-0001-0002-0002</t>
  </si>
  <si>
    <t>艮业_供应链管理</t>
  </si>
  <si>
    <t>装修费</t>
  </si>
  <si>
    <t>CI041</t>
  </si>
  <si>
    <t>0007-0001-0002-0003</t>
  </si>
  <si>
    <t>艮业_销售</t>
  </si>
  <si>
    <t>展览费</t>
  </si>
  <si>
    <t>CI043</t>
  </si>
  <si>
    <t>0007-0001-0003</t>
  </si>
  <si>
    <t>艮业_项目组</t>
  </si>
  <si>
    <t>待处理流动资产损益</t>
  </si>
  <si>
    <t>CI044</t>
  </si>
  <si>
    <t>0007-0001-0003-0001</t>
  </si>
  <si>
    <t>艮业_售后管理</t>
  </si>
  <si>
    <t>残保金</t>
  </si>
  <si>
    <t>CI048</t>
  </si>
  <si>
    <t>0007-0001-0003-0002</t>
  </si>
  <si>
    <t>艮业_项目管理</t>
  </si>
  <si>
    <t>低值易耗品</t>
  </si>
  <si>
    <t>CI049</t>
  </si>
  <si>
    <t>0007-0002</t>
  </si>
  <si>
    <t>艮业_沙特分部</t>
  </si>
  <si>
    <t>报关费用</t>
  </si>
  <si>
    <t>CI050</t>
  </si>
  <si>
    <t>0007-0002-0001</t>
  </si>
  <si>
    <t>业务宣传费</t>
  </si>
  <si>
    <t>CI052</t>
  </si>
  <si>
    <t>0007-0002-0002</t>
  </si>
  <si>
    <t>艮业_售后组</t>
  </si>
  <si>
    <t>委外研发费</t>
  </si>
  <si>
    <t>CI053</t>
  </si>
  <si>
    <t>0007-0003</t>
  </si>
  <si>
    <t>艮业_墨西哥分部</t>
  </si>
  <si>
    <t>服务推广费</t>
  </si>
  <si>
    <t>CI054</t>
  </si>
  <si>
    <t>0007-0003-0001</t>
  </si>
  <si>
    <t>广告费</t>
  </si>
  <si>
    <t>CI057</t>
  </si>
  <si>
    <t>0007-0003-0002</t>
  </si>
  <si>
    <t>样机</t>
  </si>
  <si>
    <t>CI058</t>
  </si>
  <si>
    <t>0007-0004</t>
  </si>
  <si>
    <t>艮业_巴西分部</t>
  </si>
  <si>
    <t>会议费</t>
  </si>
  <si>
    <t>CI059</t>
  </si>
  <si>
    <t>0007-0004-0001</t>
  </si>
  <si>
    <t>年检/审计费</t>
  </si>
  <si>
    <t>CI060</t>
  </si>
  <si>
    <t>0007-0004-0002</t>
  </si>
  <si>
    <t>0007-0005</t>
  </si>
  <si>
    <t>艮业_北美分部</t>
  </si>
  <si>
    <t>0007-0005-0001</t>
  </si>
  <si>
    <t>0007-0005-0002</t>
  </si>
  <si>
    <t>0008</t>
  </si>
  <si>
    <t>艮业_技术研发中心</t>
  </si>
  <si>
    <t>0008-0001</t>
  </si>
  <si>
    <t>艮业_智能分拣研发一部</t>
  </si>
  <si>
    <t>0008-0001-0001</t>
  </si>
  <si>
    <t>艮业_综合应用组</t>
  </si>
  <si>
    <t>0008-0001-0002</t>
  </si>
  <si>
    <t>艮业_自动供包组</t>
  </si>
  <si>
    <t>0008-0001-0003</t>
  </si>
  <si>
    <t>艮业_分拣算法组</t>
  </si>
  <si>
    <t>0008-0002</t>
  </si>
  <si>
    <t>艮业_智能分拣研发二部</t>
  </si>
  <si>
    <t>0008-0002-0001</t>
  </si>
  <si>
    <t>0008-0002-0002</t>
  </si>
  <si>
    <t>0008-0002-0003</t>
  </si>
  <si>
    <t>0008-0003</t>
  </si>
  <si>
    <t>艮业_智能分拣研发三部</t>
  </si>
  <si>
    <t>0008-0003-0001</t>
  </si>
  <si>
    <t>艮业_智能研发组</t>
  </si>
  <si>
    <t>0008-0004</t>
  </si>
  <si>
    <t>艮业_电气研发部</t>
  </si>
  <si>
    <t>0008-0004-0001</t>
  </si>
  <si>
    <t>0008-0004-0002</t>
  </si>
  <si>
    <t>艮业_设计组</t>
  </si>
  <si>
    <t>0008-0005</t>
  </si>
  <si>
    <t>艮业_智能研发设计部</t>
  </si>
  <si>
    <t>0008-0006</t>
  </si>
  <si>
    <t>艮业_规划设计部</t>
  </si>
  <si>
    <t>0008-0006-0001</t>
  </si>
  <si>
    <t>艮业_审图拆图</t>
  </si>
  <si>
    <t>0008-0006-0002</t>
  </si>
  <si>
    <t>艮业_搬迁改造</t>
  </si>
  <si>
    <t>0008-0006-0003</t>
  </si>
  <si>
    <t>艮业_华东区&amp;华北区</t>
  </si>
  <si>
    <t>0008-0006-0004</t>
  </si>
  <si>
    <t>艮业_华南区&amp;西南区</t>
  </si>
  <si>
    <t>0008-0007</t>
  </si>
  <si>
    <t>艮业_产学研部</t>
  </si>
  <si>
    <t>0008-0008</t>
  </si>
  <si>
    <t>艮业_数智化部</t>
  </si>
  <si>
    <t>0008-0008-0001</t>
  </si>
  <si>
    <t>艮业_数据信息研发组</t>
  </si>
  <si>
    <t>0008-0008-0002</t>
  </si>
  <si>
    <t>艮业_数字化系统组</t>
  </si>
  <si>
    <t>0008-0008-0002-0001</t>
  </si>
  <si>
    <t>艮业_销售财务系统</t>
  </si>
  <si>
    <t>0008-0008-0002-0002</t>
  </si>
  <si>
    <t>艮业_研发管理系统</t>
  </si>
  <si>
    <t>0008-0008-0003</t>
  </si>
  <si>
    <t>艮业_数字化产品组</t>
  </si>
  <si>
    <t>0009</t>
  </si>
  <si>
    <t>艮业_供应链中心</t>
  </si>
  <si>
    <t>0009-0001</t>
  </si>
  <si>
    <t>艮业_采购部</t>
  </si>
  <si>
    <t>0009-0001-0001</t>
  </si>
  <si>
    <t>艮业_核算组</t>
  </si>
  <si>
    <t>0009-0001-0001-0001</t>
  </si>
  <si>
    <t>0009-0001-0001-0002</t>
  </si>
  <si>
    <t>艮业_电气规划组</t>
  </si>
  <si>
    <t>0009-0001-0001-0003</t>
  </si>
  <si>
    <t>艮业_规划设计组</t>
  </si>
  <si>
    <t>0009-0001-0002</t>
  </si>
  <si>
    <t>艮业_采购组</t>
  </si>
  <si>
    <t>0009-0002</t>
  </si>
  <si>
    <t>艮业_项目管理部</t>
  </si>
  <si>
    <t>0009-0002-0001</t>
  </si>
  <si>
    <t>艮业_项目机电组</t>
  </si>
  <si>
    <t>0009-0002-0002</t>
  </si>
  <si>
    <t>艮业_环线华北组</t>
  </si>
  <si>
    <t>0009-0002-0002-0001</t>
  </si>
  <si>
    <t>艮业_项目1组（沪苏皖区域）</t>
  </si>
  <si>
    <t>0009-0002-0002-0002</t>
  </si>
  <si>
    <t>艮业_项目2组（黑吉辽蒙东区域）</t>
  </si>
  <si>
    <t>0009-0002-0002-0003</t>
  </si>
  <si>
    <t>艮业_项目3组（陕甘宁青新蒙西区域）</t>
  </si>
  <si>
    <t>0009-0002-0003</t>
  </si>
  <si>
    <t>艮业_直线华东组</t>
  </si>
  <si>
    <t>0009-0002-0003-0001</t>
  </si>
  <si>
    <t>艮业_项目1组</t>
  </si>
  <si>
    <t>0009-0002-0003-0002</t>
  </si>
  <si>
    <t>艮业_项目2组</t>
  </si>
  <si>
    <t>0009-0002-0004</t>
  </si>
  <si>
    <t>艮业_直线华南组</t>
  </si>
  <si>
    <t>0009-0002-0004-0001</t>
  </si>
  <si>
    <t>0009-0002-0004-0002</t>
  </si>
  <si>
    <t>0009-0002-0005</t>
  </si>
  <si>
    <t>艮业_环线华南组</t>
  </si>
  <si>
    <t>0009-0002-0005-0001</t>
  </si>
  <si>
    <t>0009-0002-0005-0002</t>
  </si>
  <si>
    <t>0009-0002-0006</t>
  </si>
  <si>
    <t>艮业_环线华中组</t>
  </si>
  <si>
    <t>0009-0002-0006-0001</t>
  </si>
  <si>
    <t>0009-0002-0006-0002</t>
  </si>
  <si>
    <t>0009-0002-0007</t>
  </si>
  <si>
    <t>艮业_综合业务组</t>
  </si>
  <si>
    <t>0009-0002-0008</t>
  </si>
  <si>
    <t>艮业_标准组</t>
  </si>
  <si>
    <t>0009-0002-0009</t>
  </si>
  <si>
    <t>艮业_直线华中组</t>
  </si>
  <si>
    <t>0009-0002-0009-0001</t>
  </si>
  <si>
    <t>0009-0003</t>
  </si>
  <si>
    <t>艮业_仓管部</t>
  </si>
  <si>
    <t>0009-0003-0001</t>
  </si>
  <si>
    <t>艮业_坎业骏业组</t>
  </si>
  <si>
    <t>0009-0003-0002</t>
  </si>
  <si>
    <t>艮业_艮业售后组</t>
  </si>
  <si>
    <t>0009-0004</t>
  </si>
  <si>
    <t>艮业_非标核算部</t>
  </si>
  <si>
    <t>0009-0004-0001</t>
  </si>
  <si>
    <t>艮业_电气评估组</t>
  </si>
  <si>
    <t>0009-0004-0002</t>
  </si>
  <si>
    <t>艮业_电气维修组</t>
  </si>
  <si>
    <t>0009-0004-0003</t>
  </si>
  <si>
    <t>艮业_机械评估组</t>
  </si>
  <si>
    <t>0009-0005</t>
  </si>
  <si>
    <t>艮业_品质部</t>
  </si>
  <si>
    <t>0013</t>
  </si>
  <si>
    <t>艮业_财务管理中心</t>
  </si>
  <si>
    <t>0013-0001</t>
  </si>
  <si>
    <t>艮业_会计核算部</t>
  </si>
  <si>
    <t>0013-0002</t>
  </si>
  <si>
    <t>艮业_财务管理部</t>
  </si>
  <si>
    <t>0013-0003</t>
  </si>
  <si>
    <t>艮业_财务BP部</t>
  </si>
  <si>
    <t>0013-0004</t>
  </si>
  <si>
    <t>艮业_资金部</t>
  </si>
  <si>
    <t>0014</t>
  </si>
  <si>
    <t>艮业_总经办</t>
  </si>
  <si>
    <t>0015</t>
  </si>
  <si>
    <t>艮业_人事行政中心</t>
  </si>
  <si>
    <t>0015-0001</t>
  </si>
  <si>
    <t>艮业_人力资源共享服务中心（SSC）</t>
  </si>
  <si>
    <t>0015-0002</t>
  </si>
  <si>
    <t>艮业_培训发展部</t>
  </si>
  <si>
    <t>0015-0003</t>
  </si>
  <si>
    <t>艮业_人力资源专家中心（COE）</t>
  </si>
  <si>
    <t>0015-0004</t>
  </si>
  <si>
    <t>艮业_人力资源业务合作伙伴（BP）</t>
  </si>
  <si>
    <t>0015-0005</t>
  </si>
  <si>
    <t>艮业_行政部</t>
  </si>
  <si>
    <t>0019</t>
  </si>
  <si>
    <t>艮业_研发设计中心</t>
  </si>
  <si>
    <t>0009-0002-0010</t>
  </si>
  <si>
    <t>艮业_自动供包专项组</t>
  </si>
  <si>
    <t>0009-0002-0011</t>
  </si>
  <si>
    <t>艮业_培训组</t>
  </si>
  <si>
    <t>0009-0002-0012</t>
  </si>
  <si>
    <t>艮业_KA组</t>
  </si>
  <si>
    <t>0020</t>
  </si>
  <si>
    <t>艮业_售后服务中心</t>
  </si>
  <si>
    <t>0020-0001</t>
  </si>
  <si>
    <t>艮业_综合管理部</t>
  </si>
  <si>
    <t>0004-0001-0006</t>
  </si>
  <si>
    <t>艮业_新兴业务组</t>
  </si>
  <si>
    <t>0005-0004</t>
  </si>
  <si>
    <t>0005-0005</t>
  </si>
  <si>
    <t>艮业_销售部</t>
  </si>
  <si>
    <t>0007-0001-0003-0003</t>
  </si>
  <si>
    <t>艮业_安装交付</t>
  </si>
  <si>
    <t>0007-0001-0003-0004</t>
  </si>
  <si>
    <t>艮业_综合支持</t>
  </si>
  <si>
    <t>0008-0001-0004</t>
  </si>
  <si>
    <t>艮业_视觉算法组</t>
  </si>
  <si>
    <t>0008-0005-0001</t>
  </si>
  <si>
    <t>艮业_产品化组</t>
  </si>
  <si>
    <t>0008-0005-0002</t>
  </si>
  <si>
    <t>艮业_文档组</t>
  </si>
  <si>
    <t>0008-0005-0003</t>
  </si>
  <si>
    <t>艮业_新产品组</t>
  </si>
  <si>
    <t>0008-0009</t>
  </si>
  <si>
    <t>艮业_专家组</t>
  </si>
  <si>
    <t>0009-0001-0002-0001</t>
  </si>
  <si>
    <t>艮业_集采</t>
  </si>
  <si>
    <t>0009-0001-0002-0002</t>
  </si>
  <si>
    <t>艮业_海外</t>
  </si>
  <si>
    <t>0009-0001-0003</t>
  </si>
  <si>
    <t>艮业_非标评估&amp;标准电气组</t>
  </si>
  <si>
    <t>0009-0002-0013</t>
  </si>
  <si>
    <t>艮业_项目实施部</t>
  </si>
  <si>
    <t>0009-0002-0013-0001</t>
  </si>
  <si>
    <t>0022</t>
  </si>
  <si>
    <t>艮业_质检部</t>
  </si>
  <si>
    <t>0005-0006</t>
  </si>
  <si>
    <t>艮业-制造四部</t>
  </si>
  <si>
    <t>0023</t>
  </si>
  <si>
    <t>艮业_总经理</t>
  </si>
  <si>
    <t>0005-0001-0002</t>
  </si>
  <si>
    <t>0009-0001-0002-0003</t>
  </si>
  <si>
    <t>艮业_业务</t>
  </si>
  <si>
    <t>0009-0001-0004</t>
  </si>
  <si>
    <t>艮业_仓管组</t>
  </si>
  <si>
    <t>0009-0001-0004-0001</t>
  </si>
  <si>
    <t>0009-0001-0004-0002</t>
  </si>
  <si>
    <t>艮业_艮业&amp;凌跃</t>
  </si>
  <si>
    <t>0007-0001-0004</t>
  </si>
  <si>
    <t>广州艮业信息科技有限公司_技术组</t>
  </si>
  <si>
    <t>0008-0010</t>
  </si>
  <si>
    <t>广州艮业信息科技有限公司_智能分拣研发二部</t>
  </si>
  <si>
    <t>0008-0010-0001</t>
  </si>
  <si>
    <t>广州艮业信息科技有限公司_工控组</t>
  </si>
  <si>
    <t>0008-0010-0002</t>
  </si>
  <si>
    <t>广州艮业信息科技有限公司_软件组</t>
  </si>
  <si>
    <t>0008-0010-0003</t>
  </si>
  <si>
    <t>广州艮业信息科技有限公司_设计组</t>
  </si>
  <si>
    <t>0008-0010-0004</t>
  </si>
  <si>
    <t>广州艮业信息科技有限公司_产品支持组</t>
  </si>
  <si>
    <t>0008-0011</t>
  </si>
  <si>
    <t>广州艮业信息科技有限公司_海外业务中心技术组</t>
  </si>
  <si>
    <t>0009-0002-0014</t>
  </si>
  <si>
    <t>安装交付部</t>
  </si>
  <si>
    <t>0004-0005</t>
  </si>
  <si>
    <t>广州艮业信息科技有限公司_规划设计部</t>
  </si>
  <si>
    <t>0009-0002-0003-0003</t>
  </si>
  <si>
    <t>广州艮业信息科技有限公司_苏（南）浙（北）沪皖省区</t>
  </si>
  <si>
    <t>0009-0002-0003-0004</t>
  </si>
  <si>
    <t>广州艮业信息科技有限公司_鲁苏（北）省区</t>
  </si>
  <si>
    <t>0009-0002-0004-0003</t>
  </si>
  <si>
    <t>广州艮业信息科技有限公司_广东省区</t>
  </si>
  <si>
    <t>0009-0002-0004-0004</t>
  </si>
  <si>
    <t>广州艮业信息科技有限公司_琼桂赣省区</t>
  </si>
  <si>
    <t>0009-0002-0004-0005</t>
  </si>
  <si>
    <t>广州艮业信息科技有限公司_闽浙（南）省区</t>
  </si>
  <si>
    <t>0009-0002-0009-0002</t>
  </si>
  <si>
    <t>广州艮业信息科技有限公司_西北省区</t>
  </si>
  <si>
    <t>0009-0002-0009-0003</t>
  </si>
  <si>
    <t>广州艮业信息科技有限公司_云贵川渝省区</t>
  </si>
  <si>
    <t>0009-0002-0009-0004</t>
  </si>
  <si>
    <t>广州艮业信息科技有限公司_湘鄂省区</t>
  </si>
  <si>
    <t>0009-0002-0013-0002</t>
  </si>
  <si>
    <t>广州艮业信息科技有限公司_华北交付一大区</t>
  </si>
  <si>
    <t>0009-0002-0013-0002-0001</t>
  </si>
  <si>
    <t>广州艮业信息科技有限公司_京津冀蒙省区</t>
  </si>
  <si>
    <t>0009-0002-0013-0003</t>
  </si>
  <si>
    <t>广州艮业信息科技有限公司_华北交付二大区</t>
  </si>
  <si>
    <t>0009-0002-0013-0003-0001</t>
  </si>
  <si>
    <t>广州艮业信息科技有限公司_东北省区</t>
  </si>
  <si>
    <t>0009-0002-0013-0003-0002</t>
  </si>
  <si>
    <t>广州艮业信息科技有限公司_晋豫省区</t>
  </si>
  <si>
    <t>0004-0005-0001</t>
  </si>
  <si>
    <t>艮业_规划设计部_华东区&amp;华北区</t>
  </si>
  <si>
    <t>0004-0005-0002</t>
  </si>
  <si>
    <t>艮业_规划设计部_华南区&amp;西南区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</si>
</sst>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"/>
    <numFmt numFmtId="165" formatCode="yyyy/mm/dd;@"/>
    <numFmt numFmtId="166" formatCode="0.00_);[Red]\(0.00\)"/>
  </numFmts>
  <fonts count="1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1"/>
      <color rgb="FF000000"/>
      <name val="等线"/>
    </font>
    <font>
      <sz val="12"/>
      <color rgb="FF000000"/>
      <name val="等线"/>
    </font>
    <font>
      <b/>
      <sz val="11"/>
      <color rgb="FFFF0000"/>
      <name val="等线"/>
    </font>
    <font>
      <u/>
      <sz val="11"/>
      <color rgb="FF0563C1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u/>
      <sz val="11"/>
      <color theme="10"/>
      <name val="等线"/>
    </font>
    <font>
      <u/>
      <sz val="11"/>
      <color theme="10"/>
      <name val="等线"/>
    </font>
  </fonts>
  <fills count="17">
    <fill>
      <patternFill patternType="none"/>
    </fill>
    <fill>
      <patternFill patternType="gray125"/>
    </fill>
    <fill>
      <patternFill patternType="solid">
        <fgColor rgb="FF339966"/>
      </patternFill>
    </fill>
    <fill>
      <patternFill patternType="solid">
        <fgColor rgb="FFFFFF00"/>
      </patternFill>
    </fill>
    <fill>
      <patternFill patternType="solid">
        <fgColor rgb="FFBDD6EE"/>
      </patternFill>
    </fill>
    <fill>
      <patternFill patternType="solid">
        <fgColor rgb="FFFFF2CB"/>
      </patternFill>
    </fill>
    <fill>
      <patternFill patternType="solid">
        <fgColor rgb="FFFF0000"/>
      </patternFill>
    </fill>
    <fill>
      <patternFill patternType="solid">
        <fgColor rgb="FFDADADA"/>
      </patternFill>
    </fill>
    <fill>
      <patternFill patternType="solid">
        <fgColor rgb="FFFBE4D5"/>
      </patternFill>
    </fill>
    <fill>
      <patternFill patternType="solid">
        <fgColor rgb="FFD8D8D8"/>
      </patternFill>
    </fill>
    <fill>
      <patternFill patternType="solid">
        <fgColor rgb="FF92D050"/>
      </patternFill>
    </fill>
    <fill>
      <patternFill patternType="solid">
        <fgColor rgb="FFF2F2F2"/>
      </patternFill>
    </fill>
    <fill>
      <patternFill patternType="solid">
        <fgColor rgb="FFC00000"/>
      </patternFill>
    </fill>
    <fill>
      <patternFill patternType="solid">
        <fgColor rgb="FFA8D08D"/>
      </patternFill>
    </fill>
    <fill>
      <patternFill patternType="solid">
        <fgColor rgb="FF99CCFF"/>
      </patternFill>
    </fill>
    <fill>
      <patternFill patternType="solid">
        <fgColor rgb="FFD0CECE"/>
      </patternFill>
    </fill>
    <fill>
      <patternFill patternType="solid">
        <fgColor rgb="FFE7E6E6"/>
      </patternFill>
    </fill>
  </fills>
  <borders count="1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74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2" borderId="0" xfId="0" applyFont="1" applyFill="1">
      <alignment horizontal="general" vertical="bottom"/>
    </xf>
    <xf numFmtId="0" fontId="4" fillId="3" borderId="1" xfId="0" applyFont="1" applyFill="1" applyBorder="1" applyProtection="1">
      <alignment horizontal="general" vertical="bottom"/>
    </xf>
    <xf numFmtId="0" fontId="4" fillId="3" borderId="2" xfId="0" applyFont="1" applyFill="1" applyBorder="1" applyProtection="1">
      <alignment horizontal="general" vertical="bottom"/>
    </xf>
    <xf numFmtId="0" fontId="4" fillId="0" borderId="0" xfId="0" applyFont="1">
      <alignment horizontal="general" vertical="center"/>
    </xf>
    <xf numFmtId="0" fontId="4" fillId="3" borderId="3" xfId="0" applyFont="1" applyFill="1" applyBorder="1" applyProtection="1">
      <alignment horizontal="general" vertical="bottom"/>
    </xf>
    <xf numFmtId="0" fontId="4" fillId="3" borderId="4" xfId="0" applyFont="1" applyFill="1" applyBorder="1" applyProtection="1">
      <alignment horizontal="general" vertical="bottom"/>
    </xf>
    <xf numFmtId="0" fontId="4" fillId="0" borderId="3" xfId="0" applyFont="1" applyBorder="1" applyProtection="1">
      <alignment horizontal="general" vertical="center"/>
    </xf>
    <xf numFmtId="0" fontId="4" fillId="0" borderId="4" xfId="0" applyFont="1" applyBorder="1" applyProtection="1">
      <alignment horizontal="general" vertical="center" wrapText="1"/>
    </xf>
    <xf numFmtId="0" fontId="4" fillId="0" borderId="5" xfId="0" applyFont="1" applyBorder="1" applyProtection="1">
      <alignment horizontal="general" vertical="center"/>
    </xf>
    <xf numFmtId="0" fontId="4" fillId="0" borderId="6" xfId="0" applyFont="1" applyBorder="1" applyProtection="1">
      <alignment horizontal="general" vertical="center" wrapText="1"/>
    </xf>
    <xf numFmtId="0" fontId="4" fillId="0" borderId="0" xfId="0" applyFont="1">
      <alignment horizontal="general" vertical="center"/>
    </xf>
    <xf numFmtId="0" fontId="4" fillId="0" borderId="0" xfId="0" applyFont="1">
      <alignment horizontal="general" vertical="center"/>
    </xf>
    <xf numFmtId="0" fontId="4" fillId="0" borderId="0" xfId="0" applyFont="1">
      <alignment horizontal="general" vertical="center"/>
    </xf>
    <xf numFmtId="0" fontId="5" fillId="0" borderId="0" xfId="0" applyFont="1">
      <alignment horizontal="general" vertical="center"/>
    </xf>
    <xf numFmtId="0" fontId="5" fillId="0" borderId="0" xfId="0" applyFont="1">
      <alignment horizontal="general" vertical="center"/>
    </xf>
    <xf numFmtId="0" fontId="4" fillId="0" borderId="0" xfId="0" applyFont="1">
      <alignment horizontal="general" vertical="center"/>
    </xf>
    <xf numFmtId="0" fontId="4" fillId="0" borderId="0" xfId="0" applyFont="1">
      <alignment horizontal="general" vertical="center" wrapText="1"/>
      <protection locked="0"/>
    </xf>
    <xf numFmtId="0" fontId="4" fillId="2" borderId="0" xfId="0" applyFont="1" applyFill="1">
      <alignment horizontal="general" vertical="bottom"/>
      <protection locked="0"/>
    </xf>
    <xf numFmtId="0" fontId="4" fillId="4" borderId="0" xfId="0" applyFont="1" applyFill="1">
      <alignment horizontal="general" vertical="center"/>
      <protection locked="0"/>
    </xf>
    <xf numFmtId="0" fontId="4" fillId="5" borderId="0" xfId="0" applyFont="1" applyFill="1">
      <alignment horizontal="general" vertical="center"/>
      <protection locked="0"/>
    </xf>
    <xf numFmtId="0" fontId="4" fillId="6" borderId="0" xfId="0" applyFont="1" applyFill="1">
      <alignment horizontal="general" vertical="center"/>
      <protection locked="0"/>
    </xf>
    <xf numFmtId="0" fontId="4" fillId="0" borderId="0" xfId="0" applyFont="1">
      <alignment horizontal="general" vertical="center"/>
      <protection locked="0"/>
    </xf>
    <xf numFmtId="0" fontId="4" fillId="7" borderId="0" xfId="0" applyFont="1" applyFill="1">
      <alignment horizontal="general" vertical="center"/>
    </xf>
    <xf numFmtId="0" fontId="4" fillId="7" borderId="0" xfId="0" applyFont="1" applyFill="1">
      <alignment horizontal="general" vertical="center"/>
      <protection locked="0"/>
    </xf>
    <xf numFmtId="164" fontId="4" fillId="0" borderId="0" xfId="0" applyNumberFormat="1" applyFont="1">
      <alignment horizontal="general" vertical="center"/>
      <protection locked="0"/>
    </xf>
    <xf numFmtId="0" fontId="4" fillId="8" borderId="0" xfId="0" applyFont="1" applyFill="1">
      <alignment horizontal="general" vertical="center" wrapText="1"/>
      <protection locked="0"/>
    </xf>
    <xf numFmtId="0" fontId="6" fillId="5" borderId="0" xfId="0" applyFont="1" applyFill="1">
      <alignment horizontal="general" vertical="center" wrapText="1"/>
    </xf>
    <xf numFmtId="0" fontId="4" fillId="5" borderId="0" xfId="0" applyFont="1" applyFill="1">
      <alignment horizontal="general" vertical="center" wrapText="1"/>
      <protection locked="0"/>
    </xf>
    <xf numFmtId="164" fontId="4" fillId="0" borderId="0" xfId="0" applyNumberFormat="1" applyFont="1">
      <alignment horizontal="general" vertical="center" wrapText="1"/>
      <protection locked="0"/>
    </xf>
    <xf numFmtId="0" fontId="4" fillId="0" borderId="0" xfId="0" applyFont="1">
      <alignment horizontal="general" vertical="center" wrapText="1"/>
    </xf>
    <xf numFmtId="0" fontId="4" fillId="0" borderId="0" xfId="0" applyFont="1">
      <alignment horizontal="general" vertical="bottom" wrapText="1"/>
      <protection locked="0"/>
    </xf>
    <xf numFmtId="0" fontId="4" fillId="9" borderId="0" xfId="0" applyFont="1" applyFill="1">
      <alignment horizontal="general" vertical="center" wrapText="1"/>
      <protection locked="0"/>
    </xf>
    <xf numFmtId="0" fontId="4" fillId="10" borderId="0" xfId="0" applyFont="1" applyFill="1">
      <alignment horizontal="center" vertical="center" wrapText="1"/>
      <protection locked="0"/>
    </xf>
    <xf numFmtId="0" fontId="4" fillId="11" borderId="0" xfId="0" applyFont="1" applyFill="1">
      <alignment horizontal="center" vertical="center" wrapText="1"/>
      <protection locked="0"/>
    </xf>
    <xf numFmtId="0" fontId="4" fillId="12" borderId="0" xfId="0" applyFont="1" applyFill="1">
      <alignment horizontal="center" vertical="center" wrapText="1"/>
      <protection locked="0"/>
    </xf>
    <xf numFmtId="0" fontId="4" fillId="9" borderId="0" xfId="0" applyFont="1" applyFill="1">
      <alignment horizontal="center" vertical="center" wrapText="1"/>
      <protection locked="0"/>
    </xf>
    <xf numFmtId="0" fontId="4" fillId="13" borderId="0" xfId="0" applyFont="1" applyFill="1">
      <alignment horizontal="general" vertical="center" wrapText="1"/>
      <protection locked="0"/>
    </xf>
    <xf numFmtId="0" fontId="4" fillId="7" borderId="0" xfId="0" applyFont="1" applyFill="1">
      <alignment horizontal="general" vertical="center" wrapText="1"/>
    </xf>
    <xf numFmtId="0" fontId="4" fillId="7" borderId="0" xfId="0" applyFont="1" applyFill="1">
      <alignment horizontal="general" vertical="center" wrapText="1"/>
      <protection locked="0"/>
    </xf>
    <xf numFmtId="0" fontId="4" fillId="10" borderId="0" xfId="0" applyFont="1" applyFill="1">
      <alignment horizontal="general" vertical="center" wrapText="1"/>
      <protection locked="0"/>
    </xf>
    <xf numFmtId="0" fontId="4" fillId="14" borderId="0" xfId="0" applyFont="1" applyFill="1">
      <alignment horizontal="general" vertical="bottom"/>
    </xf>
    <xf numFmtId="164" fontId="4" fillId="2" borderId="0" xfId="0" applyNumberFormat="1" applyFont="1" applyFill="1">
      <alignment horizontal="general" vertical="bottom"/>
      <protection locked="0"/>
    </xf>
    <xf numFmtId="0" fontId="7" fillId="2" borderId="0" xfId="0" applyFont="1" applyFill="1">
      <alignment horizontal="general" vertical="bottom"/>
      <protection locked="0"/>
    </xf>
    <xf numFmtId="0" fontId="4" fillId="4" borderId="0" xfId="0" applyFont="1" applyFill="1">
      <alignment horizontal="general" vertical="center"/>
    </xf>
    <xf numFmtId="14" fontId="4" fillId="4" borderId="0" xfId="0" applyNumberFormat="1" applyFont="1" applyFill="1">
      <alignment horizontal="general" vertical="center"/>
    </xf>
    <xf numFmtId="49" fontId="4" fillId="4" borderId="0" xfId="0" applyNumberFormat="1" applyFont="1" applyFill="1">
      <alignment horizontal="general" vertical="center"/>
      <protection locked="0"/>
    </xf>
    <xf numFmtId="0" fontId="4" fillId="15" borderId="7" xfId="0" applyFont="1" applyFill="1" applyBorder="1" applyProtection="1">
      <alignment horizontal="general" vertical="center"/>
    </xf>
    <xf numFmtId="165" fontId="4" fillId="4" borderId="0" xfId="0" applyNumberFormat="1" applyFont="1" applyFill="1">
      <alignment horizontal="general" vertical="center"/>
      <protection locked="0"/>
    </xf>
    <xf numFmtId="0" fontId="4" fillId="15" borderId="7" xfId="0" applyFont="1" applyFill="1" applyBorder="1" applyProtection="1">
      <alignment horizontal="general" vertical="center"/>
      <protection locked="0"/>
    </xf>
    <xf numFmtId="164" fontId="4" fillId="4" borderId="0" xfId="0" applyNumberFormat="1" applyFont="1" applyFill="1">
      <alignment horizontal="general" vertical="bottom"/>
      <protection locked="0"/>
    </xf>
    <xf numFmtId="166" fontId="4" fillId="4" borderId="0" xfId="0" applyNumberFormat="1" applyFont="1" applyFill="1">
      <alignment horizontal="general" vertical="bottom"/>
    </xf>
    <xf numFmtId="0" fontId="4" fillId="5" borderId="7" xfId="0" applyFont="1" applyFill="1" applyBorder="1" applyProtection="1">
      <alignment horizontal="general" vertical="center"/>
      <protection locked="0"/>
    </xf>
    <xf numFmtId="49" fontId="4" fillId="5" borderId="0" xfId="0" applyNumberFormat="1" applyFont="1" applyFill="1">
      <alignment horizontal="general" vertical="center"/>
      <protection locked="0"/>
    </xf>
    <xf numFmtId="0" fontId="4" fillId="5" borderId="8" xfId="0" applyFont="1" applyFill="1" applyBorder="1" applyProtection="1">
      <alignment horizontal="general" vertical="center"/>
      <protection locked="0"/>
    </xf>
    <xf numFmtId="165" fontId="4" fillId="5" borderId="7" xfId="0" applyNumberFormat="1" applyFont="1" applyFill="1" applyBorder="1" applyProtection="1">
      <alignment horizontal="general" vertical="center"/>
      <protection locked="0"/>
    </xf>
    <xf numFmtId="0" fontId="4" fillId="5" borderId="9" xfId="0" applyFont="1" applyFill="1" applyBorder="1" applyProtection="1">
      <alignment horizontal="general" vertical="center"/>
      <protection locked="0"/>
    </xf>
    <xf numFmtId="164" fontId="4" fillId="5" borderId="7" xfId="0" applyNumberFormat="1" applyFont="1" applyFill="1" applyBorder="1" applyProtection="1">
      <alignment horizontal="general" vertical="bottom"/>
      <protection locked="0"/>
    </xf>
    <xf numFmtId="0" fontId="4" fillId="16" borderId="7" xfId="0" applyFont="1" applyFill="1" applyBorder="1" applyProtection="1">
      <alignment horizontal="general" vertical="center"/>
    </xf>
    <xf numFmtId="166" fontId="4" fillId="16" borderId="7" xfId="0" applyNumberFormat="1" applyFont="1" applyFill="1" applyBorder="1" applyProtection="1">
      <alignment horizontal="general" vertical="bottom"/>
    </xf>
    <xf numFmtId="164" fontId="4" fillId="5" borderId="7" xfId="0" applyNumberFormat="1" applyFont="1" applyFill="1" applyBorder="1" applyProtection="1">
      <alignment horizontal="general" vertical="center"/>
      <protection locked="0"/>
    </xf>
    <xf numFmtId="0" fontId="4" fillId="6" borderId="0" xfId="0" applyFont="1" applyFill="1">
      <alignment horizontal="general" vertical="center"/>
    </xf>
    <xf numFmtId="164" fontId="4" fillId="6" borderId="0" xfId="0" applyNumberFormat="1" applyFont="1" applyFill="1">
      <alignment horizontal="general" vertical="center"/>
      <protection locked="0"/>
    </xf>
    <xf numFmtId="166" fontId="4" fillId="6" borderId="0" xfId="0" applyNumberFormat="1" applyFont="1" applyFill="1">
      <alignment horizontal="general" vertical="bottom"/>
    </xf>
    <xf numFmtId="0" fontId="4" fillId="0" borderId="0" xfId="0" applyFont="1">
      <alignment horizontal="general" vertical="bottom"/>
    </xf>
    <xf numFmtId="0" fontId="8" fillId="13" borderId="0" xfId="0" applyFont="1" applyFill="1">
      <alignment horizontal="general" vertical="center" wrapText="1"/>
      <protection locked="0"/>
    </xf>
    <xf numFmtId="0" fontId="9" fillId="13" borderId="0" xfId="0" applyFont="1" applyFill="1">
      <alignment horizontal="general" vertical="center" wrapText="1"/>
      <protection locked="0"/>
    </xf>
    <xf numFmtId="0" fontId="10" fillId="10" borderId="0" xfId="0" applyFont="1" applyFill="1">
      <alignment horizontal="general" vertical="center" wrapText="1"/>
      <protection locked="0"/>
    </xf>
    <xf numFmtId="0" fontId="11" fillId="2" borderId="0" xfId="0" applyFont="1" applyFill="1">
      <alignment horizontal="general" vertical="bottom"/>
      <protection locked="0"/>
    </xf>
    <xf numFmtId="0" fontId="12" fillId="2" borderId="0" xfId="0" applyFont="1" applyFill="1">
      <alignment horizontal="general" vertical="bottom"/>
      <protection locked="0"/>
    </xf>
  </cellXfs>
  <cellStyles count="2">
    <cellStyle name="常规" xfId="0" builtinId="0"/>
    <cellStyle name="超链接" xfId="1" builtinId="8"/>
  </cellStyles>
  <dxfs count="2">
    <dxf>
      <font>
        <sz val="10"/>
        <color rgb="FF000000"/>
      </font>
    </dxf>
    <dxf>
      <fill>
        <patternFill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5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4" Type="http://schemas.openxmlformats.org/officeDocument/2006/relationships/worksheet" Target="worksheets/sheet4.xml"/><Relationship Id="rId6" Type="http://schemas.openxmlformats.org/officeDocument/2006/relationships/styles" Target="styles.xml"/></Relationships>
</file>

<file path=xl/drawings/_rels/drawing1.xml.rels><?xml version="1.0" encoding="UTF-8" standalone="yes"?>
<Relationships
   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4" Type="http://schemas.openxmlformats.org/officeDocument/2006/relationships/image" Target="../media/image4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4</xdr:col>
      <xdr:colOff>0</xdr:colOff>
      <xdr:row>5</xdr:row>
      <xdr:rowOff>0</xdr:rowOff>
    </xdr:from>
    <xdr:ext cx="304800" cy="314960"/>
    <xdr:sp macro="" textlink="">
      <xdr:nvSpPr>
        <xdr:cNvPr id="2049" name="shape1"/>
        <xdr:cNvSpPr/>
      </xdr:nvSpPr>
      <xdr:spPr>
        <a:xfrm>
          <a:off x="2692400" y="895350"/>
          <a:ext cx="304800" cy="314960"/>
        </a:xfrm>
        <a:prstGeom prst="rect">
          <a:avLst/>
        </a:prstGeom>
        <a:solidFill>
          <a:srgbClr val="FFFFFF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4</xdr:col>
      <xdr:colOff>0</xdr:colOff>
      <xdr:row>3</xdr:row>
      <xdr:rowOff>0</xdr:rowOff>
    </xdr:from>
    <xdr:ext cx="304800" cy="313690"/>
    <xdr:sp macro="" textlink="">
      <xdr:nvSpPr>
        <xdr:cNvPr id="2050" name="shape2"/>
        <xdr:cNvSpPr/>
      </xdr:nvSpPr>
      <xdr:spPr>
        <a:xfrm>
          <a:off x="2692400" y="537210"/>
          <a:ext cx="304800" cy="313690"/>
        </a:xfrm>
        <a:prstGeom prst="rect">
          <a:avLst/>
        </a:prstGeom>
        <a:solidFill>
          <a:srgbClr val="FFFFFF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0</xdr:col>
      <xdr:colOff>457200</xdr:colOff>
      <xdr:row>2</xdr:row>
      <xdr:rowOff>53340</xdr:rowOff>
    </xdr:from>
    <xdr:ext cx="2487930" cy="2244814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xfrm>
          <a:off x="457200" y="411480"/>
          <a:ext cx="2487930" cy="2244814"/>
        </a:xfrm>
        <a:prstGeom prst="rect"/>
      </xdr:spPr>
    </xdr:pic>
    <xdr:clientData/>
  </xdr:oneCellAnchor>
  <xdr:oneCellAnchor>
    <xdr:from>
      <xdr:col>5</xdr:col>
      <xdr:colOff>256718</xdr:colOff>
      <xdr:row>2</xdr:row>
      <xdr:rowOff>30480</xdr:rowOff>
    </xdr:from>
    <xdr:ext cx="2319301" cy="2239010"/>
    <xdr:pic>
      <xdr:nvPicPr>
        <xdr:cNvPr id="2" name="图片 2"/>
        <xdr:cNvPicPr/>
      </xdr:nvPicPr>
      <xdr:blipFill>
        <a:blip r:embed="rId2"/>
        <a:stretch>
          <a:fillRect/>
        </a:stretch>
      </xdr:blipFill>
      <xdr:spPr>
        <a:xfrm>
          <a:off x="3622040" y="388620"/>
          <a:ext cx="2319301" cy="2239010"/>
        </a:xfrm>
        <a:prstGeom prst="rect"/>
      </xdr:spPr>
    </xdr:pic>
    <xdr:clientData/>
  </xdr:oneCellAnchor>
  <xdr:oneCellAnchor>
    <xdr:from>
      <xdr:col>9</xdr:col>
      <xdr:colOff>458105</xdr:colOff>
      <xdr:row>3</xdr:row>
      <xdr:rowOff>77470</xdr:rowOff>
    </xdr:from>
    <xdr:ext cx="3050720" cy="1993361"/>
    <xdr:pic>
      <xdr:nvPicPr>
        <xdr:cNvPr id="3" name="图片 3"/>
        <xdr:cNvPicPr/>
      </xdr:nvPicPr>
      <xdr:blipFill>
        <a:blip r:embed="rId3"/>
        <a:stretch>
          <a:fillRect/>
        </a:stretch>
      </xdr:blipFill>
      <xdr:spPr>
        <a:xfrm>
          <a:off x="6515735" y="614680"/>
          <a:ext cx="3050720" cy="1993361"/>
        </a:xfrm>
        <a:prstGeom prst="rect"/>
      </xdr:spPr>
    </xdr:pic>
    <xdr:clientData/>
  </xdr:oneCellAnchor>
  <xdr:oneCellAnchor>
    <xdr:from>
      <xdr:col>6</xdr:col>
      <xdr:colOff>132081</xdr:colOff>
      <xdr:row>20</xdr:row>
      <xdr:rowOff>198120</xdr:rowOff>
    </xdr:from>
    <xdr:ext cx="4013199" cy="3109771"/>
    <xdr:pic>
      <xdr:nvPicPr>
        <xdr:cNvPr id="4" name="图片 4"/>
        <xdr:cNvPicPr/>
      </xdr:nvPicPr>
      <xdr:blipFill>
        <a:blip r:embed="rId4"/>
        <a:stretch>
          <a:fillRect/>
        </a:stretch>
      </xdr:blipFill>
      <xdr:spPr>
        <a:xfrm>
          <a:off x="4170680" y="4217670"/>
          <a:ext cx="4013199" cy="3109771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8.8330078125" defaultRowHeight="14.100000000000001" customHeight="1"/>
  <sheetData>
    <row r="2" ht="14.100000000000001" customHeight="1">
      <c r="A2" s="68" t="s">
        <v>0</v>
      </c>
    </row>
    <row r="16" ht="21" customHeight="1">
      <c r="A16" s="68" t="s">
        <v>1</v>
      </c>
    </row>
    <row r="17" ht="21" customHeight="1">
      <c r="A17" s="68" t="s">
        <v>2</v>
      </c>
    </row>
    <row r="18" ht="21" customHeight="1">
      <c r="A18" s="68" t="s">
        <v>3</v>
      </c>
    </row>
    <row r="19" ht="21" customHeight="1">
      <c r="A19" s="68" t="s">
        <v>4</v>
      </c>
    </row>
    <row r="20" ht="21" customHeight="1">
      <c r="A20" s="68" t="s">
        <v>5</v>
      </c>
    </row>
    <row r="21" ht="21" customHeight="1">
      <c r="A21" s="68" t="s">
        <v>6</v>
      </c>
    </row>
    <row r="22" ht="21" customHeight="1">
      <c r="A22" s="68" t="s">
        <v>7</v>
      </c>
    </row>
    <row r="23" ht="21" customHeight="1">
      <c r="A23" s="68" t="s">
        <v>8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8.8330078125" defaultRowHeight="14.100000000000001" customHeight="1"/>
  <cols>
    <col min="1" max="1" width="8.666015625" style="26"/>
    <col min="2" max="2" width="13.6640625" customWidth="1" style="26"/>
    <col min="3" max="3" width="16.998046875" customWidth="1" style="26"/>
    <col min="4" max="5" width="18.1640625" customWidth="1" style="26"/>
    <col min="6" max="6" width="22.3330078125" customWidth="1" style="26"/>
    <col min="7" max="7" width="21.498046875" customWidth="1" style="26"/>
    <col min="8" max="8" width="12.6650390625" customWidth="1" style="26"/>
    <col min="9" max="9" width="20.1650390625" customWidth="1" style="26"/>
    <col min="10" max="10" width="19.5" customWidth="1" style="26"/>
    <col min="11" max="11" width="22.3330078125" customWidth="1" style="26"/>
    <col min="12" max="12" width="21.9990234375" customWidth="1" style="26"/>
    <col min="13" max="13" width="22.3330078125" customWidth="1" style="26"/>
    <col min="14" max="14" width="21.498046875" customWidth="1" style="26"/>
    <col min="15" max="15" width="26.4990234375" customWidth="1" style="26"/>
    <col min="16" max="16" width="25.6640625" customWidth="1" style="26"/>
    <col min="17" max="17" width="26.4990234375" customWidth="1" style="26"/>
    <col min="18" max="18" width="24" customWidth="1" style="26"/>
    <col min="19" max="19" width="21.1640625" customWidth="1" style="26"/>
    <col min="20" max="20" width="22.3330078125" customWidth="1" style="26"/>
    <col min="21" max="21" width="21.9990234375" customWidth="1" style="26"/>
    <col min="22" max="22" width="22.3330078125" customWidth="1" style="26"/>
    <col min="23" max="23" width="23.33203125" customWidth="1" style="26"/>
    <col min="24" max="24" width="20.1650390625" customWidth="1" style="26"/>
    <col min="25" max="25" width="21.1640625" customWidth="1" style="26"/>
    <col min="26" max="26" width="8.666015625" style="26"/>
    <col min="27" max="27" width="18.9990234375" customWidth="1" style="26"/>
    <col min="28" max="28" width="18.9990234375" customWidth="1" style="27"/>
    <col min="29" max="29" width="22.166015625" customWidth="1" style="26"/>
    <col min="30" max="33" width="18.9990234375" customWidth="1" style="26"/>
    <col min="34" max="34" width="24" customWidth="1" style="28"/>
    <col min="35" max="35" width="27.1640625" customWidth="1" style="26"/>
    <col min="36" max="36" width="18.9990234375" customWidth="1" style="29"/>
    <col min="37" max="37" width="18.9990234375" customWidth="1" style="26"/>
    <col min="38" max="38" width="18.9990234375" customWidth="1" style="20"/>
    <col min="39" max="39" width="21.1640625" customWidth="1" style="20"/>
    <col min="40" max="40" width="18.9990234375" customWidth="1" style="27"/>
    <col min="41" max="41" width="18.9990234375" customWidth="1" style="26"/>
    <col min="42" max="42" width="18.9990234375" customWidth="1" style="27"/>
    <col min="43" max="43" width="22.6640625" customWidth="1" style="20"/>
    <col min="44" max="44" width="25.166015625" customWidth="1" style="26"/>
    <col min="45" max="45" width="18.9990234375" customWidth="1" style="26"/>
  </cols>
  <sheetData>
    <row r="1" s="21" customFormat="1" ht="46.5" customHeight="1">
      <c r="I1" s="30"/>
      <c r="J1" s="30"/>
      <c r="T1" s="30"/>
      <c r="AA1" s="21" t="s">
        <v>9</v>
      </c>
      <c r="AB1" s="31" t="s">
        <v>10</v>
      </c>
      <c r="AC1" s="32" t="s">
        <v>11</v>
      </c>
      <c r="AD1" s="32"/>
      <c r="AG1" s="21" t="s">
        <v>12</v>
      </c>
      <c r="AH1" s="33" t="n">
        <f>SUM(AJ6:AJ200)</f>
        <v>1500</v>
      </c>
      <c r="AJ1" s="33"/>
      <c r="AL1" s="34"/>
      <c r="AM1" s="34"/>
      <c r="AN1" s="34"/>
      <c r="AP1" s="34"/>
      <c r="AQ1" s="34"/>
      <c r="AR1" s="35" t="s">
        <v>13</v>
      </c>
    </row>
    <row r="2" s="21" customFormat="1" ht="46.5" customHeight="1">
      <c r="B2" s="36"/>
      <c r="C2" s="37" t="s">
        <v>14</v>
      </c>
      <c r="D2" s="38" t="s">
        <v>15</v>
      </c>
      <c r="E2" s="38" t="s">
        <v>15</v>
      </c>
      <c r="F2" s="38" t="s">
        <v>16</v>
      </c>
      <c r="G2" s="37" t="s">
        <v>17</v>
      </c>
      <c r="H2" s="37" t="s">
        <v>18</v>
      </c>
      <c r="I2" s="39" t="s">
        <v>19</v>
      </c>
      <c r="J2" s="39" t="s">
        <v>20</v>
      </c>
      <c r="K2" s="40" t="s">
        <v>16</v>
      </c>
      <c r="L2" s="37" t="s">
        <v>21</v>
      </c>
      <c r="M2" s="38" t="s">
        <v>15</v>
      </c>
      <c r="N2" s="38" t="s">
        <v>15</v>
      </c>
      <c r="O2" s="40" t="s">
        <v>16</v>
      </c>
      <c r="P2" s="40" t="s">
        <v>16</v>
      </c>
      <c r="Q2" s="40" t="s">
        <v>16</v>
      </c>
      <c r="R2" s="40" t="s">
        <v>16</v>
      </c>
      <c r="S2" s="38" t="s">
        <v>22</v>
      </c>
      <c r="T2" s="39" t="s">
        <v>23</v>
      </c>
      <c r="U2" s="39" t="s">
        <v>24</v>
      </c>
      <c r="V2" s="38" t="s">
        <v>15</v>
      </c>
      <c r="W2" s="38"/>
      <c r="X2" s="38"/>
      <c r="Y2" s="38"/>
      <c r="AA2" s="41" t="s">
        <v>25</v>
      </c>
      <c r="AB2" s="42" t="s">
        <v>16</v>
      </c>
      <c r="AC2" s="21" t="s">
        <v>26</v>
      </c>
      <c r="AD2" s="69" t="s">
        <v>27</v>
      </c>
      <c r="AE2" s="70" t="s">
        <v>27</v>
      </c>
      <c r="AF2" s="41" t="s">
        <v>28</v>
      </c>
      <c r="AG2" s="41" t="s">
        <v>28</v>
      </c>
      <c r="AH2" s="43" t="s">
        <v>16</v>
      </c>
      <c r="AI2" s="21" t="s">
        <v>26</v>
      </c>
      <c r="AJ2" s="33" t="s">
        <v>29</v>
      </c>
      <c r="AK2" s="71" t="s">
        <v>30</v>
      </c>
      <c r="AL2" s="42" t="s">
        <v>16</v>
      </c>
      <c r="AM2" s="42" t="s">
        <v>16</v>
      </c>
      <c r="AN2" s="42" t="s">
        <v>16</v>
      </c>
      <c r="AO2" s="44" t="s">
        <v>31</v>
      </c>
      <c r="AP2" s="42" t="s">
        <v>16</v>
      </c>
      <c r="AQ2" s="42" t="s">
        <v>16</v>
      </c>
      <c r="AR2" s="44" t="s">
        <v>32</v>
      </c>
      <c r="AS2" s="44" t="s">
        <v>33</v>
      </c>
    </row>
    <row r="3" s="22" customFormat="1" ht="14.100000000000001" customHeight="1">
      <c r="B3" s="45" t="s">
        <v>34</v>
      </c>
      <c r="C3" s="45" t="s">
        <v>35</v>
      </c>
      <c r="D3" s="45" t="s">
        <v>36</v>
      </c>
      <c r="E3" s="45" t="s">
        <v>37</v>
      </c>
      <c r="F3" s="45" t="s">
        <v>38</v>
      </c>
      <c r="G3" s="45" t="s">
        <v>39</v>
      </c>
      <c r="H3" s="45" t="s">
        <v>40</v>
      </c>
      <c r="I3" s="45" t="s">
        <v>41</v>
      </c>
      <c r="J3" s="45" t="s">
        <v>42</v>
      </c>
      <c r="K3" s="45" t="s">
        <v>43</v>
      </c>
      <c r="L3" s="45" t="s">
        <v>44</v>
      </c>
      <c r="M3" s="45" t="s">
        <v>45</v>
      </c>
      <c r="N3" s="45" t="s">
        <v>46</v>
      </c>
      <c r="O3" s="45" t="s">
        <v>47</v>
      </c>
      <c r="P3" s="45" t="s">
        <v>48</v>
      </c>
      <c r="Q3" s="45" t="s">
        <v>49</v>
      </c>
      <c r="R3" s="45" t="s">
        <v>50</v>
      </c>
      <c r="S3" s="45" t="s">
        <v>51</v>
      </c>
      <c r="T3" s="45" t="s">
        <v>52</v>
      </c>
      <c r="U3" s="45" t="s">
        <v>53</v>
      </c>
      <c r="V3" s="45" t="s">
        <v>54</v>
      </c>
      <c r="W3" s="45" t="s">
        <v>55</v>
      </c>
      <c r="X3" s="45" t="s">
        <v>56</v>
      </c>
      <c r="Y3" s="45" t="s">
        <v>57</v>
      </c>
      <c r="AA3" s="22" t="s">
        <v>58</v>
      </c>
      <c r="AB3" s="5" t="s">
        <v>59</v>
      </c>
      <c r="AC3" s="22" t="s">
        <v>60</v>
      </c>
      <c r="AD3" s="22" t="s">
        <v>61</v>
      </c>
      <c r="AE3" s="22" t="s">
        <v>62</v>
      </c>
      <c r="AF3" s="22" t="s">
        <v>63</v>
      </c>
      <c r="AG3" s="22" t="s">
        <v>64</v>
      </c>
      <c r="AH3" s="22" t="s">
        <v>65</v>
      </c>
      <c r="AI3" s="22" t="s">
        <v>66</v>
      </c>
      <c r="AJ3" s="46" t="s">
        <v>67</v>
      </c>
      <c r="AK3" s="22" t="s">
        <v>68</v>
      </c>
      <c r="AL3" s="5" t="s">
        <v>69</v>
      </c>
      <c r="AM3" s="5" t="s">
        <v>70</v>
      </c>
      <c r="AN3" s="5" t="s">
        <v>71</v>
      </c>
      <c r="AO3" s="22" t="s">
        <v>72</v>
      </c>
      <c r="AP3" s="5" t="s">
        <v>73</v>
      </c>
      <c r="AQ3" s="5" t="s">
        <v>74</v>
      </c>
      <c r="AR3" s="72" t="s">
        <v>75</v>
      </c>
      <c r="AS3" s="22" t="s">
        <v>76</v>
      </c>
    </row>
    <row r="4" s="22" customFormat="1" ht="14.100000000000001" customHeight="1">
      <c r="B4" s="45" t="s">
        <v>77</v>
      </c>
      <c r="C4" s="45" t="s">
        <v>78</v>
      </c>
      <c r="D4" s="45" t="s">
        <v>79</v>
      </c>
      <c r="E4" s="45" t="s">
        <v>80</v>
      </c>
      <c r="F4" s="45" t="s">
        <v>81</v>
      </c>
      <c r="G4" s="45" t="s">
        <v>82</v>
      </c>
      <c r="H4" s="45" t="s">
        <v>83</v>
      </c>
      <c r="I4" s="45" t="s">
        <v>84</v>
      </c>
      <c r="J4" s="45" t="s">
        <v>85</v>
      </c>
      <c r="K4" s="45" t="s">
        <v>86</v>
      </c>
      <c r="L4" s="45" t="s">
        <v>87</v>
      </c>
      <c r="M4" s="45" t="s">
        <v>88</v>
      </c>
      <c r="N4" s="45" t="s">
        <v>89</v>
      </c>
      <c r="O4" s="45" t="s">
        <v>90</v>
      </c>
      <c r="P4" s="45" t="s">
        <v>91</v>
      </c>
      <c r="Q4" s="45" t="s">
        <v>92</v>
      </c>
      <c r="R4" s="45" t="s">
        <v>93</v>
      </c>
      <c r="S4" s="45" t="s">
        <v>94</v>
      </c>
      <c r="T4" s="45" t="s">
        <v>95</v>
      </c>
      <c r="U4" s="45" t="s">
        <v>96</v>
      </c>
      <c r="V4" s="45" t="s">
        <v>97</v>
      </c>
      <c r="W4" s="45" t="s">
        <v>98</v>
      </c>
      <c r="X4" s="45" t="s">
        <v>99</v>
      </c>
      <c r="Y4" s="45" t="s">
        <v>100</v>
      </c>
      <c r="AA4" s="22" t="s">
        <v>101</v>
      </c>
      <c r="AB4" s="5" t="s">
        <v>102</v>
      </c>
      <c r="AC4" s="22" t="s">
        <v>103</v>
      </c>
      <c r="AD4" s="22" t="s">
        <v>104</v>
      </c>
      <c r="AE4" s="22" t="s">
        <v>105</v>
      </c>
      <c r="AF4" s="22" t="s">
        <v>106</v>
      </c>
      <c r="AG4" s="22" t="s">
        <v>107</v>
      </c>
      <c r="AH4" s="22" t="s">
        <v>108</v>
      </c>
      <c r="AI4" s="22" t="s">
        <v>109</v>
      </c>
      <c r="AJ4" s="46" t="s">
        <v>110</v>
      </c>
      <c r="AK4" s="22" t="s">
        <v>111</v>
      </c>
      <c r="AL4" s="5" t="s">
        <v>112</v>
      </c>
      <c r="AM4" s="5" t="s">
        <v>113</v>
      </c>
      <c r="AN4" s="5" t="s">
        <v>114</v>
      </c>
      <c r="AO4" s="22" t="s">
        <v>115</v>
      </c>
      <c r="AP4" s="5" t="s">
        <v>116</v>
      </c>
      <c r="AQ4" s="5" t="s">
        <v>117</v>
      </c>
      <c r="AR4" s="73" t="s">
        <v>118</v>
      </c>
      <c r="AS4" s="22" t="s">
        <v>119</v>
      </c>
    </row>
    <row r="5" s="23" customFormat="1" ht="14.100000000000001" customHeight="1">
      <c r="A5" s="23" t="s">
        <v>120</v>
      </c>
      <c r="B5" s="48" t="n">
        <v>100252</v>
      </c>
      <c r="C5" s="49" t="n">
        <v>45002</v>
      </c>
      <c r="D5" s="48" t="s">
        <v>121</v>
      </c>
      <c r="E5" s="48" t="s">
        <v>122</v>
      </c>
      <c r="F5" s="48" t="n">
        <f>IFERROR(VLOOKUP(G5,'索引'!M1:N4,2,FALSE),"")</f>
        <v>100</v>
      </c>
      <c r="G5" s="48" t="s">
        <v>123</v>
      </c>
      <c r="H5" s="48" t="s">
        <v>124</v>
      </c>
      <c r="I5" s="48" t="n">
        <v>159</v>
      </c>
      <c r="J5" s="48" t="s">
        <v>125</v>
      </c>
      <c r="K5" s="48" t="s">
        <f>IFERROR(VLOOKUP(L5,'索引'!$I:$J,2,FALSE),"")</f>
        <v>126</v>
      </c>
      <c r="L5" s="48" t="s">
        <v>127</v>
      </c>
      <c r="M5" s="48" t="s">
        <v>128</v>
      </c>
      <c r="N5" s="48" t="s">
        <v>129</v>
      </c>
      <c r="O5" s="48" t="n">
        <f>$F$5</f>
        <v>100</v>
      </c>
      <c r="P5" s="48" t="s">
        <f>$G$5</f>
        <v>123</v>
      </c>
      <c r="Q5" s="48" t="s">
        <f>$K$5</f>
        <v>126</v>
      </c>
      <c r="R5" s="48" t="s">
        <f>$L$5</f>
        <v>127</v>
      </c>
      <c r="S5" s="48" t="s">
        <v>130</v>
      </c>
      <c r="T5" s="48" t="n">
        <f>$I$5</f>
        <v>159</v>
      </c>
      <c r="U5" s="48" t="s">
        <f>$J$5</f>
        <v>125</v>
      </c>
      <c r="V5" s="48" t="s">
        <v>131</v>
      </c>
      <c r="W5" s="48" t="s">
        <v>132</v>
      </c>
      <c r="X5" s="48" t="s">
        <v>121</v>
      </c>
      <c r="Y5" s="48" t="s">
        <v>122</v>
      </c>
      <c r="Z5" s="23" t="s">
        <v>120</v>
      </c>
      <c r="AA5" s="50" t="s">
        <v>133</v>
      </c>
      <c r="AB5" s="51" t="s">
        <f>IFERROR(VLOOKUP('员工报销单模板'!AC5,'索引'!$A$1:$B$62,2,FALSE),"")</f>
        <v>134</v>
      </c>
      <c r="AC5" s="23" t="s">
        <v>135</v>
      </c>
      <c r="AD5" s="52" t="n">
        <v>44714</v>
      </c>
      <c r="AE5" s="52" t="n">
        <v>44721</v>
      </c>
      <c r="AF5" s="23" t="s">
        <v>136</v>
      </c>
      <c r="AG5" s="23" t="s">
        <v>137</v>
      </c>
      <c r="AH5" s="53" t="s">
        <f>IFERROR(VLOOKUP(AI5,'索引'!$C$3:$D$8,2,FALSE),"")</f>
        <v>138</v>
      </c>
      <c r="AI5" s="23" t="s">
        <v>139</v>
      </c>
      <c r="AJ5" s="54" t="n">
        <v>552.16</v>
      </c>
      <c r="AK5" s="23" t="s">
        <v>140</v>
      </c>
      <c r="AL5" s="48"/>
      <c r="AM5" s="55" t="n">
        <f>IF(AJ5&lt;&gt;0,AJ5,"")</f>
        <v>552.16</v>
      </c>
      <c r="AN5" s="51" t="s">
        <f>IFERROR(VLOOKUP(AO5,'索引'!$I:$J,2,FALSE),"")</f>
        <v>126</v>
      </c>
      <c r="AO5" s="23" t="s">
        <v>141</v>
      </c>
      <c r="AP5" s="55" t="n">
        <f>IF(AJ5&lt;&gt;0,AJ5,"")</f>
        <v>552.16</v>
      </c>
      <c r="AQ5" s="48" t="s">
        <f>IFERROR(VLOOKUP('员工报销单模板'!AR5,'项目中心'!C:D,2,FALSE),"")</f>
        <v>142</v>
      </c>
      <c r="AR5" s="23" t="s">
        <v>143</v>
      </c>
      <c r="AS5" s="56" t="s">
        <v>144</v>
      </c>
    </row>
    <row r="6" s="24" customFormat="1" ht="15.75" customHeight="1">
      <c r="AA6" s="57" t="s">
        <v>145</v>
      </c>
      <c r="AB6" s="51" t="s">
        <f>IFERROR(VLOOKUP('员工报销单模板'!AC6,'索引'!$A$1:$B$62,2,FALSE),"")</f>
        <v>146</v>
      </c>
      <c r="AC6" s="58" t="s">
        <v>147</v>
      </c>
      <c r="AD6" s="59"/>
      <c r="AE6" s="59"/>
      <c r="AF6" s="56"/>
      <c r="AG6" s="60"/>
      <c r="AH6" s="53" t="s">
        <f>IFERROR(VLOOKUP(AI6,'索引'!$C$3:$D$8,2,FALSE),"")</f>
        <v>126</v>
      </c>
      <c r="AI6" s="58"/>
      <c r="AJ6" s="61" t="n">
        <v>1500</v>
      </c>
      <c r="AK6" s="56"/>
      <c r="AL6" s="62"/>
      <c r="AM6" s="63" t="n">
        <f>IF(AJ6&lt;&gt;0,AJ6,"")</f>
        <v>1500</v>
      </c>
      <c r="AN6" s="51" t="s">
        <f>IFERROR(VLOOKUP(AO6,'索引'!$I:$J,2,FALSE),"")</f>
        <v>126</v>
      </c>
      <c r="AO6" s="56"/>
      <c r="AP6" s="63" t="n">
        <f>IF(AJ6&lt;&gt;0,AJ6,"")</f>
        <v>1500</v>
      </c>
      <c r="AQ6" s="56" t="s">
        <f>IFERROR(VLOOKUP('员工报销单模板'!AR6,'项目中心'!C:D,2,FALSE),"")</f>
        <v>126</v>
      </c>
      <c r="AR6" s="56"/>
      <c r="AS6" s="56"/>
    </row>
    <row r="7" s="24" customFormat="1" ht="14.100000000000001" customHeight="1">
      <c r="AA7" s="57"/>
      <c r="AB7" s="51" t="s">
        <f>IFERROR(VLOOKUP('员工报销单模板'!AC7,'索引'!$A$1:$B$62,2,FALSE),"")</f>
        <v>126</v>
      </c>
      <c r="AC7" s="58"/>
      <c r="AD7" s="59"/>
      <c r="AE7" s="59"/>
      <c r="AF7" s="56"/>
      <c r="AG7" s="60"/>
      <c r="AH7" s="53" t="s">
        <f>IFERROR(VLOOKUP(AI7,'索引'!$C$3:$D$8,2,FALSE),"")</f>
        <v>126</v>
      </c>
      <c r="AI7" s="58"/>
      <c r="AJ7" s="61"/>
      <c r="AK7" s="56"/>
      <c r="AL7" s="62"/>
      <c r="AM7" s="63" t="s">
        <f>IF(AJ7&lt;&gt;0,AJ7,"")</f>
        <v>126</v>
      </c>
      <c r="AN7" s="51" t="s">
        <f>IFERROR(VLOOKUP(AO7,'索引'!$I:$J,2,FALSE),"")</f>
        <v>126</v>
      </c>
      <c r="AO7" s="56"/>
      <c r="AP7" s="63" t="s">
        <f>IF(AJ7&lt;&gt;0,AJ7,"")</f>
        <v>126</v>
      </c>
      <c r="AQ7" s="56" t="s">
        <f>IFERROR(VLOOKUP('员工报销单模板'!AR7,'项目中心'!C:D,2,FALSE),"")</f>
        <v>126</v>
      </c>
      <c r="AR7" s="56"/>
      <c r="AS7" s="56"/>
    </row>
    <row r="8" s="24" customFormat="1" ht="14.100000000000001" customHeight="1">
      <c r="AA8" s="57"/>
      <c r="AB8" s="51" t="s">
        <f>IFERROR(VLOOKUP('员工报销单模板'!AC8,'索引'!$A$1:$B$62,2,FALSE),"")</f>
        <v>126</v>
      </c>
      <c r="AC8" s="58"/>
      <c r="AD8" s="59"/>
      <c r="AE8" s="59"/>
      <c r="AF8" s="56"/>
      <c r="AG8" s="60"/>
      <c r="AH8" s="53" t="s">
        <f>IFERROR(VLOOKUP(AI8,'索引'!$C$3:$D$8,2,FALSE),"")</f>
        <v>126</v>
      </c>
      <c r="AI8" s="58"/>
      <c r="AJ8" s="61"/>
      <c r="AK8" s="56"/>
      <c r="AL8" s="62"/>
      <c r="AM8" s="63" t="s">
        <f>IF(AJ8&lt;&gt;0,AJ8,"")</f>
        <v>126</v>
      </c>
      <c r="AN8" s="51" t="s">
        <f>IFERROR(VLOOKUP(AO8,'索引'!$I:$J,2,FALSE),"")</f>
        <v>126</v>
      </c>
      <c r="AO8" s="56"/>
      <c r="AP8" s="63" t="s">
        <f>IF(AJ8&lt;&gt;0,AJ8,"")</f>
        <v>126</v>
      </c>
      <c r="AQ8" s="56" t="s">
        <f>IFERROR(VLOOKUP('员工报销单模板'!AR8,'项目中心'!C:D,2,FALSE),"")</f>
        <v>126</v>
      </c>
      <c r="AR8" s="56"/>
      <c r="AS8" s="56"/>
    </row>
    <row r="9" s="24" customFormat="1" ht="14.100000000000001" customHeight="1">
      <c r="AA9" s="57"/>
      <c r="AB9" s="51" t="s">
        <f>IFERROR(VLOOKUP('员工报销单模板'!AC9,'索引'!$A$1:$B$62,2,FALSE),"")</f>
        <v>126</v>
      </c>
      <c r="AC9" s="58"/>
      <c r="AD9" s="59"/>
      <c r="AE9" s="59"/>
      <c r="AF9" s="56"/>
      <c r="AG9" s="60"/>
      <c r="AH9" s="53" t="s">
        <f>IFERROR(VLOOKUP(AI9,'索引'!$C$3:$D$8,2,FALSE),"")</f>
        <v>126</v>
      </c>
      <c r="AI9" s="58"/>
      <c r="AJ9" s="61"/>
      <c r="AK9" s="56"/>
      <c r="AL9" s="62"/>
      <c r="AM9" s="63" t="s">
        <f>IF(AJ9&lt;&gt;0,AJ9,"")</f>
        <v>126</v>
      </c>
      <c r="AN9" s="51" t="s">
        <f>IFERROR(VLOOKUP(AO9,'索引'!$I:$J,2,FALSE),"")</f>
        <v>126</v>
      </c>
      <c r="AO9" s="56"/>
      <c r="AP9" s="63" t="s">
        <f>IF(AJ9&lt;&gt;0,AJ9,"")</f>
        <v>126</v>
      </c>
      <c r="AQ9" s="56" t="s">
        <f>IFERROR(VLOOKUP('员工报销单模板'!AR9,'项目中心'!C:D,2,FALSE),"")</f>
        <v>126</v>
      </c>
      <c r="AR9" s="56"/>
      <c r="AS9" s="56"/>
    </row>
    <row r="10" s="24" customFormat="1" ht="14.100000000000001" customHeight="1">
      <c r="AA10" s="57"/>
      <c r="AB10" s="51" t="s">
        <f>IFERROR(VLOOKUP('员工报销单模板'!AC10,'索引'!$A$1:$B$62,2,FALSE),"")</f>
        <v>126</v>
      </c>
      <c r="AC10" s="58"/>
      <c r="AD10" s="59"/>
      <c r="AE10" s="59"/>
      <c r="AF10" s="56"/>
      <c r="AG10" s="60"/>
      <c r="AH10" s="53" t="s">
        <f>IFERROR(VLOOKUP(AI10,'索引'!$C$3:$D$8,2,FALSE),"")</f>
        <v>126</v>
      </c>
      <c r="AI10" s="58"/>
      <c r="AJ10" s="61"/>
      <c r="AK10" s="56"/>
      <c r="AL10" s="62"/>
      <c r="AM10" s="63" t="s">
        <f>IF(AJ10&lt;&gt;0,AJ10,"")</f>
        <v>126</v>
      </c>
      <c r="AN10" s="51" t="s">
        <f>IFERROR(VLOOKUP(AO10,'索引'!$I:$J,2,FALSE),"")</f>
        <v>126</v>
      </c>
      <c r="AO10" s="56"/>
      <c r="AP10" s="63" t="s">
        <f>IF(AJ10&lt;&gt;0,AJ10,"")</f>
        <v>126</v>
      </c>
      <c r="AQ10" s="56" t="s">
        <f>IFERROR(VLOOKUP('员工报销单模板'!AR10,'项目中心'!C:D,2,FALSE),"")</f>
        <v>126</v>
      </c>
      <c r="AR10" s="56"/>
      <c r="AS10" s="56"/>
    </row>
    <row r="11" s="24" customFormat="1" ht="14.100000000000001" customHeight="1">
      <c r="AA11" s="57"/>
      <c r="AB11" s="51" t="s">
        <f>IFERROR(VLOOKUP('员工报销单模板'!AC11,'索引'!$A$1:$B$62,2,FALSE),"")</f>
        <v>126</v>
      </c>
      <c r="AC11" s="58"/>
      <c r="AD11" s="59"/>
      <c r="AE11" s="59"/>
      <c r="AF11" s="56"/>
      <c r="AG11" s="60"/>
      <c r="AH11" s="53" t="s">
        <f>IFERROR(VLOOKUP(AI11,'索引'!$C$3:$D$8,2,FALSE),"")</f>
        <v>126</v>
      </c>
      <c r="AI11" s="58"/>
      <c r="AJ11" s="61"/>
      <c r="AK11" s="56"/>
      <c r="AL11" s="62"/>
      <c r="AM11" s="63" t="s">
        <f>IF(AJ11&lt;&gt;0,AJ11,"")</f>
        <v>126</v>
      </c>
      <c r="AN11" s="51" t="s">
        <f>IFERROR(VLOOKUP(AO11,'索引'!$I:$J,2,FALSE),"")</f>
        <v>126</v>
      </c>
      <c r="AO11" s="56"/>
      <c r="AP11" s="63" t="s">
        <f>IF(AJ11&lt;&gt;0,AJ11,"")</f>
        <v>126</v>
      </c>
      <c r="AQ11" s="56" t="s">
        <f>IFERROR(VLOOKUP('员工报销单模板'!AR11,'项目中心'!C:D,2,FALSE),"")</f>
        <v>126</v>
      </c>
      <c r="AR11" s="56"/>
      <c r="AS11" s="56"/>
    </row>
    <row r="12" s="24" customFormat="1" ht="14.100000000000001" customHeight="1">
      <c r="AA12" s="57"/>
      <c r="AB12" s="51" t="s">
        <f>IFERROR(VLOOKUP('员工报销单模板'!AC12,'索引'!$A$1:$B$62,2,FALSE),"")</f>
        <v>126</v>
      </c>
      <c r="AC12" s="58"/>
      <c r="AD12" s="59"/>
      <c r="AE12" s="59"/>
      <c r="AF12" s="56"/>
      <c r="AG12" s="60"/>
      <c r="AH12" s="53" t="s">
        <f>IFERROR(VLOOKUP(AI12,'索引'!$C$3:$D$8,2,FALSE),"")</f>
        <v>126</v>
      </c>
      <c r="AI12" s="58"/>
      <c r="AJ12" s="64"/>
      <c r="AK12" s="56"/>
      <c r="AL12" s="62"/>
      <c r="AM12" s="63" t="s">
        <f>IF(AJ12&lt;&gt;0,AJ12,"")</f>
        <v>126</v>
      </c>
      <c r="AN12" s="51" t="s">
        <f>IFERROR(VLOOKUP(AO12,'索引'!$I:$J,2,FALSE),"")</f>
        <v>126</v>
      </c>
      <c r="AO12" s="56"/>
      <c r="AP12" s="63" t="s">
        <f>IF(AJ12&lt;&gt;0,AJ12,"")</f>
        <v>126</v>
      </c>
      <c r="AQ12" s="56" t="s">
        <f>IFERROR(VLOOKUP('员工报销单模板'!AR12,'项目中心'!C:D,2,FALSE),"")</f>
        <v>126</v>
      </c>
      <c r="AR12" s="56"/>
      <c r="AS12" s="56"/>
    </row>
    <row r="13" s="24" customFormat="1" ht="14.100000000000001" customHeight="1">
      <c r="AA13" s="57"/>
      <c r="AB13" s="51" t="s">
        <f>IFERROR(VLOOKUP('员工报销单模板'!AC13,'索引'!$A$1:$B$62,2,FALSE),"")</f>
        <v>126</v>
      </c>
      <c r="AC13" s="58"/>
      <c r="AD13" s="59"/>
      <c r="AE13" s="59"/>
      <c r="AF13" s="56"/>
      <c r="AG13" s="60"/>
      <c r="AH13" s="53" t="s">
        <f>IFERROR(VLOOKUP(AI13,'索引'!$C$3:$D$8,2,FALSE),"")</f>
        <v>126</v>
      </c>
      <c r="AI13" s="58"/>
      <c r="AJ13" s="61"/>
      <c r="AK13" s="56"/>
      <c r="AL13" s="62"/>
      <c r="AM13" s="63" t="s">
        <f>IF(AJ13&lt;&gt;0,AJ13,"")</f>
        <v>126</v>
      </c>
      <c r="AN13" s="51" t="s">
        <f>IFERROR(VLOOKUP(AO13,'索引'!$I:$J,2,FALSE),"")</f>
        <v>126</v>
      </c>
      <c r="AO13" s="56"/>
      <c r="AP13" s="63" t="s">
        <f>IF(AJ13&lt;&gt;0,AJ13,"")</f>
        <v>126</v>
      </c>
      <c r="AQ13" s="56" t="s">
        <f>IFERROR(VLOOKUP('员工报销单模板'!AR13,'项目中心'!C:D,2,FALSE),"")</f>
        <v>126</v>
      </c>
      <c r="AR13" s="56"/>
      <c r="AS13" s="56"/>
    </row>
    <row r="14" s="24" customFormat="1" ht="14.100000000000001" customHeight="1">
      <c r="AA14" s="57"/>
      <c r="AB14" s="51" t="s">
        <f>IFERROR(VLOOKUP('员工报销单模板'!AC14,'索引'!$A$1:$B$62,2,FALSE),"")</f>
        <v>126</v>
      </c>
      <c r="AC14" s="58"/>
      <c r="AD14" s="59"/>
      <c r="AE14" s="59"/>
      <c r="AF14" s="56"/>
      <c r="AG14" s="60"/>
      <c r="AH14" s="53" t="s">
        <f>IFERROR(VLOOKUP(AI14,'索引'!$C$3:$D$8,2,FALSE),"")</f>
        <v>126</v>
      </c>
      <c r="AI14" s="58"/>
      <c r="AJ14" s="61"/>
      <c r="AK14" s="56"/>
      <c r="AL14" s="62"/>
      <c r="AM14" s="63" t="s">
        <f>IF(AJ14&lt;&gt;0,AJ14,"")</f>
        <v>126</v>
      </c>
      <c r="AN14" s="51" t="s">
        <f>IFERROR(VLOOKUP(AO14,'索引'!$I:$J,2,FALSE),"")</f>
        <v>126</v>
      </c>
      <c r="AO14" s="56"/>
      <c r="AP14" s="63" t="s">
        <f>IF(AJ14&lt;&gt;0,AJ14,"")</f>
        <v>126</v>
      </c>
      <c r="AQ14" s="56" t="s">
        <f>IFERROR(VLOOKUP('员工报销单模板'!AR14,'项目中心'!C:D,2,FALSE),"")</f>
        <v>126</v>
      </c>
      <c r="AR14" s="56"/>
      <c r="AS14" s="56"/>
    </row>
    <row r="15" s="24" customFormat="1" ht="14.100000000000001" customHeight="1">
      <c r="AB15" s="51" t="s">
        <f>IFERROR(VLOOKUP('员工报销单模板'!AC15,'索引'!$A$1:$B$62,2,FALSE),"")</f>
        <v>126</v>
      </c>
      <c r="AC15" s="58"/>
      <c r="AD15" s="59"/>
      <c r="AE15" s="59"/>
      <c r="AF15" s="56"/>
      <c r="AG15" s="60"/>
      <c r="AH15" s="53" t="s">
        <f>IFERROR(VLOOKUP(AI15,'索引'!$C$3:$D$8,2,FALSE),"")</f>
        <v>126</v>
      </c>
      <c r="AI15" s="58"/>
      <c r="AJ15" s="64"/>
      <c r="AK15" s="56"/>
      <c r="AL15" s="62"/>
      <c r="AM15" s="63" t="s">
        <f>IF(AJ15&lt;&gt;0,AJ15,"")</f>
        <v>126</v>
      </c>
      <c r="AN15" s="51" t="s">
        <f>IFERROR(VLOOKUP(AO15,'索引'!$I:$J,2,FALSE),"")</f>
        <v>126</v>
      </c>
      <c r="AO15" s="56"/>
      <c r="AP15" s="63" t="s">
        <f>IF(AJ15&lt;&gt;0,AJ15,"")</f>
        <v>126</v>
      </c>
      <c r="AQ15" s="56" t="s">
        <f>IFERROR(VLOOKUP('员工报销单模板'!AR15,'项目中心'!C:D,2,FALSE),"")</f>
        <v>126</v>
      </c>
      <c r="AR15" s="56"/>
      <c r="AS15" s="56"/>
    </row>
    <row r="16" s="24" customFormat="1" ht="14.100000000000001" customHeight="1">
      <c r="AB16" s="51" t="s">
        <f>IFERROR(VLOOKUP('员工报销单模板'!AC16,'索引'!$A$1:$B$62,2,FALSE),"")</f>
        <v>126</v>
      </c>
      <c r="AC16" s="58"/>
      <c r="AD16" s="59"/>
      <c r="AE16" s="59"/>
      <c r="AF16" s="56"/>
      <c r="AG16" s="60"/>
      <c r="AH16" s="53" t="s">
        <f>IFERROR(VLOOKUP(AI16,'索引'!$C$3:$D$8,2,FALSE),"")</f>
        <v>126</v>
      </c>
      <c r="AI16" s="58"/>
      <c r="AJ16" s="64"/>
      <c r="AK16" s="56"/>
      <c r="AL16" s="62"/>
      <c r="AM16" s="63" t="s">
        <f>IF(AJ16&lt;&gt;0,AJ16,"")</f>
        <v>126</v>
      </c>
      <c r="AN16" s="51" t="s">
        <f>IFERROR(VLOOKUP(AO16,'索引'!$I:$J,2,FALSE),"")</f>
        <v>126</v>
      </c>
      <c r="AO16" s="56"/>
      <c r="AP16" s="63" t="s">
        <f>IF(AJ16&lt;&gt;0,AJ16,"")</f>
        <v>126</v>
      </c>
      <c r="AQ16" s="56" t="s">
        <f>IFERROR(VLOOKUP('员工报销单模板'!AR16,'项目中心'!C:D,2,FALSE),"")</f>
        <v>126</v>
      </c>
      <c r="AR16" s="56"/>
      <c r="AS16" s="56"/>
    </row>
    <row r="17" s="24" customFormat="1" ht="14.100000000000001" customHeight="1">
      <c r="AB17" s="51" t="s">
        <f>IFERROR(VLOOKUP('员工报销单模板'!AC17,'索引'!$A$1:$B$62,2,FALSE),"")</f>
        <v>126</v>
      </c>
      <c r="AC17" s="58"/>
      <c r="AD17" s="59"/>
      <c r="AE17" s="59"/>
      <c r="AF17" s="56"/>
      <c r="AG17" s="60"/>
      <c r="AH17" s="53" t="s">
        <f>IFERROR(VLOOKUP(AI17,'索引'!$C$3:$D$8,2,FALSE),"")</f>
        <v>126</v>
      </c>
      <c r="AI17" s="58"/>
      <c r="AJ17" s="64"/>
      <c r="AK17" s="56"/>
      <c r="AL17" s="62"/>
      <c r="AM17" s="63" t="s">
        <f>IF(AJ17&lt;&gt;0,AJ17,"")</f>
        <v>126</v>
      </c>
      <c r="AN17" s="51" t="s">
        <f>IFERROR(VLOOKUP(AO17,'索引'!$I:$J,2,FALSE),"")</f>
        <v>126</v>
      </c>
      <c r="AO17" s="56"/>
      <c r="AP17" s="63" t="s">
        <f>IF(AJ17&lt;&gt;0,AJ17,"")</f>
        <v>126</v>
      </c>
      <c r="AQ17" s="56" t="s">
        <f>IFERROR(VLOOKUP('员工报销单模板'!AR17,'项目中心'!C:D,2,FALSE),"")</f>
        <v>126</v>
      </c>
      <c r="AR17" s="56"/>
      <c r="AS17" s="56"/>
    </row>
    <row r="18" s="24" customFormat="1" ht="14.100000000000001" customHeight="1">
      <c r="AB18" s="51" t="s">
        <f>IFERROR(VLOOKUP('员工报销单模板'!AC18,'索引'!$A$1:$B$62,2,FALSE),"")</f>
        <v>126</v>
      </c>
      <c r="AC18" s="58"/>
      <c r="AD18" s="59"/>
      <c r="AE18" s="59"/>
      <c r="AF18" s="56"/>
      <c r="AG18" s="60"/>
      <c r="AH18" s="53" t="s">
        <f>IFERROR(VLOOKUP(AI18,'索引'!$C$3:$D$8,2,FALSE),"")</f>
        <v>126</v>
      </c>
      <c r="AI18" s="58"/>
      <c r="AJ18" s="64"/>
      <c r="AK18" s="56"/>
      <c r="AL18" s="62"/>
      <c r="AM18" s="63" t="s">
        <f>IF(AJ18&lt;&gt;0,AJ18,"")</f>
        <v>126</v>
      </c>
      <c r="AN18" s="51" t="s">
        <f>IFERROR(VLOOKUP(AO18,'索引'!$I:$J,2,FALSE),"")</f>
        <v>126</v>
      </c>
      <c r="AO18" s="56"/>
      <c r="AP18" s="63" t="s">
        <f>IF(AJ18&lt;&gt;0,AJ18,"")</f>
        <v>126</v>
      </c>
      <c r="AQ18" s="56" t="s">
        <f>IFERROR(VLOOKUP('员工报销单模板'!AR18,'项目中心'!C:D,2,FALSE),"")</f>
        <v>126</v>
      </c>
      <c r="AR18" s="56"/>
      <c r="AS18" s="56"/>
    </row>
    <row r="19" s="24" customFormat="1" ht="14.100000000000001" customHeight="1">
      <c r="AB19" s="51" t="s">
        <f>IFERROR(VLOOKUP('员工报销单模板'!AC19,'索引'!$A$1:$B$62,2,FALSE),"")</f>
        <v>126</v>
      </c>
      <c r="AC19" s="58"/>
      <c r="AD19" s="59"/>
      <c r="AE19" s="59"/>
      <c r="AF19" s="56"/>
      <c r="AG19" s="60"/>
      <c r="AH19" s="53" t="s">
        <f>IFERROR(VLOOKUP(AI19,'索引'!$C$3:$D$8,2,FALSE),"")</f>
        <v>126</v>
      </c>
      <c r="AI19" s="58"/>
      <c r="AJ19" s="64"/>
      <c r="AK19" s="56"/>
      <c r="AL19" s="62"/>
      <c r="AM19" s="63" t="s">
        <f>IF(AJ19&lt;&gt;0,AJ19,"")</f>
        <v>126</v>
      </c>
      <c r="AN19" s="51" t="s">
        <f>IFERROR(VLOOKUP(AO19,'索引'!$I:$J,2,FALSE),"")</f>
        <v>126</v>
      </c>
      <c r="AO19" s="56"/>
      <c r="AP19" s="63" t="s">
        <f>IF(AJ19&lt;&gt;0,AJ19,"")</f>
        <v>126</v>
      </c>
      <c r="AQ19" s="56" t="s">
        <f>IFERROR(VLOOKUP('员工报销单模板'!AR19,'项目中心'!C:D,2,FALSE),"")</f>
        <v>126</v>
      </c>
      <c r="AR19" s="56"/>
      <c r="AS19" s="56"/>
    </row>
    <row r="20" s="24" customFormat="1" ht="14.100000000000001" customHeight="1">
      <c r="AB20" s="51" t="s">
        <f>IFERROR(VLOOKUP('员工报销单模板'!AC20,'索引'!$A$1:$B$62,2,FALSE),"")</f>
        <v>126</v>
      </c>
      <c r="AC20" s="58"/>
      <c r="AD20" s="59"/>
      <c r="AE20" s="59"/>
      <c r="AF20" s="56"/>
      <c r="AG20" s="60"/>
      <c r="AH20" s="53" t="s">
        <f>IFERROR(VLOOKUP(AI20,'索引'!$C$3:$D$8,2,FALSE),"")</f>
        <v>126</v>
      </c>
      <c r="AI20" s="58"/>
      <c r="AJ20" s="64"/>
      <c r="AK20" s="56"/>
      <c r="AL20" s="62"/>
      <c r="AM20" s="63" t="s">
        <f>IF(AJ20&lt;&gt;0,AJ20,"")</f>
        <v>126</v>
      </c>
      <c r="AN20" s="51" t="s">
        <f>IFERROR(VLOOKUP(AO20,'索引'!$I:$J,2,FALSE),"")</f>
        <v>126</v>
      </c>
      <c r="AO20" s="56"/>
      <c r="AP20" s="63" t="s">
        <f>IF(AJ20&lt;&gt;0,AJ20,"")</f>
        <v>126</v>
      </c>
      <c r="AQ20" s="56" t="s">
        <f>IFERROR(VLOOKUP('员工报销单模板'!AR20,'项目中心'!C:D,2,FALSE),"")</f>
        <v>126</v>
      </c>
      <c r="AR20" s="56"/>
      <c r="AS20" s="56"/>
    </row>
    <row r="21" s="24" customFormat="1" ht="14.100000000000001" customHeight="1">
      <c r="AB21" s="51" t="s">
        <f>IFERROR(VLOOKUP('员工报销单模板'!AC21,'索引'!$A$1:$B$62,2,FALSE),"")</f>
        <v>126</v>
      </c>
      <c r="AC21" s="58"/>
      <c r="AD21" s="59"/>
      <c r="AE21" s="59"/>
      <c r="AF21" s="56"/>
      <c r="AG21" s="60"/>
      <c r="AH21" s="53" t="s">
        <f>IFERROR(VLOOKUP(AI21,'索引'!$C$3:$D$8,2,FALSE),"")</f>
        <v>126</v>
      </c>
      <c r="AI21" s="58"/>
      <c r="AJ21" s="64"/>
      <c r="AK21" s="56"/>
      <c r="AL21" s="62"/>
      <c r="AM21" s="63" t="s">
        <f>IF(AJ21&lt;&gt;0,AJ21,"")</f>
        <v>126</v>
      </c>
      <c r="AN21" s="51" t="s">
        <f>IFERROR(VLOOKUP(AO21,'索引'!$I:$J,2,FALSE),"")</f>
        <v>126</v>
      </c>
      <c r="AO21" s="56"/>
      <c r="AP21" s="63" t="s">
        <f>IF(AJ21&lt;&gt;0,AJ21,"")</f>
        <v>126</v>
      </c>
      <c r="AQ21" s="56" t="s">
        <f>IFERROR(VLOOKUP('员工报销单模板'!AR21,'项目中心'!C:D,2,FALSE),"")</f>
        <v>126</v>
      </c>
      <c r="AR21" s="56"/>
      <c r="AS21" s="56"/>
    </row>
    <row r="22" s="24" customFormat="1" ht="14.100000000000001" customHeight="1">
      <c r="AB22" s="51" t="s">
        <f>IFERROR(VLOOKUP('员工报销单模板'!AC22,'索引'!$A$1:$B$62,2,FALSE),"")</f>
        <v>126</v>
      </c>
      <c r="AC22" s="58"/>
      <c r="AD22" s="59"/>
      <c r="AE22" s="59"/>
      <c r="AF22" s="56"/>
      <c r="AG22" s="60"/>
      <c r="AH22" s="53" t="s">
        <f>IFERROR(VLOOKUP(AI22,'索引'!$C$3:$D$8,2,FALSE),"")</f>
        <v>126</v>
      </c>
      <c r="AI22" s="58"/>
      <c r="AJ22" s="64"/>
      <c r="AK22" s="56"/>
      <c r="AL22" s="62"/>
      <c r="AM22" s="63" t="s">
        <f>IF(AJ22&lt;&gt;0,AJ22,"")</f>
        <v>126</v>
      </c>
      <c r="AN22" s="51" t="s">
        <f>IFERROR(VLOOKUP(AO22,'索引'!$I:$J,2,FALSE),"")</f>
        <v>126</v>
      </c>
      <c r="AO22" s="56"/>
      <c r="AP22" s="63" t="s">
        <f>IF(AJ22&lt;&gt;0,AJ22,"")</f>
        <v>126</v>
      </c>
      <c r="AQ22" s="56" t="s">
        <f>IFERROR(VLOOKUP('员工报销单模板'!AR22,'项目中心'!C:D,2,FALSE),"")</f>
        <v>126</v>
      </c>
      <c r="AR22" s="56"/>
      <c r="AS22" s="56"/>
    </row>
    <row r="23" s="24" customFormat="1" ht="14.100000000000001" customHeight="1">
      <c r="AB23" s="51" t="s">
        <f>IFERROR(VLOOKUP('员工报销单模板'!AC23,'索引'!$A$1:$B$62,2,FALSE),"")</f>
        <v>126</v>
      </c>
      <c r="AC23" s="58"/>
      <c r="AD23" s="59"/>
      <c r="AE23" s="59"/>
      <c r="AF23" s="56"/>
      <c r="AG23" s="60"/>
      <c r="AH23" s="53" t="s">
        <f>IFERROR(VLOOKUP(AI23,'索引'!$C$3:$D$8,2,FALSE),"")</f>
        <v>126</v>
      </c>
      <c r="AI23" s="58"/>
      <c r="AJ23" s="64"/>
      <c r="AK23" s="56"/>
      <c r="AL23" s="62"/>
      <c r="AM23" s="63" t="s">
        <f>IF(AJ23&lt;&gt;0,AJ23,"")</f>
        <v>126</v>
      </c>
      <c r="AN23" s="51" t="s">
        <f>IFERROR(VLOOKUP(AO23,'索引'!$I:$J,2,FALSE),"")</f>
        <v>126</v>
      </c>
      <c r="AO23" s="56"/>
      <c r="AP23" s="63" t="s">
        <f>IF(AJ23&lt;&gt;0,AJ23,"")</f>
        <v>126</v>
      </c>
      <c r="AQ23" s="56" t="s">
        <f>IFERROR(VLOOKUP('员工报销单模板'!AR23,'项目中心'!C:D,2,FALSE),"")</f>
        <v>126</v>
      </c>
      <c r="AR23" s="56"/>
      <c r="AS23" s="56"/>
    </row>
    <row r="24" s="24" customFormat="1" ht="14.100000000000001" customHeight="1">
      <c r="AB24" s="51" t="s">
        <f>IFERROR(VLOOKUP('员工报销单模板'!AC24,'索引'!$A$1:$B$62,2,FALSE),"")</f>
        <v>126</v>
      </c>
      <c r="AC24" s="58"/>
      <c r="AD24" s="59"/>
      <c r="AE24" s="59"/>
      <c r="AF24" s="56"/>
      <c r="AG24" s="60"/>
      <c r="AH24" s="53" t="s">
        <f>IFERROR(VLOOKUP(AI24,'索引'!$C$3:$D$8,2,FALSE),"")</f>
        <v>126</v>
      </c>
      <c r="AI24" s="58"/>
      <c r="AJ24" s="64"/>
      <c r="AK24" s="56"/>
      <c r="AL24" s="62"/>
      <c r="AM24" s="63" t="s">
        <f>IF(AJ24&lt;&gt;0,AJ24,"")</f>
        <v>126</v>
      </c>
      <c r="AN24" s="51" t="s">
        <f>IFERROR(VLOOKUP(AO24,'索引'!$I:$J,2,FALSE),"")</f>
        <v>126</v>
      </c>
      <c r="AO24" s="56"/>
      <c r="AP24" s="63" t="s">
        <f>IF(AJ24&lt;&gt;0,AJ24,"")</f>
        <v>126</v>
      </c>
      <c r="AQ24" s="56" t="s">
        <f>IFERROR(VLOOKUP('员工报销单模板'!AR24,'项目中心'!C:D,2,FALSE),"")</f>
        <v>126</v>
      </c>
      <c r="AR24" s="56"/>
      <c r="AS24" s="56"/>
    </row>
    <row r="25" s="24" customFormat="1" ht="14.100000000000001" customHeight="1">
      <c r="AB25" s="51" t="s">
        <f>IFERROR(VLOOKUP('员工报销单模板'!AC25,'索引'!$A$1:$B$62,2,FALSE),"")</f>
        <v>126</v>
      </c>
      <c r="AC25" s="58"/>
      <c r="AD25" s="59"/>
      <c r="AE25" s="59"/>
      <c r="AF25" s="56"/>
      <c r="AG25" s="60"/>
      <c r="AH25" s="53" t="s">
        <f>IFERROR(VLOOKUP(AI25,'索引'!$C$3:$D$8,2,FALSE),"")</f>
        <v>126</v>
      </c>
      <c r="AI25" s="58"/>
      <c r="AJ25" s="64"/>
      <c r="AK25" s="56"/>
      <c r="AL25" s="62"/>
      <c r="AM25" s="63" t="s">
        <f>IF(AJ25&lt;&gt;0,AJ25,"")</f>
        <v>126</v>
      </c>
      <c r="AN25" s="51" t="s">
        <f>IFERROR(VLOOKUP(AO25,'索引'!$I:$J,2,FALSE),"")</f>
        <v>126</v>
      </c>
      <c r="AO25" s="56"/>
      <c r="AP25" s="63" t="s">
        <f>IF(AJ25&lt;&gt;0,AJ25,"")</f>
        <v>126</v>
      </c>
      <c r="AQ25" s="56" t="s">
        <f>IFERROR(VLOOKUP('员工报销单模板'!AR25,'项目中心'!C:D,2,FALSE),"")</f>
        <v>126</v>
      </c>
      <c r="AR25" s="56"/>
      <c r="AS25" s="56"/>
    </row>
    <row r="26" s="24" customFormat="1" ht="14.100000000000001" customHeight="1">
      <c r="AB26" s="51" t="s">
        <f>IFERROR(VLOOKUP('员工报销单模板'!AC26,'索引'!$A$1:$B$62,2,FALSE),"")</f>
        <v>126</v>
      </c>
      <c r="AC26" s="58"/>
      <c r="AD26" s="59"/>
      <c r="AE26" s="59"/>
      <c r="AF26" s="56"/>
      <c r="AG26" s="60"/>
      <c r="AH26" s="53" t="s">
        <f>IFERROR(VLOOKUP(AI26,'索引'!$C$3:$D$8,2,FALSE),"")</f>
        <v>126</v>
      </c>
      <c r="AI26" s="58"/>
      <c r="AJ26" s="64"/>
      <c r="AK26" s="56"/>
      <c r="AL26" s="62"/>
      <c r="AM26" s="63" t="s">
        <f>IF(AJ26&lt;&gt;0,AJ26,"")</f>
        <v>126</v>
      </c>
      <c r="AN26" s="51" t="s">
        <f>IFERROR(VLOOKUP(AO26,'索引'!$I:$J,2,FALSE),"")</f>
        <v>126</v>
      </c>
      <c r="AO26" s="56"/>
      <c r="AP26" s="63" t="s">
        <f>IF(AJ26&lt;&gt;0,AJ26,"")</f>
        <v>126</v>
      </c>
      <c r="AQ26" s="56" t="s">
        <f>IFERROR(VLOOKUP('员工报销单模板'!AR26,'项目中心'!C:D,2,FALSE),"")</f>
        <v>126</v>
      </c>
      <c r="AR26" s="56"/>
      <c r="AS26" s="56"/>
    </row>
    <row r="27" s="24" customFormat="1" ht="14.100000000000001" customHeight="1">
      <c r="AB27" s="51" t="s">
        <f>IFERROR(VLOOKUP('员工报销单模板'!AC27,'索引'!$A$1:$B$62,2,FALSE),"")</f>
        <v>126</v>
      </c>
      <c r="AC27" s="58"/>
      <c r="AD27" s="59"/>
      <c r="AE27" s="59"/>
      <c r="AF27" s="56"/>
      <c r="AG27" s="60"/>
      <c r="AH27" s="53" t="s">
        <f>IFERROR(VLOOKUP(AI27,'索引'!$C$3:$D$8,2,FALSE),"")</f>
        <v>126</v>
      </c>
      <c r="AI27" s="58"/>
      <c r="AJ27" s="64"/>
      <c r="AK27" s="56"/>
      <c r="AL27" s="62"/>
      <c r="AM27" s="63" t="s">
        <f>IF(AJ27&lt;&gt;0,AJ27,"")</f>
        <v>126</v>
      </c>
      <c r="AN27" s="51" t="s">
        <f>IFERROR(VLOOKUP(AO27,'索引'!$I:$J,2,FALSE),"")</f>
        <v>126</v>
      </c>
      <c r="AO27" s="56"/>
      <c r="AP27" s="63" t="s">
        <f>IF(AJ27&lt;&gt;0,AJ27,"")</f>
        <v>126</v>
      </c>
      <c r="AQ27" s="56" t="s">
        <f>IFERROR(VLOOKUP('员工报销单模板'!AR27,'项目中心'!C:D,2,FALSE),"")</f>
        <v>126</v>
      </c>
      <c r="AR27" s="56"/>
      <c r="AS27" s="56"/>
    </row>
    <row r="28" s="24" customFormat="1" ht="14.100000000000001" customHeight="1">
      <c r="AB28" s="51" t="s">
        <f>IFERROR(VLOOKUP('员工报销单模板'!AC28,'索引'!$A$1:$B$62,2,FALSE),"")</f>
        <v>126</v>
      </c>
      <c r="AC28" s="58"/>
      <c r="AD28" s="59"/>
      <c r="AE28" s="59"/>
      <c r="AF28" s="56"/>
      <c r="AG28" s="60"/>
      <c r="AH28" s="53" t="s">
        <f>IFERROR(VLOOKUP(AI28,'索引'!$C$3:$D$8,2,FALSE),"")</f>
        <v>126</v>
      </c>
      <c r="AI28" s="58"/>
      <c r="AJ28" s="64"/>
      <c r="AK28" s="56"/>
      <c r="AL28" s="62"/>
      <c r="AM28" s="63" t="s">
        <f>IF(AJ28&lt;&gt;0,AJ28,"")</f>
        <v>126</v>
      </c>
      <c r="AN28" s="51" t="s">
        <f>IFERROR(VLOOKUP(AO28,'索引'!$I:$J,2,FALSE),"")</f>
        <v>126</v>
      </c>
      <c r="AO28" s="56"/>
      <c r="AP28" s="63" t="s">
        <f>IF(AJ28&lt;&gt;0,AJ28,"")</f>
        <v>126</v>
      </c>
      <c r="AQ28" s="56" t="s">
        <f>IFERROR(VLOOKUP('员工报销单模板'!AR28,'项目中心'!C:D,2,FALSE),"")</f>
        <v>126</v>
      </c>
      <c r="AR28" s="56"/>
      <c r="AS28" s="56"/>
    </row>
    <row r="29" s="24" customFormat="1" ht="14.100000000000001" customHeight="1">
      <c r="AB29" s="51" t="s">
        <f>IFERROR(VLOOKUP('员工报销单模板'!AC29,'索引'!$A$1:$B$62,2,FALSE),"")</f>
        <v>126</v>
      </c>
      <c r="AC29" s="58"/>
      <c r="AD29" s="59"/>
      <c r="AE29" s="59"/>
      <c r="AF29" s="56"/>
      <c r="AG29" s="60"/>
      <c r="AH29" s="53" t="s">
        <f>IFERROR(VLOOKUP(AI29,'索引'!$C$3:$D$8,2,FALSE),"")</f>
        <v>126</v>
      </c>
      <c r="AI29" s="58"/>
      <c r="AJ29" s="64"/>
      <c r="AK29" s="56"/>
      <c r="AL29" s="62"/>
      <c r="AM29" s="63" t="s">
        <f>IF(AJ29&lt;&gt;0,AJ29,"")</f>
        <v>126</v>
      </c>
      <c r="AN29" s="51" t="s">
        <f>IFERROR(VLOOKUP(AO29,'索引'!$I:$J,2,FALSE),"")</f>
        <v>126</v>
      </c>
      <c r="AO29" s="56"/>
      <c r="AP29" s="63" t="s">
        <f>IF(AJ29&lt;&gt;0,AJ29,"")</f>
        <v>126</v>
      </c>
      <c r="AQ29" s="56" t="s">
        <f>IFERROR(VLOOKUP('员工报销单模板'!AR29,'项目中心'!C:D,2,FALSE),"")</f>
        <v>126</v>
      </c>
      <c r="AR29" s="56"/>
      <c r="AS29" s="56"/>
    </row>
    <row r="30" s="24" customFormat="1" ht="14.100000000000001" customHeight="1">
      <c r="AB30" s="51" t="s">
        <f>IFERROR(VLOOKUP('员工报销单模板'!AC30,'索引'!$A$1:$B$62,2,FALSE),"")</f>
        <v>126</v>
      </c>
      <c r="AC30" s="58"/>
      <c r="AD30" s="59"/>
      <c r="AE30" s="59"/>
      <c r="AF30" s="56"/>
      <c r="AG30" s="60"/>
      <c r="AH30" s="53" t="s">
        <f>IFERROR(VLOOKUP(AI30,'索引'!$C$3:$D$8,2,FALSE),"")</f>
        <v>126</v>
      </c>
      <c r="AI30" s="58"/>
      <c r="AJ30" s="64"/>
      <c r="AK30" s="56"/>
      <c r="AL30" s="62"/>
      <c r="AM30" s="63" t="s">
        <f>IF(AJ30&lt;&gt;0,AJ30,"")</f>
        <v>126</v>
      </c>
      <c r="AN30" s="51" t="s">
        <f>IFERROR(VLOOKUP(AO30,'索引'!$I:$J,2,FALSE),"")</f>
        <v>126</v>
      </c>
      <c r="AO30" s="56"/>
      <c r="AP30" s="63" t="s">
        <f>IF(AJ30&lt;&gt;0,AJ30,"")</f>
        <v>126</v>
      </c>
      <c r="AQ30" s="56" t="s">
        <f>IFERROR(VLOOKUP('员工报销单模板'!AR30,'项目中心'!C:D,2,FALSE),"")</f>
        <v>126</v>
      </c>
      <c r="AR30" s="56"/>
      <c r="AS30" s="56"/>
    </row>
    <row r="31" s="24" customFormat="1" ht="14.100000000000001" customHeight="1">
      <c r="AB31" s="51" t="s">
        <f>IFERROR(VLOOKUP('员工报销单模板'!AC31,'索引'!$A$1:$B$62,2,FALSE),"")</f>
        <v>126</v>
      </c>
      <c r="AC31" s="58"/>
      <c r="AD31" s="59"/>
      <c r="AE31" s="59"/>
      <c r="AF31" s="56"/>
      <c r="AG31" s="60"/>
      <c r="AH31" s="53" t="s">
        <f>IFERROR(VLOOKUP(AI31,'索引'!$C$3:$D$8,2,FALSE),"")</f>
        <v>126</v>
      </c>
      <c r="AI31" s="58"/>
      <c r="AJ31" s="64"/>
      <c r="AK31" s="56"/>
      <c r="AL31" s="62"/>
      <c r="AM31" s="63" t="s">
        <f>IF(AJ31&lt;&gt;0,AJ31,"")</f>
        <v>126</v>
      </c>
      <c r="AN31" s="51" t="s">
        <f>IFERROR(VLOOKUP(AO31,'索引'!$I:$J,2,FALSE),"")</f>
        <v>126</v>
      </c>
      <c r="AO31" s="56"/>
      <c r="AP31" s="63" t="s">
        <f>IF(AJ31&lt;&gt;0,AJ31,"")</f>
        <v>126</v>
      </c>
      <c r="AQ31" s="56" t="s">
        <f>IFERROR(VLOOKUP('员工报销单模板'!AR31,'项目中心'!C:D,2,FALSE),"")</f>
        <v>126</v>
      </c>
      <c r="AR31" s="56"/>
      <c r="AS31" s="56"/>
    </row>
    <row r="32" s="24" customFormat="1" ht="14.100000000000001" customHeight="1">
      <c r="AB32" s="51" t="s">
        <f>IFERROR(VLOOKUP('员工报销单模板'!AC32,'索引'!$A$1:$B$62,2,FALSE),"")</f>
        <v>126</v>
      </c>
      <c r="AC32" s="58"/>
      <c r="AD32" s="59"/>
      <c r="AE32" s="59"/>
      <c r="AF32" s="56"/>
      <c r="AG32" s="60"/>
      <c r="AH32" s="53" t="s">
        <f>IFERROR(VLOOKUP(AI32,'索引'!$C$3:$D$8,2,FALSE),"")</f>
        <v>126</v>
      </c>
      <c r="AI32" s="58"/>
      <c r="AJ32" s="64"/>
      <c r="AK32" s="56"/>
      <c r="AL32" s="62"/>
      <c r="AM32" s="63" t="s">
        <f>IF(AJ32&lt;&gt;0,AJ32,"")</f>
        <v>126</v>
      </c>
      <c r="AN32" s="51" t="s">
        <f>IFERROR(VLOOKUP(AO32,'索引'!$I:$J,2,FALSE),"")</f>
        <v>126</v>
      </c>
      <c r="AO32" s="56"/>
      <c r="AP32" s="63" t="s">
        <f>IF(AJ32&lt;&gt;0,AJ32,"")</f>
        <v>126</v>
      </c>
      <c r="AQ32" s="56" t="s">
        <f>IFERROR(VLOOKUP('员工报销单模板'!AR32,'项目中心'!C:D,2,FALSE),"")</f>
        <v>126</v>
      </c>
      <c r="AR32" s="56"/>
      <c r="AS32" s="56"/>
    </row>
    <row r="33" s="24" customFormat="1" ht="14.100000000000001" customHeight="1">
      <c r="AB33" s="51" t="s">
        <f>IFERROR(VLOOKUP('员工报销单模板'!AC33,'索引'!$A$1:$B$62,2,FALSE),"")</f>
        <v>126</v>
      </c>
      <c r="AC33" s="58"/>
      <c r="AD33" s="59"/>
      <c r="AE33" s="59"/>
      <c r="AF33" s="56"/>
      <c r="AG33" s="60"/>
      <c r="AH33" s="53" t="s">
        <f>IFERROR(VLOOKUP(AI33,'索引'!$C$3:$D$8,2,FALSE),"")</f>
        <v>126</v>
      </c>
      <c r="AI33" s="58"/>
      <c r="AJ33" s="64"/>
      <c r="AK33" s="56"/>
      <c r="AL33" s="62"/>
      <c r="AM33" s="63" t="s">
        <f>IF(AJ33&lt;&gt;0,AJ33,"")</f>
        <v>126</v>
      </c>
      <c r="AN33" s="51" t="s">
        <f>IFERROR(VLOOKUP(AO33,'索引'!$I:$J,2,FALSE),"")</f>
        <v>126</v>
      </c>
      <c r="AO33" s="56"/>
      <c r="AP33" s="63" t="s">
        <f>IF(AJ33&lt;&gt;0,AJ33,"")</f>
        <v>126</v>
      </c>
      <c r="AQ33" s="56" t="s">
        <f>IFERROR(VLOOKUP('员工报销单模板'!AR33,'项目中心'!C:D,2,FALSE),"")</f>
        <v>126</v>
      </c>
      <c r="AR33" s="56"/>
      <c r="AS33" s="56"/>
    </row>
    <row r="34" s="24" customFormat="1" ht="14.100000000000001" customHeight="1">
      <c r="AB34" s="51" t="s">
        <f>IFERROR(VLOOKUP('员工报销单模板'!AC34,'索引'!$A$1:$B$62,2,FALSE),"")</f>
        <v>126</v>
      </c>
      <c r="AC34" s="58"/>
      <c r="AD34" s="59"/>
      <c r="AE34" s="59"/>
      <c r="AF34" s="56"/>
      <c r="AG34" s="60"/>
      <c r="AH34" s="53" t="s">
        <f>IFERROR(VLOOKUP(AI34,'索引'!$C$3:$D$8,2,FALSE),"")</f>
        <v>126</v>
      </c>
      <c r="AI34" s="58"/>
      <c r="AJ34" s="64"/>
      <c r="AK34" s="56"/>
      <c r="AL34" s="62"/>
      <c r="AM34" s="63" t="s">
        <f>IF(AJ34&lt;&gt;0,AJ34,"")</f>
        <v>126</v>
      </c>
      <c r="AN34" s="51" t="s">
        <f>IFERROR(VLOOKUP(AO34,'索引'!$I:$J,2,FALSE),"")</f>
        <v>126</v>
      </c>
      <c r="AO34" s="56"/>
      <c r="AP34" s="63" t="s">
        <f>IF(AJ34&lt;&gt;0,AJ34,"")</f>
        <v>126</v>
      </c>
      <c r="AQ34" s="56" t="s">
        <f>IFERROR(VLOOKUP('员工报销单模板'!AR34,'项目中心'!C:D,2,FALSE),"")</f>
        <v>126</v>
      </c>
      <c r="AR34" s="56"/>
      <c r="AS34" s="56"/>
    </row>
    <row r="35" s="24" customFormat="1" ht="14.100000000000001" customHeight="1">
      <c r="AB35" s="51" t="s">
        <f>IFERROR(VLOOKUP('员工报销单模板'!AC35,'索引'!$A$1:$B$62,2,FALSE),"")</f>
        <v>126</v>
      </c>
      <c r="AC35" s="58"/>
      <c r="AD35" s="59"/>
      <c r="AE35" s="59"/>
      <c r="AF35" s="56"/>
      <c r="AG35" s="60"/>
      <c r="AH35" s="53" t="s">
        <f>IFERROR(VLOOKUP(AI35,'索引'!$C$3:$D$8,2,FALSE),"")</f>
        <v>126</v>
      </c>
      <c r="AI35" s="58"/>
      <c r="AJ35" s="64"/>
      <c r="AK35" s="56"/>
      <c r="AL35" s="62"/>
      <c r="AM35" s="63" t="s">
        <f>IF(AJ35&lt;&gt;0,AJ35,"")</f>
        <v>126</v>
      </c>
      <c r="AN35" s="51" t="s">
        <f>IFERROR(VLOOKUP(AO35,'索引'!$I:$J,2,FALSE),"")</f>
        <v>126</v>
      </c>
      <c r="AO35" s="56"/>
      <c r="AP35" s="63" t="s">
        <f>IF(AJ35&lt;&gt;0,AJ35,"")</f>
        <v>126</v>
      </c>
      <c r="AQ35" s="56" t="s">
        <f>IFERROR(VLOOKUP('员工报销单模板'!AR35,'项目中心'!C:D,2,FALSE),"")</f>
        <v>126</v>
      </c>
      <c r="AR35" s="56"/>
      <c r="AS35" s="56"/>
    </row>
    <row r="36" s="24" customFormat="1" ht="14.100000000000001" customHeight="1">
      <c r="AB36" s="51" t="s">
        <f>IFERROR(VLOOKUP('员工报销单模板'!AC36,'索引'!$A$1:$B$62,2,FALSE),"")</f>
        <v>126</v>
      </c>
      <c r="AC36" s="58"/>
      <c r="AD36" s="59"/>
      <c r="AE36" s="59"/>
      <c r="AF36" s="56"/>
      <c r="AG36" s="60"/>
      <c r="AH36" s="53" t="s">
        <f>IFERROR(VLOOKUP(AI36,'索引'!$C$3:$D$8,2,FALSE),"")</f>
        <v>126</v>
      </c>
      <c r="AI36" s="58"/>
      <c r="AJ36" s="64"/>
      <c r="AK36" s="56"/>
      <c r="AL36" s="62"/>
      <c r="AM36" s="63" t="s">
        <f>IF(AJ36&lt;&gt;0,AJ36,"")</f>
        <v>126</v>
      </c>
      <c r="AN36" s="51" t="s">
        <f>IFERROR(VLOOKUP(AO36,'索引'!$I:$J,2,FALSE),"")</f>
        <v>126</v>
      </c>
      <c r="AO36" s="56"/>
      <c r="AP36" s="63" t="s">
        <f>IF(AJ36&lt;&gt;0,AJ36,"")</f>
        <v>126</v>
      </c>
      <c r="AQ36" s="56" t="s">
        <f>IFERROR(VLOOKUP('员工报销单模板'!AR36,'项目中心'!C:D,2,FALSE),"")</f>
        <v>126</v>
      </c>
      <c r="AR36" s="56"/>
      <c r="AS36" s="56"/>
    </row>
    <row r="37" s="24" customFormat="1" ht="14.100000000000001" customHeight="1">
      <c r="AB37" s="51" t="s">
        <f>IFERROR(VLOOKUP('员工报销单模板'!AC37,'索引'!$A$1:$B$62,2,FALSE),"")</f>
        <v>126</v>
      </c>
      <c r="AC37" s="58"/>
      <c r="AD37" s="59"/>
      <c r="AE37" s="59"/>
      <c r="AF37" s="56"/>
      <c r="AG37" s="60"/>
      <c r="AH37" s="53" t="s">
        <f>IFERROR(VLOOKUP(AI37,'索引'!$C$3:$D$8,2,FALSE),"")</f>
        <v>126</v>
      </c>
      <c r="AI37" s="58"/>
      <c r="AJ37" s="64"/>
      <c r="AK37" s="56"/>
      <c r="AL37" s="62"/>
      <c r="AM37" s="63" t="s">
        <f>IF(AJ37&lt;&gt;0,AJ37,"")</f>
        <v>126</v>
      </c>
      <c r="AN37" s="51" t="s">
        <f>IFERROR(VLOOKUP(AO37,'索引'!$I:$J,2,FALSE),"")</f>
        <v>126</v>
      </c>
      <c r="AO37" s="56"/>
      <c r="AP37" s="63" t="s">
        <f>IF(AJ37&lt;&gt;0,AJ37,"")</f>
        <v>126</v>
      </c>
      <c r="AQ37" s="56" t="s">
        <f>IFERROR(VLOOKUP('员工报销单模板'!AR37,'项目中心'!C:D,2,FALSE),"")</f>
        <v>126</v>
      </c>
      <c r="AR37" s="56"/>
      <c r="AS37" s="56"/>
    </row>
    <row r="38" s="24" customFormat="1" ht="14.100000000000001" customHeight="1">
      <c r="AB38" s="51" t="s">
        <f>IFERROR(VLOOKUP('员工报销单模板'!AC38,'索引'!$A$1:$B$62,2,FALSE),"")</f>
        <v>126</v>
      </c>
      <c r="AC38" s="58"/>
      <c r="AD38" s="59"/>
      <c r="AE38" s="59"/>
      <c r="AF38" s="56"/>
      <c r="AG38" s="60"/>
      <c r="AH38" s="53" t="s">
        <f>IFERROR(VLOOKUP(AI38,'索引'!$C$3:$D$8,2,FALSE),"")</f>
        <v>126</v>
      </c>
      <c r="AI38" s="58"/>
      <c r="AJ38" s="64"/>
      <c r="AK38" s="56"/>
      <c r="AL38" s="62"/>
      <c r="AM38" s="63" t="s">
        <f>IF(AJ38&lt;&gt;0,AJ38,"")</f>
        <v>126</v>
      </c>
      <c r="AN38" s="51" t="s">
        <f>IFERROR(VLOOKUP(AO38,'索引'!$I:$J,2,FALSE),"")</f>
        <v>126</v>
      </c>
      <c r="AO38" s="56"/>
      <c r="AP38" s="63" t="s">
        <f>IF(AJ38&lt;&gt;0,AJ38,"")</f>
        <v>126</v>
      </c>
      <c r="AQ38" s="56" t="s">
        <f>IFERROR(VLOOKUP('员工报销单模板'!AR38,'项目中心'!C:D,2,FALSE),"")</f>
        <v>126</v>
      </c>
      <c r="AR38" s="56"/>
      <c r="AS38" s="56"/>
    </row>
    <row r="39" s="24" customFormat="1" ht="14.100000000000001" customHeight="1">
      <c r="AB39" s="51" t="s">
        <f>IFERROR(VLOOKUP('员工报销单模板'!AC39,'索引'!$A$1:$B$62,2,FALSE),"")</f>
        <v>126</v>
      </c>
      <c r="AC39" s="58"/>
      <c r="AD39" s="59"/>
      <c r="AE39" s="59"/>
      <c r="AF39" s="56"/>
      <c r="AG39" s="60"/>
      <c r="AH39" s="53" t="s">
        <f>IFERROR(VLOOKUP(AI39,'索引'!$C$3:$D$8,2,FALSE),"")</f>
        <v>126</v>
      </c>
      <c r="AI39" s="58"/>
      <c r="AJ39" s="64"/>
      <c r="AK39" s="56"/>
      <c r="AL39" s="62"/>
      <c r="AM39" s="63" t="s">
        <f>IF(AJ39&lt;&gt;0,AJ39,"")</f>
        <v>126</v>
      </c>
      <c r="AN39" s="51" t="s">
        <f>IFERROR(VLOOKUP(AO39,'索引'!$I:$J,2,FALSE),"")</f>
        <v>126</v>
      </c>
      <c r="AO39" s="56"/>
      <c r="AP39" s="63" t="s">
        <f>IF(AJ39&lt;&gt;0,AJ39,"")</f>
        <v>126</v>
      </c>
      <c r="AQ39" s="56" t="s">
        <f>IFERROR(VLOOKUP('员工报销单模板'!AR39,'项目中心'!C:D,2,FALSE),"")</f>
        <v>126</v>
      </c>
      <c r="AR39" s="56"/>
      <c r="AS39" s="56"/>
    </row>
    <row r="40" s="24" customFormat="1" ht="14.100000000000001" customHeight="1">
      <c r="AB40" s="51" t="s">
        <f>IFERROR(VLOOKUP('员工报销单模板'!AC40,'索引'!$A$1:$B$62,2,FALSE),"")</f>
        <v>126</v>
      </c>
      <c r="AC40" s="58"/>
      <c r="AD40" s="59"/>
      <c r="AE40" s="59"/>
      <c r="AF40" s="56"/>
      <c r="AG40" s="60"/>
      <c r="AH40" s="53" t="s">
        <f>IFERROR(VLOOKUP(AI40,'索引'!$C$3:$D$8,2,FALSE),"")</f>
        <v>126</v>
      </c>
      <c r="AI40" s="58"/>
      <c r="AJ40" s="64"/>
      <c r="AK40" s="56"/>
      <c r="AL40" s="62"/>
      <c r="AM40" s="63" t="s">
        <f>IF(AJ40&lt;&gt;0,AJ40,"")</f>
        <v>126</v>
      </c>
      <c r="AN40" s="51" t="s">
        <f>IFERROR(VLOOKUP(AO40,'索引'!$I:$J,2,FALSE),"")</f>
        <v>126</v>
      </c>
      <c r="AO40" s="56"/>
      <c r="AP40" s="63" t="s">
        <f>IF(AJ40&lt;&gt;0,AJ40,"")</f>
        <v>126</v>
      </c>
      <c r="AQ40" s="56" t="s">
        <f>IFERROR(VLOOKUP('员工报销单模板'!AR40,'项目中心'!C:D,2,FALSE),"")</f>
        <v>126</v>
      </c>
      <c r="AR40" s="56"/>
      <c r="AS40" s="56"/>
    </row>
    <row r="41" s="24" customFormat="1" ht="14.100000000000001" customHeight="1">
      <c r="AB41" s="51" t="s">
        <f>IFERROR(VLOOKUP('员工报销单模板'!AC41,'索引'!$A$1:$B$62,2,FALSE),"")</f>
        <v>126</v>
      </c>
      <c r="AC41" s="58"/>
      <c r="AD41" s="59"/>
      <c r="AE41" s="59"/>
      <c r="AF41" s="56"/>
      <c r="AG41" s="60"/>
      <c r="AH41" s="53" t="s">
        <f>IFERROR(VLOOKUP(AI41,'索引'!$C$3:$D$8,2,FALSE),"")</f>
        <v>126</v>
      </c>
      <c r="AI41" s="58"/>
      <c r="AJ41" s="64"/>
      <c r="AK41" s="56"/>
      <c r="AL41" s="62"/>
      <c r="AM41" s="63" t="s">
        <f>IF(AJ41&lt;&gt;0,AJ41,"")</f>
        <v>126</v>
      </c>
      <c r="AN41" s="51" t="s">
        <f>IFERROR(VLOOKUP(AO41,'索引'!$I:$J,2,FALSE),"")</f>
        <v>126</v>
      </c>
      <c r="AO41" s="56"/>
      <c r="AP41" s="63" t="s">
        <f>IF(AJ41&lt;&gt;0,AJ41,"")</f>
        <v>126</v>
      </c>
      <c r="AQ41" s="56" t="s">
        <f>IFERROR(VLOOKUP('员工报销单模板'!AR41,'项目中心'!C:D,2,FALSE),"")</f>
        <v>126</v>
      </c>
      <c r="AR41" s="56"/>
      <c r="AS41" s="56"/>
    </row>
    <row r="42" s="24" customFormat="1" ht="14.100000000000001" customHeight="1">
      <c r="AB42" s="51" t="s">
        <f>IFERROR(VLOOKUP('员工报销单模板'!AC42,'索引'!$A$1:$B$62,2,FALSE),"")</f>
        <v>126</v>
      </c>
      <c r="AC42" s="58"/>
      <c r="AD42" s="59"/>
      <c r="AE42" s="59"/>
      <c r="AF42" s="56"/>
      <c r="AG42" s="60"/>
      <c r="AH42" s="53" t="s">
        <f>IFERROR(VLOOKUP(AI42,'索引'!$C$3:$D$8,2,FALSE),"")</f>
        <v>126</v>
      </c>
      <c r="AI42" s="58"/>
      <c r="AJ42" s="64"/>
      <c r="AK42" s="56"/>
      <c r="AL42" s="62"/>
      <c r="AM42" s="63" t="s">
        <f>IF(AJ42&lt;&gt;0,AJ42,"")</f>
        <v>126</v>
      </c>
      <c r="AN42" s="51" t="s">
        <f>IFERROR(VLOOKUP(AO42,'索引'!$I:$J,2,FALSE),"")</f>
        <v>126</v>
      </c>
      <c r="AO42" s="56"/>
      <c r="AP42" s="63" t="s">
        <f>IF(AJ42&lt;&gt;0,AJ42,"")</f>
        <v>126</v>
      </c>
      <c r="AQ42" s="56" t="s">
        <f>IFERROR(VLOOKUP('员工报销单模板'!AR42,'项目中心'!C:D,2,FALSE),"")</f>
        <v>126</v>
      </c>
      <c r="AR42" s="56"/>
      <c r="AS42" s="56"/>
    </row>
    <row r="43" s="24" customFormat="1" ht="14.100000000000001" customHeight="1">
      <c r="AB43" s="51" t="s">
        <f>IFERROR(VLOOKUP('员工报销单模板'!AC43,'索引'!$A$1:$B$62,2,FALSE),"")</f>
        <v>126</v>
      </c>
      <c r="AC43" s="58"/>
      <c r="AD43" s="59"/>
      <c r="AE43" s="59"/>
      <c r="AF43" s="56"/>
      <c r="AG43" s="60"/>
      <c r="AH43" s="53" t="s">
        <f>IFERROR(VLOOKUP(AI43,'索引'!$C$3:$D$8,2,FALSE),"")</f>
        <v>126</v>
      </c>
      <c r="AI43" s="58"/>
      <c r="AJ43" s="64"/>
      <c r="AK43" s="56"/>
      <c r="AL43" s="62"/>
      <c r="AM43" s="63" t="s">
        <f>IF(AJ43&lt;&gt;0,AJ43,"")</f>
        <v>126</v>
      </c>
      <c r="AN43" s="51" t="s">
        <f>IFERROR(VLOOKUP(AO43,'索引'!$I:$J,2,FALSE),"")</f>
        <v>126</v>
      </c>
      <c r="AO43" s="56"/>
      <c r="AP43" s="63" t="s">
        <f>IF(AJ43&lt;&gt;0,AJ43,"")</f>
        <v>126</v>
      </c>
      <c r="AQ43" s="56" t="s">
        <f>IFERROR(VLOOKUP('员工报销单模板'!AR43,'项目中心'!C:D,2,FALSE),"")</f>
        <v>126</v>
      </c>
      <c r="AR43" s="56"/>
      <c r="AS43" s="56"/>
    </row>
    <row r="44" s="24" customFormat="1" ht="14.100000000000001" customHeight="1">
      <c r="AB44" s="51" t="s">
        <f>IFERROR(VLOOKUP('员工报销单模板'!AC44,'索引'!$A$1:$B$62,2,FALSE),"")</f>
        <v>126</v>
      </c>
      <c r="AC44" s="58"/>
      <c r="AD44" s="59"/>
      <c r="AE44" s="59"/>
      <c r="AF44" s="56"/>
      <c r="AG44" s="60"/>
      <c r="AH44" s="53" t="s">
        <f>IFERROR(VLOOKUP(AI44,'索引'!$C$3:$D$8,2,FALSE),"")</f>
        <v>126</v>
      </c>
      <c r="AI44" s="58"/>
      <c r="AJ44" s="64"/>
      <c r="AK44" s="56"/>
      <c r="AL44" s="62"/>
      <c r="AM44" s="63" t="s">
        <f>IF(AJ44&lt;&gt;0,AJ44,"")</f>
        <v>126</v>
      </c>
      <c r="AN44" s="51" t="s">
        <f>IFERROR(VLOOKUP(AO44,'索引'!$I:$J,2,FALSE),"")</f>
        <v>126</v>
      </c>
      <c r="AO44" s="56"/>
      <c r="AP44" s="63" t="s">
        <f>IF(AJ44&lt;&gt;0,AJ44,"")</f>
        <v>126</v>
      </c>
      <c r="AQ44" s="56" t="s">
        <f>IFERROR(VLOOKUP('员工报销单模板'!AR44,'项目中心'!C:D,2,FALSE),"")</f>
        <v>126</v>
      </c>
      <c r="AR44" s="56"/>
      <c r="AS44" s="56"/>
    </row>
    <row r="45" s="24" customFormat="1" ht="14.100000000000001" customHeight="1">
      <c r="AB45" s="51" t="s">
        <f>IFERROR(VLOOKUP('员工报销单模板'!AC45,'索引'!$A$1:$B$62,2,FALSE),"")</f>
        <v>126</v>
      </c>
      <c r="AC45" s="58"/>
      <c r="AD45" s="59"/>
      <c r="AE45" s="59"/>
      <c r="AF45" s="56"/>
      <c r="AG45" s="60"/>
      <c r="AH45" s="53" t="s">
        <f>IFERROR(VLOOKUP(AI45,'索引'!$C$3:$D$8,2,FALSE),"")</f>
        <v>126</v>
      </c>
      <c r="AI45" s="58"/>
      <c r="AJ45" s="64"/>
      <c r="AK45" s="56"/>
      <c r="AL45" s="62"/>
      <c r="AM45" s="63" t="s">
        <f>IF(AJ45&lt;&gt;0,AJ45,"")</f>
        <v>126</v>
      </c>
      <c r="AN45" s="51" t="s">
        <f>IFERROR(VLOOKUP(AO45,'索引'!$I:$J,2,FALSE),"")</f>
        <v>126</v>
      </c>
      <c r="AO45" s="56"/>
      <c r="AP45" s="63" t="s">
        <f>IF(AJ45&lt;&gt;0,AJ45,"")</f>
        <v>126</v>
      </c>
      <c r="AQ45" s="56" t="s">
        <f>IFERROR(VLOOKUP('员工报销单模板'!AR45,'项目中心'!C:D,2,FALSE),"")</f>
        <v>126</v>
      </c>
      <c r="AR45" s="56"/>
      <c r="AS45" s="56"/>
    </row>
    <row r="46" s="24" customFormat="1" ht="14.100000000000001" customHeight="1">
      <c r="AB46" s="51" t="s">
        <f>IFERROR(VLOOKUP('员工报销单模板'!AC46,'索引'!$A$1:$B$62,2,FALSE),"")</f>
        <v>126</v>
      </c>
      <c r="AC46" s="58"/>
      <c r="AD46" s="59"/>
      <c r="AE46" s="59"/>
      <c r="AF46" s="56"/>
      <c r="AG46" s="60"/>
      <c r="AH46" s="53" t="s">
        <f>IFERROR(VLOOKUP(AI46,'索引'!$C$3:$D$8,2,FALSE),"")</f>
        <v>126</v>
      </c>
      <c r="AI46" s="58"/>
      <c r="AJ46" s="64"/>
      <c r="AK46" s="56"/>
      <c r="AL46" s="62"/>
      <c r="AM46" s="63" t="s">
        <f>IF(AJ46&lt;&gt;0,AJ46,"")</f>
        <v>126</v>
      </c>
      <c r="AN46" s="51" t="s">
        <f>IFERROR(VLOOKUP(AO46,'索引'!$I:$J,2,FALSE),"")</f>
        <v>126</v>
      </c>
      <c r="AO46" s="56"/>
      <c r="AP46" s="63" t="s">
        <f>IF(AJ46&lt;&gt;0,AJ46,"")</f>
        <v>126</v>
      </c>
      <c r="AQ46" s="56" t="s">
        <f>IFERROR(VLOOKUP('员工报销单模板'!AR46,'项目中心'!C:D,2,FALSE),"")</f>
        <v>126</v>
      </c>
      <c r="AR46" s="56"/>
      <c r="AS46" s="56"/>
    </row>
    <row r="47" s="24" customFormat="1" ht="14.100000000000001" customHeight="1">
      <c r="AB47" s="51" t="s">
        <f>IFERROR(VLOOKUP('员工报销单模板'!AC47,'索引'!$A$1:$B$62,2,FALSE),"")</f>
        <v>126</v>
      </c>
      <c r="AC47" s="58"/>
      <c r="AD47" s="59"/>
      <c r="AE47" s="59"/>
      <c r="AF47" s="56"/>
      <c r="AG47" s="60"/>
      <c r="AH47" s="53" t="s">
        <f>IFERROR(VLOOKUP(AI47,'索引'!$C$3:$D$8,2,FALSE),"")</f>
        <v>126</v>
      </c>
      <c r="AI47" s="58"/>
      <c r="AJ47" s="64"/>
      <c r="AK47" s="56"/>
      <c r="AL47" s="62"/>
      <c r="AM47" s="63" t="s">
        <f>IF(AJ47&lt;&gt;0,AJ47,"")</f>
        <v>126</v>
      </c>
      <c r="AN47" s="51" t="s">
        <f>IFERROR(VLOOKUP(AO47,'索引'!$I:$J,2,FALSE),"")</f>
        <v>126</v>
      </c>
      <c r="AO47" s="56"/>
      <c r="AP47" s="63" t="s">
        <f>IF(AJ47&lt;&gt;0,AJ47,"")</f>
        <v>126</v>
      </c>
      <c r="AQ47" s="56" t="s">
        <f>IFERROR(VLOOKUP('员工报销单模板'!AR47,'项目中心'!C:D,2,FALSE),"")</f>
        <v>126</v>
      </c>
      <c r="AR47" s="56"/>
      <c r="AS47" s="56"/>
    </row>
    <row r="48" s="24" customFormat="1" ht="14.100000000000001" customHeight="1">
      <c r="AB48" s="51" t="s">
        <f>IFERROR(VLOOKUP('员工报销单模板'!AC48,'索引'!$A$1:$B$62,2,FALSE),"")</f>
        <v>126</v>
      </c>
      <c r="AC48" s="58"/>
      <c r="AD48" s="59"/>
      <c r="AE48" s="59"/>
      <c r="AF48" s="56"/>
      <c r="AG48" s="60"/>
      <c r="AH48" s="53" t="s">
        <f>IFERROR(VLOOKUP(AI48,'索引'!$C$3:$D$8,2,FALSE),"")</f>
        <v>126</v>
      </c>
      <c r="AI48" s="58"/>
      <c r="AJ48" s="64"/>
      <c r="AK48" s="56"/>
      <c r="AL48" s="62"/>
      <c r="AM48" s="63" t="s">
        <f>IF(AJ48&lt;&gt;0,AJ48,"")</f>
        <v>126</v>
      </c>
      <c r="AN48" s="51" t="s">
        <f>IFERROR(VLOOKUP(AO48,'索引'!$I:$J,2,FALSE),"")</f>
        <v>126</v>
      </c>
      <c r="AO48" s="56"/>
      <c r="AP48" s="63" t="s">
        <f>IF(AJ48&lt;&gt;0,AJ48,"")</f>
        <v>126</v>
      </c>
      <c r="AQ48" s="56" t="s">
        <f>IFERROR(VLOOKUP('员工报销单模板'!AR48,'项目中心'!C:D,2,FALSE),"")</f>
        <v>126</v>
      </c>
      <c r="AR48" s="56"/>
      <c r="AS48" s="56"/>
    </row>
    <row r="49" s="24" customFormat="1" ht="14.100000000000001" customHeight="1">
      <c r="AB49" s="51" t="s">
        <f>IFERROR(VLOOKUP('员工报销单模板'!AC49,'索引'!$A$1:$B$62,2,FALSE),"")</f>
        <v>126</v>
      </c>
      <c r="AC49" s="58"/>
      <c r="AD49" s="59"/>
      <c r="AE49" s="59"/>
      <c r="AF49" s="56"/>
      <c r="AG49" s="60"/>
      <c r="AH49" s="53" t="s">
        <f>IFERROR(VLOOKUP(AI49,'索引'!$C$3:$D$8,2,FALSE),"")</f>
        <v>126</v>
      </c>
      <c r="AI49" s="58"/>
      <c r="AJ49" s="64"/>
      <c r="AK49" s="56"/>
      <c r="AL49" s="62"/>
      <c r="AM49" s="63" t="s">
        <f>IF(AJ49&lt;&gt;0,AJ49,"")</f>
        <v>126</v>
      </c>
      <c r="AN49" s="51" t="s">
        <f>IFERROR(VLOOKUP(AO49,'索引'!$I:$J,2,FALSE),"")</f>
        <v>126</v>
      </c>
      <c r="AO49" s="56"/>
      <c r="AP49" s="63" t="s">
        <f>IF(AJ49&lt;&gt;0,AJ49,"")</f>
        <v>126</v>
      </c>
      <c r="AQ49" s="56" t="s">
        <f>IFERROR(VLOOKUP('员工报销单模板'!AR49,'项目中心'!C:D,2,FALSE),"")</f>
        <v>126</v>
      </c>
      <c r="AR49" s="56"/>
      <c r="AS49" s="56"/>
    </row>
    <row r="50" s="24" customFormat="1" ht="14.100000000000001" customHeight="1">
      <c r="AB50" s="51" t="s">
        <f>IFERROR(VLOOKUP('员工报销单模板'!AC50,'索引'!$A$1:$B$62,2,FALSE),"")</f>
        <v>126</v>
      </c>
      <c r="AC50" s="58"/>
      <c r="AD50" s="59"/>
      <c r="AE50" s="59"/>
      <c r="AF50" s="56"/>
      <c r="AG50" s="60"/>
      <c r="AH50" s="53" t="s">
        <f>IFERROR(VLOOKUP(AI50,'索引'!$C$3:$D$8,2,FALSE),"")</f>
        <v>126</v>
      </c>
      <c r="AI50" s="58"/>
      <c r="AJ50" s="64"/>
      <c r="AK50" s="56"/>
      <c r="AL50" s="62"/>
      <c r="AM50" s="63" t="s">
        <f>IF(AJ50&lt;&gt;0,AJ50,"")</f>
        <v>126</v>
      </c>
      <c r="AN50" s="51" t="s">
        <f>IFERROR(VLOOKUP(AO50,'索引'!$I:$J,2,FALSE),"")</f>
        <v>126</v>
      </c>
      <c r="AO50" s="56"/>
      <c r="AP50" s="63" t="s">
        <f>IF(AJ50&lt;&gt;0,AJ50,"")</f>
        <v>126</v>
      </c>
      <c r="AQ50" s="56" t="s">
        <f>IFERROR(VLOOKUP('员工报销单模板'!AR50,'项目中心'!C:D,2,FALSE),"")</f>
        <v>126</v>
      </c>
      <c r="AR50" s="56"/>
      <c r="AS50" s="56"/>
    </row>
    <row r="51" s="24" customFormat="1" ht="14.100000000000001" customHeight="1">
      <c r="AB51" s="51" t="s">
        <f>IFERROR(VLOOKUP('员工报销单模板'!AC51,'索引'!$A$1:$B$62,2,FALSE),"")</f>
        <v>126</v>
      </c>
      <c r="AC51" s="58"/>
      <c r="AD51" s="59"/>
      <c r="AE51" s="59"/>
      <c r="AF51" s="56"/>
      <c r="AG51" s="60"/>
      <c r="AH51" s="53" t="s">
        <f>IFERROR(VLOOKUP(AI51,'索引'!$C$3:$D$8,2,FALSE),"")</f>
        <v>126</v>
      </c>
      <c r="AI51" s="58"/>
      <c r="AJ51" s="64"/>
      <c r="AK51" s="56"/>
      <c r="AL51" s="62"/>
      <c r="AM51" s="63" t="s">
        <f>IF(AJ51&lt;&gt;0,AJ51,"")</f>
        <v>126</v>
      </c>
      <c r="AN51" s="51" t="s">
        <f>IFERROR(VLOOKUP(AO51,'索引'!$I:$J,2,FALSE),"")</f>
        <v>126</v>
      </c>
      <c r="AO51" s="56"/>
      <c r="AP51" s="63" t="s">
        <f>IF(AJ51&lt;&gt;0,AJ51,"")</f>
        <v>126</v>
      </c>
      <c r="AQ51" s="56" t="s">
        <f>IFERROR(VLOOKUP('员工报销单模板'!AR51,'项目中心'!C:D,2,FALSE),"")</f>
        <v>126</v>
      </c>
      <c r="AR51" s="56"/>
      <c r="AS51" s="56"/>
    </row>
    <row r="52" s="24" customFormat="1" ht="14.100000000000001" customHeight="1">
      <c r="AB52" s="51" t="s">
        <f>IFERROR(VLOOKUP('员工报销单模板'!AC52,'索引'!$A$1:$B$62,2,FALSE),"")</f>
        <v>126</v>
      </c>
      <c r="AC52" s="58"/>
      <c r="AD52" s="59"/>
      <c r="AE52" s="59"/>
      <c r="AF52" s="56"/>
      <c r="AG52" s="60"/>
      <c r="AH52" s="53" t="s">
        <f>IFERROR(VLOOKUP(AI52,'索引'!$C$3:$D$8,2,FALSE),"")</f>
        <v>126</v>
      </c>
      <c r="AI52" s="58"/>
      <c r="AJ52" s="64"/>
      <c r="AK52" s="56"/>
      <c r="AL52" s="62"/>
      <c r="AM52" s="63" t="s">
        <f>IF(AJ52&lt;&gt;0,AJ52,"")</f>
        <v>126</v>
      </c>
      <c r="AN52" s="51" t="s">
        <f>IFERROR(VLOOKUP(AO52,'索引'!$I:$J,2,FALSE),"")</f>
        <v>126</v>
      </c>
      <c r="AO52" s="56"/>
      <c r="AP52" s="63" t="s">
        <f>IF(AJ52&lt;&gt;0,AJ52,"")</f>
        <v>126</v>
      </c>
      <c r="AQ52" s="56" t="s">
        <f>IFERROR(VLOOKUP('员工报销单模板'!AR52,'项目中心'!C:D,2,FALSE),"")</f>
        <v>126</v>
      </c>
      <c r="AR52" s="56"/>
      <c r="AS52" s="56"/>
    </row>
    <row r="53" s="24" customFormat="1" ht="14.100000000000001" customHeight="1">
      <c r="AB53" s="51" t="s">
        <f>IFERROR(VLOOKUP('员工报销单模板'!AC53,'索引'!$A$1:$B$62,2,FALSE),"")</f>
        <v>126</v>
      </c>
      <c r="AC53" s="58"/>
      <c r="AD53" s="59"/>
      <c r="AE53" s="59"/>
      <c r="AF53" s="56"/>
      <c r="AG53" s="60"/>
      <c r="AH53" s="53" t="s">
        <f>IFERROR(VLOOKUP(AI53,'索引'!$C$3:$D$8,2,FALSE),"")</f>
        <v>126</v>
      </c>
      <c r="AI53" s="58"/>
      <c r="AJ53" s="64"/>
      <c r="AK53" s="56"/>
      <c r="AL53" s="62"/>
      <c r="AM53" s="63" t="s">
        <f>IF(AJ53&lt;&gt;0,AJ53,"")</f>
        <v>126</v>
      </c>
      <c r="AN53" s="51" t="s">
        <f>IFERROR(VLOOKUP(AO53,'索引'!$I:$J,2,FALSE),"")</f>
        <v>126</v>
      </c>
      <c r="AO53" s="56"/>
      <c r="AP53" s="63" t="s">
        <f>IF(AJ53&lt;&gt;0,AJ53,"")</f>
        <v>126</v>
      </c>
      <c r="AQ53" s="56" t="s">
        <f>IFERROR(VLOOKUP('员工报销单模板'!AR53,'项目中心'!C:D,2,FALSE),"")</f>
        <v>126</v>
      </c>
      <c r="AR53" s="56"/>
      <c r="AS53" s="56"/>
    </row>
    <row r="54" s="24" customFormat="1" ht="14.100000000000001" customHeight="1">
      <c r="AB54" s="51" t="s">
        <f>IFERROR(VLOOKUP('员工报销单模板'!AC54,'索引'!$A$1:$B$62,2,FALSE),"")</f>
        <v>126</v>
      </c>
      <c r="AC54" s="58"/>
      <c r="AD54" s="59"/>
      <c r="AE54" s="59"/>
      <c r="AF54" s="56"/>
      <c r="AG54" s="60"/>
      <c r="AH54" s="53" t="s">
        <f>IFERROR(VLOOKUP(AI54,'索引'!$C$3:$D$8,2,FALSE),"")</f>
        <v>126</v>
      </c>
      <c r="AI54" s="58"/>
      <c r="AJ54" s="64"/>
      <c r="AK54" s="56"/>
      <c r="AL54" s="62"/>
      <c r="AM54" s="63" t="s">
        <f>IF(AJ54&lt;&gt;0,AJ54,"")</f>
        <v>126</v>
      </c>
      <c r="AN54" s="51" t="s">
        <f>IFERROR(VLOOKUP(AO54,'索引'!$I:$J,2,FALSE),"")</f>
        <v>126</v>
      </c>
      <c r="AO54" s="56"/>
      <c r="AP54" s="63" t="s">
        <f>IF(AJ54&lt;&gt;0,AJ54,"")</f>
        <v>126</v>
      </c>
      <c r="AQ54" s="56" t="s">
        <f>IFERROR(VLOOKUP('员工报销单模板'!AR54,'项目中心'!C:D,2,FALSE),"")</f>
        <v>126</v>
      </c>
      <c r="AR54" s="56"/>
      <c r="AS54" s="56"/>
    </row>
    <row r="55" s="24" customFormat="1" ht="14.100000000000001" customHeight="1">
      <c r="AB55" s="51" t="s">
        <f>IFERROR(VLOOKUP('员工报销单模板'!AC55,'索引'!$A$1:$B$62,2,FALSE),"")</f>
        <v>126</v>
      </c>
      <c r="AC55" s="58"/>
      <c r="AD55" s="59"/>
      <c r="AE55" s="59"/>
      <c r="AF55" s="56"/>
      <c r="AG55" s="60"/>
      <c r="AH55" s="53" t="s">
        <f>IFERROR(VLOOKUP(AI55,'索引'!$C$3:$D$8,2,FALSE),"")</f>
        <v>126</v>
      </c>
      <c r="AI55" s="58"/>
      <c r="AJ55" s="64"/>
      <c r="AK55" s="56"/>
      <c r="AL55" s="62"/>
      <c r="AM55" s="63" t="s">
        <f>IF(AJ55&lt;&gt;0,AJ55,"")</f>
        <v>126</v>
      </c>
      <c r="AN55" s="51" t="s">
        <f>IFERROR(VLOOKUP(AO55,'索引'!$I:$J,2,FALSE),"")</f>
        <v>126</v>
      </c>
      <c r="AO55" s="56"/>
      <c r="AP55" s="63" t="s">
        <f>IF(AJ55&lt;&gt;0,AJ55,"")</f>
        <v>126</v>
      </c>
      <c r="AQ55" s="56" t="s">
        <f>IFERROR(VLOOKUP('员工报销单模板'!AR55,'项目中心'!C:D,2,FALSE),"")</f>
        <v>126</v>
      </c>
      <c r="AR55" s="56"/>
      <c r="AS55" s="56"/>
    </row>
    <row r="56" s="24" customFormat="1" ht="14.100000000000001" customHeight="1">
      <c r="AB56" s="51" t="s">
        <f>IFERROR(VLOOKUP('员工报销单模板'!AC56,'索引'!$A$1:$B$62,2,FALSE),"")</f>
        <v>126</v>
      </c>
      <c r="AC56" s="58"/>
      <c r="AD56" s="59"/>
      <c r="AE56" s="59"/>
      <c r="AF56" s="56"/>
      <c r="AG56" s="60"/>
      <c r="AH56" s="53" t="s">
        <f>IFERROR(VLOOKUP(AI56,'索引'!$C$3:$D$8,2,FALSE),"")</f>
        <v>126</v>
      </c>
      <c r="AI56" s="58"/>
      <c r="AJ56" s="64"/>
      <c r="AK56" s="56"/>
      <c r="AL56" s="62"/>
      <c r="AM56" s="63" t="s">
        <f>IF(AJ56&lt;&gt;0,AJ56,"")</f>
        <v>126</v>
      </c>
      <c r="AN56" s="51" t="s">
        <f>IFERROR(VLOOKUP(AO56,'索引'!$I:$J,2,FALSE),"")</f>
        <v>126</v>
      </c>
      <c r="AO56" s="56"/>
      <c r="AP56" s="63" t="s">
        <f>IF(AJ56&lt;&gt;0,AJ56,"")</f>
        <v>126</v>
      </c>
      <c r="AQ56" s="56" t="s">
        <f>IFERROR(VLOOKUP('员工报销单模板'!AR56,'项目中心'!C:D,2,FALSE),"")</f>
        <v>126</v>
      </c>
      <c r="AR56" s="56"/>
      <c r="AS56" s="56"/>
    </row>
    <row r="57" s="24" customFormat="1" ht="14.100000000000001" customHeight="1">
      <c r="AB57" s="51" t="s">
        <f>IFERROR(VLOOKUP('员工报销单模板'!AC57,'索引'!$A$1:$B$62,2,FALSE),"")</f>
        <v>126</v>
      </c>
      <c r="AC57" s="58"/>
      <c r="AD57" s="59"/>
      <c r="AE57" s="59"/>
      <c r="AF57" s="56"/>
      <c r="AG57" s="60"/>
      <c r="AH57" s="53" t="s">
        <f>IFERROR(VLOOKUP(AI57,'索引'!$C$3:$D$8,2,FALSE),"")</f>
        <v>126</v>
      </c>
      <c r="AI57" s="58"/>
      <c r="AJ57" s="64"/>
      <c r="AK57" s="56"/>
      <c r="AL57" s="62"/>
      <c r="AM57" s="63" t="s">
        <f>IF(AJ57&lt;&gt;0,AJ57,"")</f>
        <v>126</v>
      </c>
      <c r="AN57" s="51" t="s">
        <f>IFERROR(VLOOKUP(AO57,'索引'!$I:$J,2,FALSE),"")</f>
        <v>126</v>
      </c>
      <c r="AO57" s="56"/>
      <c r="AP57" s="63" t="s">
        <f>IF(AJ57&lt;&gt;0,AJ57,"")</f>
        <v>126</v>
      </c>
      <c r="AQ57" s="56" t="s">
        <f>IFERROR(VLOOKUP('员工报销单模板'!AR57,'项目中心'!C:D,2,FALSE),"")</f>
        <v>126</v>
      </c>
      <c r="AR57" s="56"/>
      <c r="AS57" s="56"/>
    </row>
    <row r="58" s="24" customFormat="1" ht="14.100000000000001" customHeight="1">
      <c r="AB58" s="51" t="s">
        <f>IFERROR(VLOOKUP('员工报销单模板'!AC58,'索引'!$A$1:$B$62,2,FALSE),"")</f>
        <v>126</v>
      </c>
      <c r="AC58" s="58"/>
      <c r="AD58" s="59"/>
      <c r="AE58" s="59"/>
      <c r="AF58" s="56"/>
      <c r="AG58" s="60"/>
      <c r="AH58" s="53" t="s">
        <f>IFERROR(VLOOKUP(AI58,'索引'!$C$3:$D$8,2,FALSE),"")</f>
        <v>126</v>
      </c>
      <c r="AI58" s="58"/>
      <c r="AJ58" s="64"/>
      <c r="AK58" s="56"/>
      <c r="AL58" s="62"/>
      <c r="AM58" s="63" t="s">
        <f>IF(AJ58&lt;&gt;0,AJ58,"")</f>
        <v>126</v>
      </c>
      <c r="AN58" s="51" t="s">
        <f>IFERROR(VLOOKUP(AO58,'索引'!$I:$J,2,FALSE),"")</f>
        <v>126</v>
      </c>
      <c r="AO58" s="56"/>
      <c r="AP58" s="63" t="s">
        <f>IF(AJ58&lt;&gt;0,AJ58,"")</f>
        <v>126</v>
      </c>
      <c r="AQ58" s="56" t="s">
        <f>IFERROR(VLOOKUP('员工报销单模板'!AR58,'项目中心'!C:D,2,FALSE),"")</f>
        <v>126</v>
      </c>
      <c r="AR58" s="56"/>
      <c r="AS58" s="56"/>
    </row>
    <row r="59" s="24" customFormat="1" ht="14.100000000000001" customHeight="1">
      <c r="AB59" s="51" t="s">
        <f>IFERROR(VLOOKUP('员工报销单模板'!AC59,'索引'!$A$1:$B$62,2,FALSE),"")</f>
        <v>126</v>
      </c>
      <c r="AC59" s="58"/>
      <c r="AD59" s="59"/>
      <c r="AE59" s="59"/>
      <c r="AF59" s="56"/>
      <c r="AG59" s="60"/>
      <c r="AH59" s="53" t="s">
        <f>IFERROR(VLOOKUP(AI59,'索引'!$C$3:$D$8,2,FALSE),"")</f>
        <v>126</v>
      </c>
      <c r="AI59" s="58"/>
      <c r="AJ59" s="64"/>
      <c r="AK59" s="56"/>
      <c r="AL59" s="62"/>
      <c r="AM59" s="63" t="s">
        <f>IF(AJ59&lt;&gt;0,AJ59,"")</f>
        <v>126</v>
      </c>
      <c r="AN59" s="51" t="s">
        <f>IFERROR(VLOOKUP(AO59,'索引'!$I:$J,2,FALSE),"")</f>
        <v>126</v>
      </c>
      <c r="AO59" s="56"/>
      <c r="AP59" s="63" t="s">
        <f>IF(AJ59&lt;&gt;0,AJ59,"")</f>
        <v>126</v>
      </c>
      <c r="AQ59" s="56" t="s">
        <f>IFERROR(VLOOKUP('员工报销单模板'!AR59,'项目中心'!C:D,2,FALSE),"")</f>
        <v>126</v>
      </c>
      <c r="AR59" s="56"/>
      <c r="AS59" s="56"/>
    </row>
    <row r="60" s="24" customFormat="1" ht="14.100000000000001" customHeight="1">
      <c r="AB60" s="51" t="s">
        <f>IFERROR(VLOOKUP('员工报销单模板'!AC60,'索引'!$A$1:$B$62,2,FALSE),"")</f>
        <v>126</v>
      </c>
      <c r="AC60" s="58"/>
      <c r="AD60" s="59"/>
      <c r="AE60" s="59"/>
      <c r="AF60" s="56"/>
      <c r="AG60" s="60"/>
      <c r="AH60" s="53" t="s">
        <f>IFERROR(VLOOKUP(AI60,'索引'!$C$3:$D$8,2,FALSE),"")</f>
        <v>126</v>
      </c>
      <c r="AI60" s="58"/>
      <c r="AJ60" s="64"/>
      <c r="AK60" s="56"/>
      <c r="AL60" s="62"/>
      <c r="AM60" s="63" t="s">
        <f>IF(AJ60&lt;&gt;0,AJ60,"")</f>
        <v>126</v>
      </c>
      <c r="AN60" s="51" t="s">
        <f>IFERROR(VLOOKUP(AO60,'索引'!$I:$J,2,FALSE),"")</f>
        <v>126</v>
      </c>
      <c r="AO60" s="56"/>
      <c r="AP60" s="63" t="s">
        <f>IF(AJ60&lt;&gt;0,AJ60,"")</f>
        <v>126</v>
      </c>
      <c r="AQ60" s="56" t="s">
        <f>IFERROR(VLOOKUP('员工报销单模板'!AR60,'项目中心'!C:D,2,FALSE),"")</f>
        <v>126</v>
      </c>
      <c r="AR60" s="56"/>
      <c r="AS60" s="56"/>
    </row>
    <row r="61" s="24" customFormat="1" ht="14.100000000000001" customHeight="1">
      <c r="AB61" s="51" t="s">
        <f>IFERROR(VLOOKUP('员工报销单模板'!AC61,'索引'!$A$1:$B$62,2,FALSE),"")</f>
        <v>126</v>
      </c>
      <c r="AC61" s="58"/>
      <c r="AD61" s="59"/>
      <c r="AE61" s="59"/>
      <c r="AF61" s="56"/>
      <c r="AG61" s="60"/>
      <c r="AH61" s="53" t="s">
        <f>IFERROR(VLOOKUP(AI61,'索引'!$C$3:$D$8,2,FALSE),"")</f>
        <v>126</v>
      </c>
      <c r="AI61" s="58"/>
      <c r="AJ61" s="64"/>
      <c r="AK61" s="56"/>
      <c r="AL61" s="62"/>
      <c r="AM61" s="63" t="s">
        <f>IF(AJ61&lt;&gt;0,AJ61,"")</f>
        <v>126</v>
      </c>
      <c r="AN61" s="51" t="s">
        <f>IFERROR(VLOOKUP(AO61,'索引'!$I:$J,2,FALSE),"")</f>
        <v>126</v>
      </c>
      <c r="AO61" s="56"/>
      <c r="AP61" s="63" t="s">
        <f>IF(AJ61&lt;&gt;0,AJ61,"")</f>
        <v>126</v>
      </c>
      <c r="AQ61" s="56" t="s">
        <f>IFERROR(VLOOKUP('员工报销单模板'!AR61,'项目中心'!C:D,2,FALSE),"")</f>
        <v>126</v>
      </c>
      <c r="AR61" s="56"/>
      <c r="AS61" s="56"/>
    </row>
    <row r="62" s="24" customFormat="1" ht="14.100000000000001" customHeight="1">
      <c r="AB62" s="51" t="s">
        <f>IFERROR(VLOOKUP('员工报销单模板'!AC62,'索引'!$A$1:$B$62,2,FALSE),"")</f>
        <v>126</v>
      </c>
      <c r="AC62" s="58"/>
      <c r="AD62" s="59"/>
      <c r="AE62" s="59"/>
      <c r="AF62" s="56"/>
      <c r="AG62" s="60"/>
      <c r="AH62" s="53" t="s">
        <f>IFERROR(VLOOKUP(AI62,'索引'!$C$3:$D$8,2,FALSE),"")</f>
        <v>126</v>
      </c>
      <c r="AI62" s="58"/>
      <c r="AJ62" s="64"/>
      <c r="AK62" s="56"/>
      <c r="AL62" s="62"/>
      <c r="AM62" s="63" t="s">
        <f>IF(AJ62&lt;&gt;0,AJ62,"")</f>
        <v>126</v>
      </c>
      <c r="AN62" s="51" t="s">
        <f>IFERROR(VLOOKUP(AO62,'索引'!$I:$J,2,FALSE),"")</f>
        <v>126</v>
      </c>
      <c r="AO62" s="56"/>
      <c r="AP62" s="63" t="s">
        <f>IF(AJ62&lt;&gt;0,AJ62,"")</f>
        <v>126</v>
      </c>
      <c r="AQ62" s="56" t="s">
        <f>IFERROR(VLOOKUP('员工报销单模板'!AR62,'项目中心'!C:D,2,FALSE),"")</f>
        <v>126</v>
      </c>
      <c r="AR62" s="56"/>
      <c r="AS62" s="56"/>
    </row>
    <row r="63" s="24" customFormat="1" ht="14.100000000000001" customHeight="1">
      <c r="AB63" s="51" t="s">
        <f>IFERROR(VLOOKUP('员工报销单模板'!AC63,'索引'!$A$1:$B$62,2,FALSE),"")</f>
        <v>126</v>
      </c>
      <c r="AC63" s="58"/>
      <c r="AD63" s="59"/>
      <c r="AE63" s="59"/>
      <c r="AF63" s="56"/>
      <c r="AG63" s="60"/>
      <c r="AH63" s="53" t="s">
        <f>IFERROR(VLOOKUP(AI63,'索引'!$C$3:$D$8,2,FALSE),"")</f>
        <v>126</v>
      </c>
      <c r="AI63" s="58"/>
      <c r="AJ63" s="64"/>
      <c r="AK63" s="56"/>
      <c r="AL63" s="62"/>
      <c r="AM63" s="63" t="s">
        <f>IF(AJ63&lt;&gt;0,AJ63,"")</f>
        <v>126</v>
      </c>
      <c r="AN63" s="51" t="s">
        <f>IFERROR(VLOOKUP(AO63,'索引'!$I:$J,2,FALSE),"")</f>
        <v>126</v>
      </c>
      <c r="AO63" s="56"/>
      <c r="AP63" s="63" t="s">
        <f>IF(AJ63&lt;&gt;0,AJ63,"")</f>
        <v>126</v>
      </c>
      <c r="AQ63" s="56" t="s">
        <f>IFERROR(VLOOKUP('员工报销单模板'!AR63,'项目中心'!C:D,2,FALSE),"")</f>
        <v>126</v>
      </c>
      <c r="AR63" s="56"/>
      <c r="AS63" s="56"/>
    </row>
    <row r="64" s="24" customFormat="1" ht="14.100000000000001" customHeight="1">
      <c r="AB64" s="51" t="s">
        <f>IFERROR(VLOOKUP('员工报销单模板'!AC64,'索引'!$A$1:$B$62,2,FALSE),"")</f>
        <v>126</v>
      </c>
      <c r="AC64" s="58"/>
      <c r="AD64" s="59"/>
      <c r="AE64" s="59"/>
      <c r="AF64" s="56"/>
      <c r="AG64" s="60"/>
      <c r="AH64" s="53" t="s">
        <f>IFERROR(VLOOKUP(AI64,'索引'!$C$3:$D$8,2,FALSE),"")</f>
        <v>126</v>
      </c>
      <c r="AI64" s="58"/>
      <c r="AJ64" s="64"/>
      <c r="AK64" s="56"/>
      <c r="AL64" s="62"/>
      <c r="AM64" s="63" t="s">
        <f>IF(AJ64&lt;&gt;0,AJ64,"")</f>
        <v>126</v>
      </c>
      <c r="AN64" s="51" t="s">
        <f>IFERROR(VLOOKUP(AO64,'索引'!$I:$J,2,FALSE),"")</f>
        <v>126</v>
      </c>
      <c r="AO64" s="56"/>
      <c r="AP64" s="63" t="s">
        <f>IF(AJ64&lt;&gt;0,AJ64,"")</f>
        <v>126</v>
      </c>
      <c r="AQ64" s="56" t="s">
        <f>IFERROR(VLOOKUP('员工报销单模板'!AR64,'项目中心'!C:D,2,FALSE),"")</f>
        <v>126</v>
      </c>
      <c r="AR64" s="56"/>
      <c r="AS64" s="56"/>
    </row>
    <row r="65" s="24" customFormat="1" ht="14.100000000000001" customHeight="1">
      <c r="AB65" s="51" t="s">
        <f>IFERROR(VLOOKUP('员工报销单模板'!AC65,'索引'!$A$1:$B$62,2,FALSE),"")</f>
        <v>126</v>
      </c>
      <c r="AC65" s="58"/>
      <c r="AD65" s="59"/>
      <c r="AE65" s="59"/>
      <c r="AF65" s="56"/>
      <c r="AG65" s="60"/>
      <c r="AH65" s="53" t="s">
        <f>IFERROR(VLOOKUP(AI65,'索引'!$C$3:$D$8,2,FALSE),"")</f>
        <v>126</v>
      </c>
      <c r="AI65" s="58"/>
      <c r="AJ65" s="64"/>
      <c r="AK65" s="56"/>
      <c r="AL65" s="62"/>
      <c r="AM65" s="63" t="s">
        <f>IF(AJ65&lt;&gt;0,AJ65,"")</f>
        <v>126</v>
      </c>
      <c r="AN65" s="51" t="s">
        <f>IFERROR(VLOOKUP(AO65,'索引'!$I:$J,2,FALSE),"")</f>
        <v>126</v>
      </c>
      <c r="AO65" s="56"/>
      <c r="AP65" s="63" t="s">
        <f>IF(AJ65&lt;&gt;0,AJ65,"")</f>
        <v>126</v>
      </c>
      <c r="AQ65" s="56" t="s">
        <f>IFERROR(VLOOKUP('员工报销单模板'!AR65,'项目中心'!C:D,2,FALSE),"")</f>
        <v>126</v>
      </c>
      <c r="AR65" s="56"/>
      <c r="AS65" s="56"/>
    </row>
    <row r="66" s="24" customFormat="1" ht="14.100000000000001" customHeight="1">
      <c r="AB66" s="51" t="s">
        <f>IFERROR(VLOOKUP('员工报销单模板'!AC66,'索引'!$A$1:$B$62,2,FALSE),"")</f>
        <v>126</v>
      </c>
      <c r="AC66" s="58"/>
      <c r="AD66" s="59"/>
      <c r="AE66" s="59"/>
      <c r="AF66" s="56"/>
      <c r="AG66" s="60"/>
      <c r="AH66" s="53" t="s">
        <f>IFERROR(VLOOKUP(AI66,'索引'!$C$3:$D$8,2,FALSE),"")</f>
        <v>126</v>
      </c>
      <c r="AI66" s="58"/>
      <c r="AJ66" s="64"/>
      <c r="AK66" s="56"/>
      <c r="AL66" s="62"/>
      <c r="AM66" s="63" t="s">
        <f>IF(AJ66&lt;&gt;0,AJ66,"")</f>
        <v>126</v>
      </c>
      <c r="AN66" s="51" t="s">
        <f>IFERROR(VLOOKUP(AO66,'索引'!$I:$J,2,FALSE),"")</f>
        <v>126</v>
      </c>
      <c r="AO66" s="56"/>
      <c r="AP66" s="63" t="s">
        <f>IF(AJ66&lt;&gt;0,AJ66,"")</f>
        <v>126</v>
      </c>
      <c r="AQ66" s="56" t="s">
        <f>IFERROR(VLOOKUP('员工报销单模板'!AR66,'项目中心'!C:D,2,FALSE),"")</f>
        <v>126</v>
      </c>
      <c r="AR66" s="56"/>
      <c r="AS66" s="56"/>
    </row>
    <row r="67" s="24" customFormat="1" ht="14.100000000000001" customHeight="1">
      <c r="AB67" s="51" t="s">
        <f>IFERROR(VLOOKUP('员工报销单模板'!AC67,'索引'!$A$1:$B$62,2,FALSE),"")</f>
        <v>126</v>
      </c>
      <c r="AC67" s="58"/>
      <c r="AD67" s="59"/>
      <c r="AE67" s="59"/>
      <c r="AF67" s="56"/>
      <c r="AG67" s="60"/>
      <c r="AH67" s="53" t="s">
        <f>IFERROR(VLOOKUP(AI67,'索引'!$C$3:$D$8,2,FALSE),"")</f>
        <v>126</v>
      </c>
      <c r="AI67" s="58"/>
      <c r="AJ67" s="64"/>
      <c r="AK67" s="56"/>
      <c r="AL67" s="62"/>
      <c r="AM67" s="63" t="s">
        <f>IF(AJ67&lt;&gt;0,AJ67,"")</f>
        <v>126</v>
      </c>
      <c r="AN67" s="51" t="s">
        <f>IFERROR(VLOOKUP(AO67,'索引'!$I:$J,2,FALSE),"")</f>
        <v>126</v>
      </c>
      <c r="AO67" s="56"/>
      <c r="AP67" s="63" t="s">
        <f>IF(AJ67&lt;&gt;0,AJ67,"")</f>
        <v>126</v>
      </c>
      <c r="AQ67" s="56" t="s">
        <f>IFERROR(VLOOKUP('员工报销单模板'!AR67,'项目中心'!C:D,2,FALSE),"")</f>
        <v>126</v>
      </c>
      <c r="AR67" s="56"/>
      <c r="AS67" s="56"/>
    </row>
    <row r="68" s="24" customFormat="1" ht="14.100000000000001" customHeight="1">
      <c r="AB68" s="51" t="s">
        <f>IFERROR(VLOOKUP('员工报销单模板'!AC68,'索引'!$A$1:$B$62,2,FALSE),"")</f>
        <v>126</v>
      </c>
      <c r="AC68" s="58"/>
      <c r="AD68" s="59"/>
      <c r="AE68" s="59"/>
      <c r="AF68" s="56"/>
      <c r="AG68" s="60"/>
      <c r="AH68" s="53" t="s">
        <f>IFERROR(VLOOKUP(AI68,'索引'!$C$3:$D$8,2,FALSE),"")</f>
        <v>126</v>
      </c>
      <c r="AI68" s="58"/>
      <c r="AJ68" s="64"/>
      <c r="AK68" s="56"/>
      <c r="AL68" s="62"/>
      <c r="AM68" s="63" t="s">
        <f>IF(AJ68&lt;&gt;0,AJ68,"")</f>
        <v>126</v>
      </c>
      <c r="AN68" s="51" t="s">
        <f>IFERROR(VLOOKUP(AO68,'索引'!$I:$J,2,FALSE),"")</f>
        <v>126</v>
      </c>
      <c r="AO68" s="56"/>
      <c r="AP68" s="63" t="s">
        <f>IF(AJ68&lt;&gt;0,AJ68,"")</f>
        <v>126</v>
      </c>
      <c r="AQ68" s="56" t="s">
        <f>IFERROR(VLOOKUP('员工报销单模板'!AR68,'项目中心'!C:D,2,FALSE),"")</f>
        <v>126</v>
      </c>
      <c r="AR68" s="56"/>
      <c r="AS68" s="56"/>
    </row>
    <row r="69" s="24" customFormat="1" ht="14.100000000000001" customHeight="1">
      <c r="AB69" s="51" t="s">
        <f>IFERROR(VLOOKUP('员工报销单模板'!AC69,'索引'!$A$1:$B$62,2,FALSE),"")</f>
        <v>126</v>
      </c>
      <c r="AC69" s="58"/>
      <c r="AD69" s="59"/>
      <c r="AE69" s="59"/>
      <c r="AF69" s="56"/>
      <c r="AG69" s="60"/>
      <c r="AH69" s="53" t="s">
        <f>IFERROR(VLOOKUP(AI69,'索引'!$C$3:$D$8,2,FALSE),"")</f>
        <v>126</v>
      </c>
      <c r="AI69" s="58"/>
      <c r="AJ69" s="64"/>
      <c r="AK69" s="56"/>
      <c r="AL69" s="62"/>
      <c r="AM69" s="63" t="s">
        <f>IF(AJ69&lt;&gt;0,AJ69,"")</f>
        <v>126</v>
      </c>
      <c r="AN69" s="51" t="s">
        <f>IFERROR(VLOOKUP(AO69,'索引'!$I:$J,2,FALSE),"")</f>
        <v>126</v>
      </c>
      <c r="AO69" s="56"/>
      <c r="AP69" s="63" t="s">
        <f>IF(AJ69&lt;&gt;0,AJ69,"")</f>
        <v>126</v>
      </c>
      <c r="AQ69" s="56" t="s">
        <f>IFERROR(VLOOKUP('员工报销单模板'!AR69,'项目中心'!C:D,2,FALSE),"")</f>
        <v>126</v>
      </c>
      <c r="AR69" s="56"/>
      <c r="AS69" s="56"/>
    </row>
    <row r="70" s="24" customFormat="1" ht="14.100000000000001" customHeight="1">
      <c r="AB70" s="51" t="s">
        <f>IFERROR(VLOOKUP('员工报销单模板'!AC70,'索引'!$A$1:$B$62,2,FALSE),"")</f>
        <v>126</v>
      </c>
      <c r="AC70" s="58"/>
      <c r="AD70" s="59"/>
      <c r="AE70" s="59"/>
      <c r="AF70" s="56"/>
      <c r="AG70" s="60"/>
      <c r="AH70" s="53" t="s">
        <f>IFERROR(VLOOKUP(AI70,'索引'!$C$3:$D$8,2,FALSE),"")</f>
        <v>126</v>
      </c>
      <c r="AI70" s="58"/>
      <c r="AJ70" s="64"/>
      <c r="AK70" s="56"/>
      <c r="AL70" s="62"/>
      <c r="AM70" s="63" t="s">
        <f>IF(AJ70&lt;&gt;0,AJ70,"")</f>
        <v>126</v>
      </c>
      <c r="AN70" s="51" t="s">
        <f>IFERROR(VLOOKUP(AO70,'索引'!$I:$J,2,FALSE),"")</f>
        <v>126</v>
      </c>
      <c r="AO70" s="56"/>
      <c r="AP70" s="63" t="s">
        <f>IF(AJ70&lt;&gt;0,AJ70,"")</f>
        <v>126</v>
      </c>
      <c r="AQ70" s="56" t="s">
        <f>IFERROR(VLOOKUP('员工报销单模板'!AR70,'项目中心'!C:D,2,FALSE),"")</f>
        <v>126</v>
      </c>
      <c r="AR70" s="56"/>
      <c r="AS70" s="56"/>
    </row>
    <row r="71" s="24" customFormat="1" ht="14.100000000000001" customHeight="1">
      <c r="AB71" s="51" t="s">
        <f>IFERROR(VLOOKUP('员工报销单模板'!AC71,'索引'!$A$1:$B$62,2,FALSE),"")</f>
        <v>126</v>
      </c>
      <c r="AC71" s="58"/>
      <c r="AD71" s="59"/>
      <c r="AE71" s="59"/>
      <c r="AF71" s="56"/>
      <c r="AG71" s="60"/>
      <c r="AH71" s="53" t="s">
        <f>IFERROR(VLOOKUP(AI71,'索引'!$C$3:$D$8,2,FALSE),"")</f>
        <v>126</v>
      </c>
      <c r="AI71" s="58"/>
      <c r="AJ71" s="64"/>
      <c r="AK71" s="56"/>
      <c r="AL71" s="62"/>
      <c r="AM71" s="63" t="s">
        <f>IF(AJ71&lt;&gt;0,AJ71,"")</f>
        <v>126</v>
      </c>
      <c r="AN71" s="51" t="s">
        <f>IFERROR(VLOOKUP(AO71,'索引'!$I:$J,2,FALSE),"")</f>
        <v>126</v>
      </c>
      <c r="AO71" s="56"/>
      <c r="AP71" s="63" t="s">
        <f>IF(AJ71&lt;&gt;0,AJ71,"")</f>
        <v>126</v>
      </c>
      <c r="AQ71" s="56" t="s">
        <f>IFERROR(VLOOKUP('员工报销单模板'!AR71,'项目中心'!C:D,2,FALSE),"")</f>
        <v>126</v>
      </c>
      <c r="AR71" s="56"/>
      <c r="AS71" s="56"/>
    </row>
    <row r="72" s="24" customFormat="1" ht="14.100000000000001" customHeight="1">
      <c r="AB72" s="51" t="s">
        <f>IFERROR(VLOOKUP('员工报销单模板'!AC72,'索引'!$A$1:$B$62,2,FALSE),"")</f>
        <v>126</v>
      </c>
      <c r="AC72" s="58"/>
      <c r="AD72" s="59"/>
      <c r="AE72" s="59"/>
      <c r="AF72" s="56"/>
      <c r="AG72" s="60"/>
      <c r="AH72" s="53" t="s">
        <f>IFERROR(VLOOKUP(AI72,'索引'!$C$3:$D$8,2,FALSE),"")</f>
        <v>126</v>
      </c>
      <c r="AI72" s="58"/>
      <c r="AJ72" s="64"/>
      <c r="AK72" s="56"/>
      <c r="AL72" s="62"/>
      <c r="AM72" s="63" t="s">
        <f>IF(AJ72&lt;&gt;0,AJ72,"")</f>
        <v>126</v>
      </c>
      <c r="AN72" s="51" t="s">
        <f>IFERROR(VLOOKUP(AO72,'索引'!$I:$J,2,FALSE),"")</f>
        <v>126</v>
      </c>
      <c r="AO72" s="56"/>
      <c r="AP72" s="63" t="s">
        <f>IF(AJ72&lt;&gt;0,AJ72,"")</f>
        <v>126</v>
      </c>
      <c r="AQ72" s="56" t="s">
        <f>IFERROR(VLOOKUP('员工报销单模板'!AR72,'项目中心'!C:D,2,FALSE),"")</f>
        <v>126</v>
      </c>
      <c r="AR72" s="56"/>
      <c r="AS72" s="56"/>
    </row>
    <row r="73" s="24" customFormat="1" ht="14.100000000000001" customHeight="1">
      <c r="AB73" s="51" t="s">
        <f>IFERROR(VLOOKUP('员工报销单模板'!AC73,'索引'!$A$1:$B$62,2,FALSE),"")</f>
        <v>126</v>
      </c>
      <c r="AC73" s="58"/>
      <c r="AD73" s="59"/>
      <c r="AE73" s="59"/>
      <c r="AF73" s="56"/>
      <c r="AG73" s="60"/>
      <c r="AH73" s="53" t="s">
        <f>IFERROR(VLOOKUP(AI73,'索引'!$C$3:$D$8,2,FALSE),"")</f>
        <v>126</v>
      </c>
      <c r="AI73" s="58"/>
      <c r="AJ73" s="64"/>
      <c r="AK73" s="56"/>
      <c r="AL73" s="62"/>
      <c r="AM73" s="63" t="s">
        <f>IF(AJ73&lt;&gt;0,AJ73,"")</f>
        <v>126</v>
      </c>
      <c r="AN73" s="51" t="s">
        <f>IFERROR(VLOOKUP(AO73,'索引'!$I:$J,2,FALSE),"")</f>
        <v>126</v>
      </c>
      <c r="AO73" s="56"/>
      <c r="AP73" s="63" t="s">
        <f>IF(AJ73&lt;&gt;0,AJ73,"")</f>
        <v>126</v>
      </c>
      <c r="AQ73" s="56" t="s">
        <f>IFERROR(VLOOKUP('员工报销单模板'!AR73,'项目中心'!C:D,2,FALSE),"")</f>
        <v>126</v>
      </c>
      <c r="AR73" s="56"/>
      <c r="AS73" s="56"/>
    </row>
    <row r="74" s="24" customFormat="1" ht="14.100000000000001" customHeight="1">
      <c r="AB74" s="51" t="s">
        <f>IFERROR(VLOOKUP('员工报销单模板'!AC74,'索引'!$A$1:$B$62,2,FALSE),"")</f>
        <v>126</v>
      </c>
      <c r="AC74" s="58"/>
      <c r="AD74" s="59"/>
      <c r="AE74" s="59"/>
      <c r="AF74" s="56"/>
      <c r="AG74" s="60"/>
      <c r="AH74" s="53" t="s">
        <f>IFERROR(VLOOKUP(AI74,'索引'!$C$3:$D$8,2,FALSE),"")</f>
        <v>126</v>
      </c>
      <c r="AI74" s="58"/>
      <c r="AJ74" s="64"/>
      <c r="AK74" s="56"/>
      <c r="AL74" s="62"/>
      <c r="AM74" s="63" t="s">
        <f>IF(AJ74&lt;&gt;0,AJ74,"")</f>
        <v>126</v>
      </c>
      <c r="AN74" s="51" t="s">
        <f>IFERROR(VLOOKUP(AO74,'索引'!$I:$J,2,FALSE),"")</f>
        <v>126</v>
      </c>
      <c r="AO74" s="56"/>
      <c r="AP74" s="63" t="s">
        <f>IF(AJ74&lt;&gt;0,AJ74,"")</f>
        <v>126</v>
      </c>
      <c r="AQ74" s="56" t="s">
        <f>IFERROR(VLOOKUP('员工报销单模板'!AR74,'项目中心'!C:D,2,FALSE),"")</f>
        <v>126</v>
      </c>
      <c r="AR74" s="56"/>
      <c r="AS74" s="56"/>
    </row>
    <row r="75" s="24" customFormat="1" ht="14.100000000000001" customHeight="1">
      <c r="AB75" s="51" t="s">
        <f>IFERROR(VLOOKUP('员工报销单模板'!AC75,'索引'!$A$1:$B$62,2,FALSE),"")</f>
        <v>126</v>
      </c>
      <c r="AC75" s="58"/>
      <c r="AD75" s="59"/>
      <c r="AE75" s="59"/>
      <c r="AF75" s="56"/>
      <c r="AG75" s="60"/>
      <c r="AH75" s="53" t="s">
        <f>IFERROR(VLOOKUP(AI75,'索引'!$C$3:$D$8,2,FALSE),"")</f>
        <v>126</v>
      </c>
      <c r="AI75" s="58"/>
      <c r="AJ75" s="64"/>
      <c r="AK75" s="56"/>
      <c r="AL75" s="62"/>
      <c r="AM75" s="63" t="s">
        <f>IF(AJ75&lt;&gt;0,AJ75,"")</f>
        <v>126</v>
      </c>
      <c r="AN75" s="51" t="s">
        <f>IFERROR(VLOOKUP(AO75,'索引'!$I:$J,2,FALSE),"")</f>
        <v>126</v>
      </c>
      <c r="AO75" s="56"/>
      <c r="AP75" s="63" t="s">
        <f>IF(AJ75&lt;&gt;0,AJ75,"")</f>
        <v>126</v>
      </c>
      <c r="AQ75" s="56" t="s">
        <f>IFERROR(VLOOKUP('员工报销单模板'!AR75,'项目中心'!C:D,2,FALSE),"")</f>
        <v>126</v>
      </c>
      <c r="AR75" s="56"/>
      <c r="AS75" s="56"/>
    </row>
    <row r="76" s="24" customFormat="1" ht="14.100000000000001" customHeight="1">
      <c r="AB76" s="51" t="s">
        <f>IFERROR(VLOOKUP('员工报销单模板'!AC76,'索引'!$A$1:$B$62,2,FALSE),"")</f>
        <v>126</v>
      </c>
      <c r="AC76" s="58"/>
      <c r="AD76" s="59"/>
      <c r="AE76" s="59"/>
      <c r="AF76" s="56"/>
      <c r="AG76" s="60"/>
      <c r="AH76" s="53" t="s">
        <f>IFERROR(VLOOKUP(AI76,'索引'!$C$3:$D$8,2,FALSE),"")</f>
        <v>126</v>
      </c>
      <c r="AI76" s="58"/>
      <c r="AJ76" s="64"/>
      <c r="AK76" s="56"/>
      <c r="AL76" s="62"/>
      <c r="AM76" s="63" t="s">
        <f>IF(AJ76&lt;&gt;0,AJ76,"")</f>
        <v>126</v>
      </c>
      <c r="AN76" s="51" t="s">
        <f>IFERROR(VLOOKUP(AO76,'索引'!$I:$J,2,FALSE),"")</f>
        <v>126</v>
      </c>
      <c r="AO76" s="56"/>
      <c r="AP76" s="63" t="s">
        <f>IF(AJ76&lt;&gt;0,AJ76,"")</f>
        <v>126</v>
      </c>
      <c r="AQ76" s="56" t="s">
        <f>IFERROR(VLOOKUP('员工报销单模板'!AR76,'项目中心'!C:D,2,FALSE),"")</f>
        <v>126</v>
      </c>
      <c r="AR76" s="56"/>
      <c r="AS76" s="56"/>
    </row>
    <row r="77" s="24" customFormat="1" ht="14.100000000000001" customHeight="1">
      <c r="AB77" s="51" t="s">
        <f>IFERROR(VLOOKUP('员工报销单模板'!AC77,'索引'!$A$1:$B$62,2,FALSE),"")</f>
        <v>126</v>
      </c>
      <c r="AC77" s="58"/>
      <c r="AD77" s="59"/>
      <c r="AE77" s="59"/>
      <c r="AF77" s="56"/>
      <c r="AG77" s="60"/>
      <c r="AH77" s="53" t="s">
        <f>IFERROR(VLOOKUP(AI77,'索引'!$C$3:$D$8,2,FALSE),"")</f>
        <v>126</v>
      </c>
      <c r="AI77" s="58"/>
      <c r="AJ77" s="64"/>
      <c r="AK77" s="56"/>
      <c r="AL77" s="62"/>
      <c r="AM77" s="63" t="s">
        <f>IF(AJ77&lt;&gt;0,AJ77,"")</f>
        <v>126</v>
      </c>
      <c r="AN77" s="51" t="s">
        <f>IFERROR(VLOOKUP(AO77,'索引'!$I:$J,2,FALSE),"")</f>
        <v>126</v>
      </c>
      <c r="AO77" s="56"/>
      <c r="AP77" s="63" t="s">
        <f>IF(AJ77&lt;&gt;0,AJ77,"")</f>
        <v>126</v>
      </c>
      <c r="AQ77" s="56" t="s">
        <f>IFERROR(VLOOKUP('员工报销单模板'!AR77,'项目中心'!C:D,2,FALSE),"")</f>
        <v>126</v>
      </c>
      <c r="AR77" s="56"/>
      <c r="AS77" s="56"/>
    </row>
    <row r="78" s="24" customFormat="1" ht="14.100000000000001" customHeight="1">
      <c r="AB78" s="51" t="s">
        <f>IFERROR(VLOOKUP('员工报销单模板'!AC78,'索引'!$A$1:$B$62,2,FALSE),"")</f>
        <v>126</v>
      </c>
      <c r="AC78" s="58"/>
      <c r="AD78" s="59"/>
      <c r="AE78" s="59"/>
      <c r="AF78" s="56"/>
      <c r="AG78" s="60"/>
      <c r="AH78" s="53" t="s">
        <f>IFERROR(VLOOKUP(AI78,'索引'!$C$3:$D$8,2,FALSE),"")</f>
        <v>126</v>
      </c>
      <c r="AI78" s="58"/>
      <c r="AJ78" s="64"/>
      <c r="AK78" s="56"/>
      <c r="AL78" s="62"/>
      <c r="AM78" s="63" t="s">
        <f>IF(AJ78&lt;&gt;0,AJ78,"")</f>
        <v>126</v>
      </c>
      <c r="AN78" s="51" t="s">
        <f>IFERROR(VLOOKUP(AO78,'索引'!$I:$J,2,FALSE),"")</f>
        <v>126</v>
      </c>
      <c r="AO78" s="56"/>
      <c r="AP78" s="63" t="s">
        <f>IF(AJ78&lt;&gt;0,AJ78,"")</f>
        <v>126</v>
      </c>
      <c r="AQ78" s="56" t="s">
        <f>IFERROR(VLOOKUP('员工报销单模板'!AR78,'项目中心'!C:D,2,FALSE),"")</f>
        <v>126</v>
      </c>
      <c r="AR78" s="56"/>
      <c r="AS78" s="56"/>
    </row>
    <row r="79" s="24" customFormat="1" ht="14.100000000000001" customHeight="1">
      <c r="AB79" s="51" t="s">
        <f>IFERROR(VLOOKUP('员工报销单模板'!AC79,'索引'!$A$1:$B$62,2,FALSE),"")</f>
        <v>126</v>
      </c>
      <c r="AC79" s="58"/>
      <c r="AD79" s="59"/>
      <c r="AE79" s="59"/>
      <c r="AF79" s="56"/>
      <c r="AG79" s="60"/>
      <c r="AH79" s="53" t="s">
        <f>IFERROR(VLOOKUP(AI79,'索引'!$C$3:$D$8,2,FALSE),"")</f>
        <v>126</v>
      </c>
      <c r="AI79" s="58"/>
      <c r="AJ79" s="64"/>
      <c r="AK79" s="56"/>
      <c r="AL79" s="62"/>
      <c r="AM79" s="63" t="s">
        <f>IF(AJ79&lt;&gt;0,AJ79,"")</f>
        <v>126</v>
      </c>
      <c r="AN79" s="51" t="s">
        <f>IFERROR(VLOOKUP(AO79,'索引'!$I:$J,2,FALSE),"")</f>
        <v>126</v>
      </c>
      <c r="AO79" s="56"/>
      <c r="AP79" s="63" t="s">
        <f>IF(AJ79&lt;&gt;0,AJ79,"")</f>
        <v>126</v>
      </c>
      <c r="AQ79" s="56" t="s">
        <f>IFERROR(VLOOKUP('员工报销单模板'!AR79,'项目中心'!C:D,2,FALSE),"")</f>
        <v>126</v>
      </c>
      <c r="AR79" s="56"/>
      <c r="AS79" s="56"/>
    </row>
    <row r="80" s="24" customFormat="1" ht="14.100000000000001" customHeight="1">
      <c r="AB80" s="51" t="s">
        <f>IFERROR(VLOOKUP('员工报销单模板'!AC80,'索引'!$A$1:$B$62,2,FALSE),"")</f>
        <v>126</v>
      </c>
      <c r="AC80" s="58"/>
      <c r="AD80" s="59"/>
      <c r="AE80" s="59"/>
      <c r="AF80" s="56"/>
      <c r="AG80" s="60"/>
      <c r="AH80" s="53" t="s">
        <f>IFERROR(VLOOKUP(AI80,'索引'!$C$3:$D$8,2,FALSE),"")</f>
        <v>126</v>
      </c>
      <c r="AI80" s="58"/>
      <c r="AJ80" s="64"/>
      <c r="AK80" s="56"/>
      <c r="AL80" s="62"/>
      <c r="AM80" s="63" t="s">
        <f>IF(AJ80&lt;&gt;0,AJ80,"")</f>
        <v>126</v>
      </c>
      <c r="AN80" s="51" t="s">
        <f>IFERROR(VLOOKUP(AO80,'索引'!$I:$J,2,FALSE),"")</f>
        <v>126</v>
      </c>
      <c r="AO80" s="56"/>
      <c r="AP80" s="63" t="s">
        <f>IF(AJ80&lt;&gt;0,AJ80,"")</f>
        <v>126</v>
      </c>
      <c r="AQ80" s="56" t="s">
        <f>IFERROR(VLOOKUP('员工报销单模板'!AR80,'项目中心'!C:D,2,FALSE),"")</f>
        <v>126</v>
      </c>
      <c r="AR80" s="56"/>
      <c r="AS80" s="56"/>
    </row>
    <row r="81" s="24" customFormat="1" ht="14.100000000000001" customHeight="1">
      <c r="AB81" s="51" t="s">
        <f>IFERROR(VLOOKUP('员工报销单模板'!AC81,'索引'!$A$1:$B$62,2,FALSE),"")</f>
        <v>126</v>
      </c>
      <c r="AC81" s="58"/>
      <c r="AD81" s="59"/>
      <c r="AE81" s="59"/>
      <c r="AF81" s="56"/>
      <c r="AG81" s="60"/>
      <c r="AH81" s="53" t="s">
        <f>IFERROR(VLOOKUP(AI81,'索引'!$C$3:$D$8,2,FALSE),"")</f>
        <v>126</v>
      </c>
      <c r="AI81" s="58"/>
      <c r="AJ81" s="64"/>
      <c r="AK81" s="56"/>
      <c r="AL81" s="62"/>
      <c r="AM81" s="63" t="s">
        <f>IF(AJ81&lt;&gt;0,AJ81,"")</f>
        <v>126</v>
      </c>
      <c r="AN81" s="51" t="s">
        <f>IFERROR(VLOOKUP(AO81,'索引'!$I:$J,2,FALSE),"")</f>
        <v>126</v>
      </c>
      <c r="AO81" s="56"/>
      <c r="AP81" s="63" t="s">
        <f>IF(AJ81&lt;&gt;0,AJ81,"")</f>
        <v>126</v>
      </c>
      <c r="AQ81" s="56" t="s">
        <f>IFERROR(VLOOKUP('员工报销单模板'!AR81,'项目中心'!C:D,2,FALSE),"")</f>
        <v>126</v>
      </c>
      <c r="AR81" s="56"/>
      <c r="AS81" s="56"/>
    </row>
    <row r="82" s="24" customFormat="1" ht="14.100000000000001" customHeight="1">
      <c r="AB82" s="51" t="s">
        <f>IFERROR(VLOOKUP('员工报销单模板'!AC82,'索引'!$A$1:$B$62,2,FALSE),"")</f>
        <v>126</v>
      </c>
      <c r="AC82" s="58"/>
      <c r="AD82" s="59"/>
      <c r="AE82" s="59"/>
      <c r="AF82" s="56"/>
      <c r="AG82" s="60"/>
      <c r="AH82" s="53" t="s">
        <f>IFERROR(VLOOKUP(AI82,'索引'!$C$3:$D$8,2,FALSE),"")</f>
        <v>126</v>
      </c>
      <c r="AI82" s="58"/>
      <c r="AJ82" s="64"/>
      <c r="AK82" s="56"/>
      <c r="AL82" s="62"/>
      <c r="AM82" s="63" t="s">
        <f>IF(AJ82&lt;&gt;0,AJ82,"")</f>
        <v>126</v>
      </c>
      <c r="AN82" s="51" t="s">
        <f>IFERROR(VLOOKUP(AO82,'索引'!$I:$J,2,FALSE),"")</f>
        <v>126</v>
      </c>
      <c r="AO82" s="56"/>
      <c r="AP82" s="63" t="s">
        <f>IF(AJ82&lt;&gt;0,AJ82,"")</f>
        <v>126</v>
      </c>
      <c r="AQ82" s="56" t="s">
        <f>IFERROR(VLOOKUP('员工报销单模板'!AR82,'项目中心'!C:D,2,FALSE),"")</f>
        <v>126</v>
      </c>
      <c r="AR82" s="56"/>
      <c r="AS82" s="56"/>
    </row>
    <row r="83" s="24" customFormat="1" ht="14.100000000000001" customHeight="1">
      <c r="AB83" s="51" t="s">
        <f>IFERROR(VLOOKUP('员工报销单模板'!AC83,'索引'!$A$1:$B$62,2,FALSE),"")</f>
        <v>126</v>
      </c>
      <c r="AC83" s="58"/>
      <c r="AD83" s="59"/>
      <c r="AE83" s="59"/>
      <c r="AF83" s="56"/>
      <c r="AG83" s="60"/>
      <c r="AH83" s="53" t="s">
        <f>IFERROR(VLOOKUP(AI83,'索引'!$C$3:$D$8,2,FALSE),"")</f>
        <v>126</v>
      </c>
      <c r="AI83" s="58"/>
      <c r="AJ83" s="64"/>
      <c r="AK83" s="56"/>
      <c r="AL83" s="62"/>
      <c r="AM83" s="63" t="s">
        <f>IF(AJ83&lt;&gt;0,AJ83,"")</f>
        <v>126</v>
      </c>
      <c r="AN83" s="51" t="s">
        <f>IFERROR(VLOOKUP(AO83,'索引'!$I:$J,2,FALSE),"")</f>
        <v>126</v>
      </c>
      <c r="AO83" s="56"/>
      <c r="AP83" s="63" t="s">
        <f>IF(AJ83&lt;&gt;0,AJ83,"")</f>
        <v>126</v>
      </c>
      <c r="AQ83" s="56" t="s">
        <f>IFERROR(VLOOKUP('员工报销单模板'!AR83,'项目中心'!C:D,2,FALSE),"")</f>
        <v>126</v>
      </c>
      <c r="AR83" s="56"/>
      <c r="AS83" s="56"/>
    </row>
    <row r="84" s="24" customFormat="1" ht="14.100000000000001" customHeight="1">
      <c r="AB84" s="51" t="s">
        <f>IFERROR(VLOOKUP('员工报销单模板'!AC84,'索引'!$A$1:$B$62,2,FALSE),"")</f>
        <v>126</v>
      </c>
      <c r="AC84" s="58"/>
      <c r="AD84" s="59"/>
      <c r="AE84" s="59"/>
      <c r="AF84" s="56"/>
      <c r="AG84" s="60"/>
      <c r="AH84" s="53" t="s">
        <f>IFERROR(VLOOKUP(AI84,'索引'!$C$3:$D$8,2,FALSE),"")</f>
        <v>126</v>
      </c>
      <c r="AI84" s="58"/>
      <c r="AJ84" s="64"/>
      <c r="AK84" s="56"/>
      <c r="AL84" s="62"/>
      <c r="AM84" s="63" t="s">
        <f>IF(AJ84&lt;&gt;0,AJ84,"")</f>
        <v>126</v>
      </c>
      <c r="AN84" s="51" t="s">
        <f>IFERROR(VLOOKUP(AO84,'索引'!$I:$J,2,FALSE),"")</f>
        <v>126</v>
      </c>
      <c r="AO84" s="56"/>
      <c r="AP84" s="63" t="s">
        <f>IF(AJ84&lt;&gt;0,AJ84,"")</f>
        <v>126</v>
      </c>
      <c r="AQ84" s="56" t="s">
        <f>IFERROR(VLOOKUP('员工报销单模板'!AR84,'项目中心'!C:D,2,FALSE),"")</f>
        <v>126</v>
      </c>
      <c r="AR84" s="56"/>
      <c r="AS84" s="56"/>
    </row>
    <row r="85" s="24" customFormat="1" ht="14.100000000000001" customHeight="1">
      <c r="AB85" s="51" t="s">
        <f>IFERROR(VLOOKUP('员工报销单模板'!AC85,'索引'!$A$1:$B$62,2,FALSE),"")</f>
        <v>126</v>
      </c>
      <c r="AC85" s="58"/>
      <c r="AD85" s="59"/>
      <c r="AE85" s="59"/>
      <c r="AF85" s="56"/>
      <c r="AG85" s="60"/>
      <c r="AH85" s="53" t="s">
        <f>IFERROR(VLOOKUP(AI85,'索引'!$C$3:$D$8,2,FALSE),"")</f>
        <v>126</v>
      </c>
      <c r="AI85" s="58"/>
      <c r="AJ85" s="64"/>
      <c r="AK85" s="56"/>
      <c r="AL85" s="62"/>
      <c r="AM85" s="63" t="s">
        <f>IF(AJ85&lt;&gt;0,AJ85,"")</f>
        <v>126</v>
      </c>
      <c r="AN85" s="51" t="s">
        <f>IFERROR(VLOOKUP(AO85,'索引'!$I:$J,2,FALSE),"")</f>
        <v>126</v>
      </c>
      <c r="AO85" s="56"/>
      <c r="AP85" s="63" t="s">
        <f>IF(AJ85&lt;&gt;0,AJ85,"")</f>
        <v>126</v>
      </c>
      <c r="AQ85" s="56" t="s">
        <f>IFERROR(VLOOKUP('员工报销单模板'!AR85,'项目中心'!C:D,2,FALSE),"")</f>
        <v>126</v>
      </c>
      <c r="AR85" s="56"/>
      <c r="AS85" s="56"/>
    </row>
    <row r="86" s="24" customFormat="1" ht="14.100000000000001" customHeight="1">
      <c r="AB86" s="51" t="s">
        <f>IFERROR(VLOOKUP('员工报销单模板'!AC86,'索引'!$A$1:$B$62,2,FALSE),"")</f>
        <v>126</v>
      </c>
      <c r="AC86" s="58"/>
      <c r="AD86" s="59"/>
      <c r="AE86" s="59"/>
      <c r="AF86" s="56"/>
      <c r="AG86" s="60"/>
      <c r="AH86" s="53" t="s">
        <f>IFERROR(VLOOKUP(AI86,'索引'!$C$3:$D$8,2,FALSE),"")</f>
        <v>126</v>
      </c>
      <c r="AI86" s="58"/>
      <c r="AJ86" s="64"/>
      <c r="AK86" s="56"/>
      <c r="AL86" s="62"/>
      <c r="AM86" s="63" t="s">
        <f>IF(AJ86&lt;&gt;0,AJ86,"")</f>
        <v>126</v>
      </c>
      <c r="AN86" s="51" t="s">
        <f>IFERROR(VLOOKUP(AO86,'索引'!$I:$J,2,FALSE),"")</f>
        <v>126</v>
      </c>
      <c r="AO86" s="56"/>
      <c r="AP86" s="63" t="s">
        <f>IF(AJ86&lt;&gt;0,AJ86,"")</f>
        <v>126</v>
      </c>
      <c r="AQ86" s="56" t="s">
        <f>IFERROR(VLOOKUP('员工报销单模板'!AR86,'项目中心'!C:D,2,FALSE),"")</f>
        <v>126</v>
      </c>
      <c r="AR86" s="56"/>
      <c r="AS86" s="56"/>
    </row>
    <row r="87" s="24" customFormat="1" ht="14.100000000000001" customHeight="1">
      <c r="AB87" s="51" t="s">
        <f>IFERROR(VLOOKUP('员工报销单模板'!AC87,'索引'!$A$1:$B$62,2,FALSE),"")</f>
        <v>126</v>
      </c>
      <c r="AC87" s="58"/>
      <c r="AD87" s="59"/>
      <c r="AE87" s="59"/>
      <c r="AF87" s="56"/>
      <c r="AG87" s="60"/>
      <c r="AH87" s="53" t="s">
        <f>IFERROR(VLOOKUP(AI87,'索引'!$C$3:$D$8,2,FALSE),"")</f>
        <v>126</v>
      </c>
      <c r="AI87" s="58"/>
      <c r="AJ87" s="64"/>
      <c r="AK87" s="56"/>
      <c r="AL87" s="62"/>
      <c r="AM87" s="63" t="s">
        <f>IF(AJ87&lt;&gt;0,AJ87,"")</f>
        <v>126</v>
      </c>
      <c r="AN87" s="51" t="s">
        <f>IFERROR(VLOOKUP(AO87,'索引'!$I:$J,2,FALSE),"")</f>
        <v>126</v>
      </c>
      <c r="AO87" s="56"/>
      <c r="AP87" s="63" t="s">
        <f>IF(AJ87&lt;&gt;0,AJ87,"")</f>
        <v>126</v>
      </c>
      <c r="AQ87" s="56" t="s">
        <f>IFERROR(VLOOKUP('员工报销单模板'!AR87,'项目中心'!C:D,2,FALSE),"")</f>
        <v>126</v>
      </c>
      <c r="AR87" s="56"/>
      <c r="AS87" s="56"/>
    </row>
    <row r="88" s="24" customFormat="1" ht="14.100000000000001" customHeight="1">
      <c r="AB88" s="51" t="s">
        <f>IFERROR(VLOOKUP('员工报销单模板'!AC88,'索引'!$A$1:$B$62,2,FALSE),"")</f>
        <v>126</v>
      </c>
      <c r="AC88" s="58"/>
      <c r="AD88" s="59"/>
      <c r="AE88" s="59"/>
      <c r="AF88" s="56"/>
      <c r="AG88" s="60"/>
      <c r="AH88" s="53" t="s">
        <f>IFERROR(VLOOKUP(AI88,'索引'!$C$3:$D$8,2,FALSE),"")</f>
        <v>126</v>
      </c>
      <c r="AI88" s="58"/>
      <c r="AJ88" s="64"/>
      <c r="AK88" s="56"/>
      <c r="AL88" s="62"/>
      <c r="AM88" s="63" t="s">
        <f>IF(AJ88&lt;&gt;0,AJ88,"")</f>
        <v>126</v>
      </c>
      <c r="AN88" s="51" t="s">
        <f>IFERROR(VLOOKUP(AO88,'索引'!$I:$J,2,FALSE),"")</f>
        <v>126</v>
      </c>
      <c r="AO88" s="56"/>
      <c r="AP88" s="63" t="s">
        <f>IF(AJ88&lt;&gt;0,AJ88,"")</f>
        <v>126</v>
      </c>
      <c r="AQ88" s="56" t="s">
        <f>IFERROR(VLOOKUP('员工报销单模板'!AR88,'项目中心'!C:D,2,FALSE),"")</f>
        <v>126</v>
      </c>
      <c r="AR88" s="56"/>
      <c r="AS88" s="56"/>
    </row>
    <row r="89" s="24" customFormat="1" ht="14.100000000000001" customHeight="1">
      <c r="AB89" s="51" t="s">
        <f>IFERROR(VLOOKUP('员工报销单模板'!AC89,'索引'!$A$1:$B$62,2,FALSE),"")</f>
        <v>126</v>
      </c>
      <c r="AC89" s="58"/>
      <c r="AD89" s="59"/>
      <c r="AE89" s="59"/>
      <c r="AF89" s="56"/>
      <c r="AG89" s="60"/>
      <c r="AH89" s="53" t="s">
        <f>IFERROR(VLOOKUP(AI89,'索引'!$C$3:$D$8,2,FALSE),"")</f>
        <v>126</v>
      </c>
      <c r="AI89" s="58"/>
      <c r="AJ89" s="64"/>
      <c r="AK89" s="56"/>
      <c r="AL89" s="62"/>
      <c r="AM89" s="63" t="s">
        <f>IF(AJ89&lt;&gt;0,AJ89,"")</f>
        <v>126</v>
      </c>
      <c r="AN89" s="51" t="s">
        <f>IFERROR(VLOOKUP(AO89,'索引'!$I:$J,2,FALSE),"")</f>
        <v>126</v>
      </c>
      <c r="AO89" s="56"/>
      <c r="AP89" s="63" t="s">
        <f>IF(AJ89&lt;&gt;0,AJ89,"")</f>
        <v>126</v>
      </c>
      <c r="AQ89" s="56" t="s">
        <f>IFERROR(VLOOKUP('员工报销单模板'!AR89,'项目中心'!C:D,2,FALSE),"")</f>
        <v>126</v>
      </c>
      <c r="AR89" s="56"/>
      <c r="AS89" s="56"/>
    </row>
    <row r="90" s="24" customFormat="1" ht="14.100000000000001" customHeight="1">
      <c r="AB90" s="51" t="s">
        <f>IFERROR(VLOOKUP('员工报销单模板'!AC90,'索引'!$A$1:$B$62,2,FALSE),"")</f>
        <v>126</v>
      </c>
      <c r="AC90" s="58"/>
      <c r="AD90" s="59"/>
      <c r="AE90" s="59"/>
      <c r="AF90" s="56"/>
      <c r="AG90" s="60"/>
      <c r="AH90" s="53" t="s">
        <f>IFERROR(VLOOKUP(AI90,'索引'!$C$3:$D$8,2,FALSE),"")</f>
        <v>126</v>
      </c>
      <c r="AI90" s="58"/>
      <c r="AJ90" s="64"/>
      <c r="AK90" s="56"/>
      <c r="AL90" s="62"/>
      <c r="AM90" s="63" t="s">
        <f>IF(AJ90&lt;&gt;0,AJ90,"")</f>
        <v>126</v>
      </c>
      <c r="AN90" s="51" t="s">
        <f>IFERROR(VLOOKUP(AO90,'索引'!$I:$J,2,FALSE),"")</f>
        <v>126</v>
      </c>
      <c r="AO90" s="56"/>
      <c r="AP90" s="63" t="s">
        <f>IF(AJ90&lt;&gt;0,AJ90,"")</f>
        <v>126</v>
      </c>
      <c r="AQ90" s="56" t="s">
        <f>IFERROR(VLOOKUP('员工报销单模板'!AR90,'项目中心'!C:D,2,FALSE),"")</f>
        <v>126</v>
      </c>
      <c r="AR90" s="56"/>
      <c r="AS90" s="56"/>
    </row>
    <row r="91" s="24" customFormat="1" ht="14.100000000000001" customHeight="1">
      <c r="AB91" s="51" t="s">
        <f>IFERROR(VLOOKUP('员工报销单模板'!AC91,'索引'!$A$1:$B$62,2,FALSE),"")</f>
        <v>126</v>
      </c>
      <c r="AC91" s="58"/>
      <c r="AD91" s="59"/>
      <c r="AE91" s="59"/>
      <c r="AF91" s="56"/>
      <c r="AG91" s="60"/>
      <c r="AH91" s="53" t="s">
        <f>IFERROR(VLOOKUP(AI91,'索引'!$C$3:$D$8,2,FALSE),"")</f>
        <v>126</v>
      </c>
      <c r="AI91" s="58"/>
      <c r="AJ91" s="64"/>
      <c r="AK91" s="56"/>
      <c r="AL91" s="62"/>
      <c r="AM91" s="63" t="s">
        <f>IF(AJ91&lt;&gt;0,AJ91,"")</f>
        <v>126</v>
      </c>
      <c r="AN91" s="51" t="s">
        <f>IFERROR(VLOOKUP(AO91,'索引'!$I:$J,2,FALSE),"")</f>
        <v>126</v>
      </c>
      <c r="AO91" s="56"/>
      <c r="AP91" s="63" t="s">
        <f>IF(AJ91&lt;&gt;0,AJ91,"")</f>
        <v>126</v>
      </c>
      <c r="AQ91" s="56" t="s">
        <f>IFERROR(VLOOKUP('员工报销单模板'!AR91,'项目中心'!C:D,2,FALSE),"")</f>
        <v>126</v>
      </c>
      <c r="AR91" s="56"/>
      <c r="AS91" s="56"/>
    </row>
    <row r="92" s="24" customFormat="1" ht="14.100000000000001" customHeight="1">
      <c r="AB92" s="51" t="s">
        <f>IFERROR(VLOOKUP('员工报销单模板'!AC92,'索引'!$A$1:$B$62,2,FALSE),"")</f>
        <v>126</v>
      </c>
      <c r="AC92" s="58"/>
      <c r="AD92" s="59"/>
      <c r="AE92" s="59"/>
      <c r="AF92" s="56"/>
      <c r="AG92" s="60"/>
      <c r="AH92" s="53" t="s">
        <f>IFERROR(VLOOKUP(AI92,'索引'!$C$3:$D$8,2,FALSE),"")</f>
        <v>126</v>
      </c>
      <c r="AI92" s="58"/>
      <c r="AJ92" s="64"/>
      <c r="AK92" s="56"/>
      <c r="AL92" s="62"/>
      <c r="AM92" s="63" t="s">
        <f>IF(AJ92&lt;&gt;0,AJ92,"")</f>
        <v>126</v>
      </c>
      <c r="AN92" s="51" t="s">
        <f>IFERROR(VLOOKUP(AO92,'索引'!$I:$J,2,FALSE),"")</f>
        <v>126</v>
      </c>
      <c r="AO92" s="56"/>
      <c r="AP92" s="63" t="s">
        <f>IF(AJ92&lt;&gt;0,AJ92,"")</f>
        <v>126</v>
      </c>
      <c r="AQ92" s="56" t="s">
        <f>IFERROR(VLOOKUP('员工报销单模板'!AR92,'项目中心'!C:D,2,FALSE),"")</f>
        <v>126</v>
      </c>
      <c r="AR92" s="56"/>
      <c r="AS92" s="56"/>
    </row>
    <row r="93" s="24" customFormat="1" ht="14.100000000000001" customHeight="1">
      <c r="AB93" s="51" t="s">
        <f>IFERROR(VLOOKUP('员工报销单模板'!AC93,'索引'!$A$1:$B$62,2,FALSE),"")</f>
        <v>126</v>
      </c>
      <c r="AC93" s="58"/>
      <c r="AD93" s="59"/>
      <c r="AE93" s="59"/>
      <c r="AF93" s="56"/>
      <c r="AG93" s="60"/>
      <c r="AH93" s="53" t="s">
        <f>IFERROR(VLOOKUP(AI93,'索引'!$C$3:$D$8,2,FALSE),"")</f>
        <v>126</v>
      </c>
      <c r="AI93" s="58"/>
      <c r="AJ93" s="64"/>
      <c r="AK93" s="56"/>
      <c r="AL93" s="62"/>
      <c r="AM93" s="63" t="s">
        <f>IF(AJ93&lt;&gt;0,AJ93,"")</f>
        <v>126</v>
      </c>
      <c r="AN93" s="51" t="s">
        <f>IFERROR(VLOOKUP(AO93,'索引'!$I:$J,2,FALSE),"")</f>
        <v>126</v>
      </c>
      <c r="AO93" s="56"/>
      <c r="AP93" s="63" t="s">
        <f>IF(AJ93&lt;&gt;0,AJ93,"")</f>
        <v>126</v>
      </c>
      <c r="AQ93" s="56" t="s">
        <f>IFERROR(VLOOKUP('员工报销单模板'!AR93,'项目中心'!C:D,2,FALSE),"")</f>
        <v>126</v>
      </c>
      <c r="AR93" s="56"/>
      <c r="AS93" s="56"/>
    </row>
    <row r="94" s="24" customFormat="1" ht="14.100000000000001" customHeight="1">
      <c r="AB94" s="51" t="s">
        <f>IFERROR(VLOOKUP('员工报销单模板'!AC94,'索引'!$A$1:$B$62,2,FALSE),"")</f>
        <v>126</v>
      </c>
      <c r="AC94" s="58"/>
      <c r="AD94" s="59"/>
      <c r="AE94" s="59"/>
      <c r="AF94" s="56"/>
      <c r="AG94" s="60"/>
      <c r="AH94" s="53" t="s">
        <f>IFERROR(VLOOKUP(AI94,'索引'!$C$3:$D$8,2,FALSE),"")</f>
        <v>126</v>
      </c>
      <c r="AI94" s="58"/>
      <c r="AJ94" s="64"/>
      <c r="AK94" s="56"/>
      <c r="AL94" s="62"/>
      <c r="AM94" s="63" t="s">
        <f>IF(AJ94&lt;&gt;0,AJ94,"")</f>
        <v>126</v>
      </c>
      <c r="AN94" s="51" t="s">
        <f>IFERROR(VLOOKUP(AO94,'索引'!$I:$J,2,FALSE),"")</f>
        <v>126</v>
      </c>
      <c r="AO94" s="56"/>
      <c r="AP94" s="63" t="s">
        <f>IF(AJ94&lt;&gt;0,AJ94,"")</f>
        <v>126</v>
      </c>
      <c r="AQ94" s="56" t="s">
        <f>IFERROR(VLOOKUP('员工报销单模板'!AR94,'项目中心'!C:D,2,FALSE),"")</f>
        <v>126</v>
      </c>
      <c r="AR94" s="56"/>
      <c r="AS94" s="56"/>
    </row>
    <row r="95" s="24" customFormat="1" ht="14.100000000000001" customHeight="1">
      <c r="AB95" s="51" t="s">
        <f>IFERROR(VLOOKUP('员工报销单模板'!AC95,'索引'!$A$1:$B$62,2,FALSE),"")</f>
        <v>126</v>
      </c>
      <c r="AC95" s="58"/>
      <c r="AD95" s="59"/>
      <c r="AE95" s="59"/>
      <c r="AF95" s="56"/>
      <c r="AG95" s="60"/>
      <c r="AH95" s="53" t="s">
        <f>IFERROR(VLOOKUP(AI95,'索引'!$C$3:$D$8,2,FALSE),"")</f>
        <v>126</v>
      </c>
      <c r="AI95" s="58"/>
      <c r="AJ95" s="64"/>
      <c r="AK95" s="56"/>
      <c r="AL95" s="62"/>
      <c r="AM95" s="63" t="s">
        <f>IF(AJ95&lt;&gt;0,AJ95,"")</f>
        <v>126</v>
      </c>
      <c r="AN95" s="51" t="s">
        <f>IFERROR(VLOOKUP(AO95,'索引'!$I:$J,2,FALSE),"")</f>
        <v>126</v>
      </c>
      <c r="AO95" s="56"/>
      <c r="AP95" s="63" t="s">
        <f>IF(AJ95&lt;&gt;0,AJ95,"")</f>
        <v>126</v>
      </c>
      <c r="AQ95" s="56" t="s">
        <f>IFERROR(VLOOKUP('员工报销单模板'!AR95,'项目中心'!C:D,2,FALSE),"")</f>
        <v>126</v>
      </c>
      <c r="AR95" s="56"/>
      <c r="AS95" s="56"/>
    </row>
    <row r="96" s="24" customFormat="1" ht="14.100000000000001" customHeight="1">
      <c r="AB96" s="51" t="s">
        <f>IFERROR(VLOOKUP('员工报销单模板'!AC96,'索引'!$A$1:$B$62,2,FALSE),"")</f>
        <v>126</v>
      </c>
      <c r="AC96" s="58"/>
      <c r="AD96" s="59"/>
      <c r="AE96" s="59"/>
      <c r="AF96" s="56"/>
      <c r="AG96" s="60"/>
      <c r="AH96" s="53" t="s">
        <f>IFERROR(VLOOKUP(AI96,'索引'!$C$3:$D$8,2,FALSE),"")</f>
        <v>126</v>
      </c>
      <c r="AI96" s="58"/>
      <c r="AJ96" s="64"/>
      <c r="AK96" s="56"/>
      <c r="AL96" s="62"/>
      <c r="AM96" s="63" t="s">
        <f>IF(AJ96&lt;&gt;0,AJ96,"")</f>
        <v>126</v>
      </c>
      <c r="AN96" s="51" t="s">
        <f>IFERROR(VLOOKUP(AO96,'索引'!$I:$J,2,FALSE),"")</f>
        <v>126</v>
      </c>
      <c r="AO96" s="56"/>
      <c r="AP96" s="63" t="s">
        <f>IF(AJ96&lt;&gt;0,AJ96,"")</f>
        <v>126</v>
      </c>
      <c r="AQ96" s="56" t="s">
        <f>IFERROR(VLOOKUP('员工报销单模板'!AR96,'项目中心'!C:D,2,FALSE),"")</f>
        <v>126</v>
      </c>
      <c r="AR96" s="56"/>
      <c r="AS96" s="56"/>
    </row>
    <row r="97" s="24" customFormat="1" ht="14.100000000000001" customHeight="1">
      <c r="AB97" s="51" t="s">
        <f>IFERROR(VLOOKUP('员工报销单模板'!AC97,'索引'!$A$1:$B$62,2,FALSE),"")</f>
        <v>126</v>
      </c>
      <c r="AC97" s="58"/>
      <c r="AD97" s="59"/>
      <c r="AE97" s="59"/>
      <c r="AF97" s="56"/>
      <c r="AG97" s="60"/>
      <c r="AH97" s="53" t="s">
        <f>IFERROR(VLOOKUP(AI97,'索引'!$C$3:$D$8,2,FALSE),"")</f>
        <v>126</v>
      </c>
      <c r="AI97" s="58"/>
      <c r="AJ97" s="64"/>
      <c r="AK97" s="56"/>
      <c r="AL97" s="62"/>
      <c r="AM97" s="63" t="s">
        <f>IF(AJ97&lt;&gt;0,AJ97,"")</f>
        <v>126</v>
      </c>
      <c r="AN97" s="51" t="s">
        <f>IFERROR(VLOOKUP(AO97,'索引'!$I:$J,2,FALSE),"")</f>
        <v>126</v>
      </c>
      <c r="AO97" s="56"/>
      <c r="AP97" s="63" t="s">
        <f>IF(AJ97&lt;&gt;0,AJ97,"")</f>
        <v>126</v>
      </c>
      <c r="AQ97" s="56" t="s">
        <f>IFERROR(VLOOKUP('员工报销单模板'!AR97,'项目中心'!C:D,2,FALSE),"")</f>
        <v>126</v>
      </c>
      <c r="AR97" s="56"/>
      <c r="AS97" s="56"/>
    </row>
    <row r="98" s="24" customFormat="1" ht="14.100000000000001" customHeight="1">
      <c r="AB98" s="51" t="s">
        <f>IFERROR(VLOOKUP('员工报销单模板'!AC98,'索引'!$A$1:$B$62,2,FALSE),"")</f>
        <v>126</v>
      </c>
      <c r="AC98" s="58"/>
      <c r="AD98" s="59"/>
      <c r="AE98" s="59"/>
      <c r="AF98" s="56"/>
      <c r="AG98" s="60"/>
      <c r="AH98" s="53" t="s">
        <f>IFERROR(VLOOKUP(AI98,'索引'!$C$3:$D$8,2,FALSE),"")</f>
        <v>126</v>
      </c>
      <c r="AI98" s="58"/>
      <c r="AJ98" s="64"/>
      <c r="AK98" s="56"/>
      <c r="AL98" s="62"/>
      <c r="AM98" s="63" t="s">
        <f>IF(AJ98&lt;&gt;0,AJ98,"")</f>
        <v>126</v>
      </c>
      <c r="AN98" s="51" t="s">
        <f>IFERROR(VLOOKUP(AO98,'索引'!$I:$J,2,FALSE),"")</f>
        <v>126</v>
      </c>
      <c r="AO98" s="56"/>
      <c r="AP98" s="63" t="s">
        <f>IF(AJ98&lt;&gt;0,AJ98,"")</f>
        <v>126</v>
      </c>
      <c r="AQ98" s="56" t="s">
        <f>IFERROR(VLOOKUP('员工报销单模板'!AR98,'项目中心'!C:D,2,FALSE),"")</f>
        <v>126</v>
      </c>
      <c r="AR98" s="56"/>
      <c r="AS98" s="56"/>
    </row>
    <row r="99" s="24" customFormat="1" ht="14.100000000000001" customHeight="1">
      <c r="AB99" s="51" t="s">
        <f>IFERROR(VLOOKUP('员工报销单模板'!AC99,'索引'!$A$1:$B$62,2,FALSE),"")</f>
        <v>126</v>
      </c>
      <c r="AC99" s="58"/>
      <c r="AD99" s="59"/>
      <c r="AE99" s="59"/>
      <c r="AF99" s="56"/>
      <c r="AG99" s="60"/>
      <c r="AH99" s="53" t="s">
        <f>IFERROR(VLOOKUP(AI99,'索引'!$C$3:$D$8,2,FALSE),"")</f>
        <v>126</v>
      </c>
      <c r="AI99" s="58"/>
      <c r="AJ99" s="64"/>
      <c r="AK99" s="56"/>
      <c r="AL99" s="62"/>
      <c r="AM99" s="63" t="s">
        <f>IF(AJ99&lt;&gt;0,AJ99,"")</f>
        <v>126</v>
      </c>
      <c r="AN99" s="51" t="s">
        <f>IFERROR(VLOOKUP(AO99,'索引'!$I:$J,2,FALSE),"")</f>
        <v>126</v>
      </c>
      <c r="AO99" s="56"/>
      <c r="AP99" s="63" t="s">
        <f>IF(AJ99&lt;&gt;0,AJ99,"")</f>
        <v>126</v>
      </c>
      <c r="AQ99" s="56" t="s">
        <f>IFERROR(VLOOKUP('员工报销单模板'!AR99,'项目中心'!C:D,2,FALSE),"")</f>
        <v>126</v>
      </c>
      <c r="AR99" s="56"/>
      <c r="AS99" s="56"/>
    </row>
    <row r="100" s="24" customFormat="1" ht="14.100000000000001" customHeight="1">
      <c r="AB100" s="51" t="s">
        <f>IFERROR(VLOOKUP('员工报销单模板'!AC100,'索引'!$A$1:$B$62,2,FALSE),"")</f>
        <v>126</v>
      </c>
      <c r="AC100" s="58"/>
      <c r="AD100" s="59"/>
      <c r="AE100" s="59"/>
      <c r="AF100" s="56"/>
      <c r="AG100" s="60"/>
      <c r="AH100" s="53" t="s">
        <f>IFERROR(VLOOKUP(AI100,'索引'!$C$3:$D$8,2,FALSE),"")</f>
        <v>126</v>
      </c>
      <c r="AI100" s="58"/>
      <c r="AJ100" s="64"/>
      <c r="AK100" s="56"/>
      <c r="AL100" s="62"/>
      <c r="AM100" s="63" t="s">
        <f>IF(AJ100&lt;&gt;0,AJ100,"")</f>
        <v>126</v>
      </c>
      <c r="AN100" s="51" t="s">
        <f>IFERROR(VLOOKUP(AO100,'索引'!$I:$J,2,FALSE),"")</f>
        <v>126</v>
      </c>
      <c r="AO100" s="56"/>
      <c r="AP100" s="63" t="s">
        <f>IF(AJ100&lt;&gt;0,AJ100,"")</f>
        <v>126</v>
      </c>
      <c r="AQ100" s="56" t="s">
        <f>IFERROR(VLOOKUP('员工报销单模板'!AR100,'项目中心'!C:D,2,FALSE),"")</f>
        <v>126</v>
      </c>
      <c r="AR100" s="56"/>
      <c r="AS100" s="56"/>
    </row>
    <row r="101" s="24" customFormat="1" ht="14.100000000000001" customHeight="1">
      <c r="AB101" s="51" t="s">
        <f>IFERROR(VLOOKUP('员工报销单模板'!AC101,'索引'!$A$1:$B$62,2,FALSE),"")</f>
        <v>126</v>
      </c>
      <c r="AC101" s="58"/>
      <c r="AD101" s="59"/>
      <c r="AE101" s="59"/>
      <c r="AF101" s="56"/>
      <c r="AG101" s="60"/>
      <c r="AH101" s="53" t="s">
        <f>IFERROR(VLOOKUP(AI101,'索引'!$C$3:$D$8,2,FALSE),"")</f>
        <v>126</v>
      </c>
      <c r="AI101" s="58"/>
      <c r="AJ101" s="64"/>
      <c r="AK101" s="56"/>
      <c r="AL101" s="62"/>
      <c r="AM101" s="63" t="s">
        <f>IF(AJ101&lt;&gt;0,AJ101,"")</f>
        <v>126</v>
      </c>
      <c r="AN101" s="51" t="s">
        <f>IFERROR(VLOOKUP(AO101,'索引'!$I:$J,2,FALSE),"")</f>
        <v>126</v>
      </c>
      <c r="AO101" s="56"/>
      <c r="AP101" s="63" t="s">
        <f>IF(AJ101&lt;&gt;0,AJ101,"")</f>
        <v>126</v>
      </c>
      <c r="AQ101" s="56" t="s">
        <f>IFERROR(VLOOKUP('员工报销单模板'!AR101,'项目中心'!C:D,2,FALSE),"")</f>
        <v>126</v>
      </c>
      <c r="AR101" s="56"/>
      <c r="AS101" s="56"/>
    </row>
    <row r="102" s="24" customFormat="1" ht="14.100000000000001" customHeight="1">
      <c r="AB102" s="51" t="s">
        <f>IFERROR(VLOOKUP('员工报销单模板'!AC102,'索引'!$A$1:$B$62,2,FALSE),"")</f>
        <v>126</v>
      </c>
      <c r="AC102" s="58"/>
      <c r="AD102" s="59"/>
      <c r="AE102" s="59"/>
      <c r="AF102" s="56"/>
      <c r="AG102" s="60"/>
      <c r="AH102" s="53" t="s">
        <f>IFERROR(VLOOKUP(AI102,'索引'!$C$3:$D$8,2,FALSE),"")</f>
        <v>126</v>
      </c>
      <c r="AI102" s="58"/>
      <c r="AJ102" s="64"/>
      <c r="AK102" s="56"/>
      <c r="AL102" s="62"/>
      <c r="AM102" s="63" t="s">
        <f>IF(AJ102&lt;&gt;0,AJ102,"")</f>
        <v>126</v>
      </c>
      <c r="AN102" s="51" t="s">
        <f>IFERROR(VLOOKUP(AO102,'索引'!$I:$J,2,FALSE),"")</f>
        <v>126</v>
      </c>
      <c r="AO102" s="56"/>
      <c r="AP102" s="63" t="s">
        <f>IF(AJ102&lt;&gt;0,AJ102,"")</f>
        <v>126</v>
      </c>
      <c r="AQ102" s="56" t="s">
        <f>IFERROR(VLOOKUP('员工报销单模板'!AR102,'项目中心'!C:D,2,FALSE),"")</f>
        <v>126</v>
      </c>
      <c r="AR102" s="56"/>
      <c r="AS102" s="56"/>
    </row>
    <row r="103" s="24" customFormat="1" ht="14.100000000000001" customHeight="1">
      <c r="AB103" s="51" t="s">
        <f>IFERROR(VLOOKUP('员工报销单模板'!AC103,'索引'!$A$1:$B$62,2,FALSE),"")</f>
        <v>126</v>
      </c>
      <c r="AC103" s="58"/>
      <c r="AD103" s="59"/>
      <c r="AE103" s="59"/>
      <c r="AF103" s="56"/>
      <c r="AG103" s="60"/>
      <c r="AH103" s="53" t="s">
        <f>IFERROR(VLOOKUP(AI103,'索引'!$C$3:$D$8,2,FALSE),"")</f>
        <v>126</v>
      </c>
      <c r="AI103" s="58"/>
      <c r="AJ103" s="64"/>
      <c r="AK103" s="56"/>
      <c r="AL103" s="62"/>
      <c r="AM103" s="63" t="s">
        <f>IF(AJ103&lt;&gt;0,AJ103,"")</f>
        <v>126</v>
      </c>
      <c r="AN103" s="51" t="s">
        <f>IFERROR(VLOOKUP(AO103,'索引'!$I:$J,2,FALSE),"")</f>
        <v>126</v>
      </c>
      <c r="AO103" s="56"/>
      <c r="AP103" s="63" t="s">
        <f>IF(AJ103&lt;&gt;0,AJ103,"")</f>
        <v>126</v>
      </c>
      <c r="AQ103" s="56" t="s">
        <f>IFERROR(VLOOKUP('员工报销单模板'!AR103,'项目中心'!C:D,2,FALSE),"")</f>
        <v>126</v>
      </c>
      <c r="AR103" s="56"/>
      <c r="AS103" s="56"/>
    </row>
    <row r="104" s="24" customFormat="1" ht="14.100000000000001" customHeight="1">
      <c r="AB104" s="51" t="s">
        <f>IFERROR(VLOOKUP('员工报销单模板'!AC104,'索引'!$A$1:$B$62,2,FALSE),"")</f>
        <v>126</v>
      </c>
      <c r="AC104" s="58"/>
      <c r="AD104" s="59"/>
      <c r="AE104" s="59"/>
      <c r="AF104" s="56"/>
      <c r="AG104" s="60"/>
      <c r="AH104" s="53" t="s">
        <f>IFERROR(VLOOKUP(AI104,'索引'!$C$3:$D$8,2,FALSE),"")</f>
        <v>126</v>
      </c>
      <c r="AI104" s="58"/>
      <c r="AJ104" s="64"/>
      <c r="AK104" s="56"/>
      <c r="AL104" s="62"/>
      <c r="AM104" s="63" t="s">
        <f>IF(AJ104&lt;&gt;0,AJ104,"")</f>
        <v>126</v>
      </c>
      <c r="AN104" s="51" t="s">
        <f>IFERROR(VLOOKUP(AO104,'索引'!$I:$J,2,FALSE),"")</f>
        <v>126</v>
      </c>
      <c r="AO104" s="56"/>
      <c r="AP104" s="63" t="s">
        <f>IF(AJ104&lt;&gt;0,AJ104,"")</f>
        <v>126</v>
      </c>
      <c r="AQ104" s="56" t="s">
        <f>IFERROR(VLOOKUP('员工报销单模板'!AR104,'项目中心'!C:D,2,FALSE),"")</f>
        <v>126</v>
      </c>
      <c r="AR104" s="56"/>
      <c r="AS104" s="56"/>
    </row>
    <row r="105" s="24" customFormat="1" ht="14.100000000000001" customHeight="1">
      <c r="AB105" s="51" t="s">
        <f>IFERROR(VLOOKUP('员工报销单模板'!AC105,'索引'!$A$1:$B$62,2,FALSE),"")</f>
        <v>126</v>
      </c>
      <c r="AC105" s="58"/>
      <c r="AD105" s="59"/>
      <c r="AE105" s="59"/>
      <c r="AF105" s="56"/>
      <c r="AG105" s="60"/>
      <c r="AH105" s="53" t="s">
        <f>IFERROR(VLOOKUP(AI105,'索引'!$C$3:$D$8,2,FALSE),"")</f>
        <v>126</v>
      </c>
      <c r="AI105" s="58"/>
      <c r="AJ105" s="64"/>
      <c r="AK105" s="56"/>
      <c r="AL105" s="62"/>
      <c r="AM105" s="63" t="s">
        <f>IF(AJ105&lt;&gt;0,AJ105,"")</f>
        <v>126</v>
      </c>
      <c r="AN105" s="51" t="s">
        <f>IFERROR(VLOOKUP(AO105,'索引'!$I:$J,2,FALSE),"")</f>
        <v>126</v>
      </c>
      <c r="AO105" s="56"/>
      <c r="AP105" s="63" t="s">
        <f>IF(AJ105&lt;&gt;0,AJ105,"")</f>
        <v>126</v>
      </c>
      <c r="AQ105" s="56" t="s">
        <f>IFERROR(VLOOKUP('员工报销单模板'!AR105,'项目中心'!C:D,2,FALSE),"")</f>
        <v>126</v>
      </c>
      <c r="AR105" s="56"/>
      <c r="AS105" s="56"/>
    </row>
    <row r="106" s="24" customFormat="1" ht="14.100000000000001" customHeight="1">
      <c r="AB106" s="51" t="s">
        <f>IFERROR(VLOOKUP('员工报销单模板'!AC106,'索引'!$A$1:$B$62,2,FALSE),"")</f>
        <v>126</v>
      </c>
      <c r="AC106" s="58"/>
      <c r="AD106" s="59"/>
      <c r="AE106" s="59"/>
      <c r="AF106" s="56"/>
      <c r="AG106" s="60"/>
      <c r="AH106" s="53" t="s">
        <f>IFERROR(VLOOKUP(AI106,'索引'!$C$3:$D$8,2,FALSE),"")</f>
        <v>126</v>
      </c>
      <c r="AI106" s="58"/>
      <c r="AJ106" s="64"/>
      <c r="AK106" s="56"/>
      <c r="AL106" s="62"/>
      <c r="AM106" s="63" t="s">
        <f>IF(AJ106&lt;&gt;0,AJ106,"")</f>
        <v>126</v>
      </c>
      <c r="AN106" s="51" t="s">
        <f>IFERROR(VLOOKUP(AO106,'索引'!$I:$J,2,FALSE),"")</f>
        <v>126</v>
      </c>
      <c r="AO106" s="56"/>
      <c r="AP106" s="63" t="s">
        <f>IF(AJ106&lt;&gt;0,AJ106,"")</f>
        <v>126</v>
      </c>
      <c r="AQ106" s="56" t="s">
        <f>IFERROR(VLOOKUP('员工报销单模板'!AR106,'项目中心'!C:D,2,FALSE),"")</f>
        <v>126</v>
      </c>
      <c r="AR106" s="56"/>
      <c r="AS106" s="56"/>
    </row>
    <row r="107" s="24" customFormat="1" ht="14.100000000000001" customHeight="1">
      <c r="AB107" s="51" t="s">
        <f>IFERROR(VLOOKUP('员工报销单模板'!AC107,'索引'!$A$1:$B$62,2,FALSE),"")</f>
        <v>126</v>
      </c>
      <c r="AC107" s="58"/>
      <c r="AD107" s="59"/>
      <c r="AE107" s="59"/>
      <c r="AF107" s="56"/>
      <c r="AG107" s="60"/>
      <c r="AH107" s="53" t="s">
        <f>IFERROR(VLOOKUP(AI107,'索引'!$C$3:$D$8,2,FALSE),"")</f>
        <v>126</v>
      </c>
      <c r="AI107" s="58"/>
      <c r="AJ107" s="64"/>
      <c r="AK107" s="56"/>
      <c r="AL107" s="62"/>
      <c r="AM107" s="63" t="s">
        <f>IF(AJ107&lt;&gt;0,AJ107,"")</f>
        <v>126</v>
      </c>
      <c r="AN107" s="51" t="s">
        <f>IFERROR(VLOOKUP(AO107,'索引'!$I:$J,2,FALSE),"")</f>
        <v>126</v>
      </c>
      <c r="AO107" s="56"/>
      <c r="AP107" s="63" t="s">
        <f>IF(AJ107&lt;&gt;0,AJ107,"")</f>
        <v>126</v>
      </c>
      <c r="AQ107" s="56" t="s">
        <f>IFERROR(VLOOKUP('员工报销单模板'!AR107,'项目中心'!C:D,2,FALSE),"")</f>
        <v>126</v>
      </c>
      <c r="AR107" s="56"/>
      <c r="AS107" s="56"/>
    </row>
    <row r="108" s="24" customFormat="1" ht="14.100000000000001" customHeight="1">
      <c r="AB108" s="51" t="s">
        <f>IFERROR(VLOOKUP('员工报销单模板'!AC108,'索引'!$A$1:$B$62,2,FALSE),"")</f>
        <v>126</v>
      </c>
      <c r="AC108" s="58"/>
      <c r="AD108" s="59"/>
      <c r="AE108" s="59"/>
      <c r="AF108" s="56"/>
      <c r="AG108" s="60"/>
      <c r="AH108" s="53" t="s">
        <f>IFERROR(VLOOKUP(AI108,'索引'!$C$3:$D$8,2,FALSE),"")</f>
        <v>126</v>
      </c>
      <c r="AI108" s="58"/>
      <c r="AJ108" s="64"/>
      <c r="AK108" s="56"/>
      <c r="AL108" s="62"/>
      <c r="AM108" s="63" t="s">
        <f>IF(AJ108&lt;&gt;0,AJ108,"")</f>
        <v>126</v>
      </c>
      <c r="AN108" s="51" t="s">
        <f>IFERROR(VLOOKUP(AO108,'索引'!$I:$J,2,FALSE),"")</f>
        <v>126</v>
      </c>
      <c r="AO108" s="56"/>
      <c r="AP108" s="63" t="s">
        <f>IF(AJ108&lt;&gt;0,AJ108,"")</f>
        <v>126</v>
      </c>
      <c r="AQ108" s="56" t="s">
        <f>IFERROR(VLOOKUP('员工报销单模板'!AR108,'项目中心'!C:D,2,FALSE),"")</f>
        <v>126</v>
      </c>
      <c r="AR108" s="56"/>
      <c r="AS108" s="56"/>
    </row>
    <row r="109" s="24" customFormat="1" ht="14.100000000000001" customHeight="1">
      <c r="AB109" s="51" t="s">
        <f>IFERROR(VLOOKUP('员工报销单模板'!AC109,'索引'!$A$1:$B$62,2,FALSE),"")</f>
        <v>126</v>
      </c>
      <c r="AC109" s="58"/>
      <c r="AD109" s="59"/>
      <c r="AE109" s="59"/>
      <c r="AF109" s="56"/>
      <c r="AG109" s="60"/>
      <c r="AH109" s="53" t="s">
        <f>IFERROR(VLOOKUP(AI109,'索引'!$C$3:$D$8,2,FALSE),"")</f>
        <v>126</v>
      </c>
      <c r="AI109" s="58"/>
      <c r="AJ109" s="64"/>
      <c r="AK109" s="56"/>
      <c r="AL109" s="62"/>
      <c r="AM109" s="63" t="s">
        <f>IF(AJ109&lt;&gt;0,AJ109,"")</f>
        <v>126</v>
      </c>
      <c r="AN109" s="51" t="s">
        <f>IFERROR(VLOOKUP(AO109,'索引'!$I:$J,2,FALSE),"")</f>
        <v>126</v>
      </c>
      <c r="AO109" s="56"/>
      <c r="AP109" s="63" t="s">
        <f>IF(AJ109&lt;&gt;0,AJ109,"")</f>
        <v>126</v>
      </c>
      <c r="AQ109" s="56" t="s">
        <f>IFERROR(VLOOKUP('员工报销单模板'!AR109,'项目中心'!C:D,2,FALSE),"")</f>
        <v>126</v>
      </c>
      <c r="AR109" s="56"/>
      <c r="AS109" s="56"/>
    </row>
    <row r="110" s="24" customFormat="1" ht="14.100000000000001" customHeight="1">
      <c r="AB110" s="51" t="s">
        <f>IFERROR(VLOOKUP('员工报销单模板'!AC110,'索引'!$A$1:$B$62,2,FALSE),"")</f>
        <v>126</v>
      </c>
      <c r="AC110" s="58"/>
      <c r="AD110" s="59"/>
      <c r="AE110" s="59"/>
      <c r="AF110" s="56"/>
      <c r="AG110" s="60"/>
      <c r="AH110" s="53" t="s">
        <f>IFERROR(VLOOKUP(AI110,'索引'!$C$3:$D$8,2,FALSE),"")</f>
        <v>126</v>
      </c>
      <c r="AI110" s="58"/>
      <c r="AJ110" s="64"/>
      <c r="AK110" s="56"/>
      <c r="AL110" s="62"/>
      <c r="AM110" s="63" t="s">
        <f>IF(AJ110&lt;&gt;0,AJ110,"")</f>
        <v>126</v>
      </c>
      <c r="AN110" s="51" t="s">
        <f>IFERROR(VLOOKUP(AO110,'索引'!$I:$J,2,FALSE),"")</f>
        <v>126</v>
      </c>
      <c r="AO110" s="56"/>
      <c r="AP110" s="63" t="s">
        <f>IF(AJ110&lt;&gt;0,AJ110,"")</f>
        <v>126</v>
      </c>
      <c r="AQ110" s="56" t="s">
        <f>IFERROR(VLOOKUP('员工报销单模板'!AR110,'项目中心'!C:D,2,FALSE),"")</f>
        <v>126</v>
      </c>
      <c r="AR110" s="56"/>
      <c r="AS110" s="56"/>
    </row>
    <row r="111" s="24" customFormat="1" ht="14.100000000000001" customHeight="1">
      <c r="AB111" s="51" t="s">
        <f>IFERROR(VLOOKUP('员工报销单模板'!AC111,'索引'!$A$1:$B$62,2,FALSE),"")</f>
        <v>126</v>
      </c>
      <c r="AC111" s="58"/>
      <c r="AD111" s="59"/>
      <c r="AE111" s="59"/>
      <c r="AF111" s="56"/>
      <c r="AG111" s="60"/>
      <c r="AH111" s="53" t="s">
        <f>IFERROR(VLOOKUP(AI111,'索引'!$C$3:$D$8,2,FALSE),"")</f>
        <v>126</v>
      </c>
      <c r="AI111" s="58"/>
      <c r="AJ111" s="64"/>
      <c r="AK111" s="56"/>
      <c r="AL111" s="62"/>
      <c r="AM111" s="63" t="s">
        <f>IF(AJ111&lt;&gt;0,AJ111,"")</f>
        <v>126</v>
      </c>
      <c r="AN111" s="51" t="s">
        <f>IFERROR(VLOOKUP(AO111,'索引'!$I:$J,2,FALSE),"")</f>
        <v>126</v>
      </c>
      <c r="AO111" s="56"/>
      <c r="AP111" s="63" t="s">
        <f>IF(AJ111&lt;&gt;0,AJ111,"")</f>
        <v>126</v>
      </c>
      <c r="AQ111" s="56" t="s">
        <f>IFERROR(VLOOKUP('员工报销单模板'!AR111,'项目中心'!C:D,2,FALSE),"")</f>
        <v>126</v>
      </c>
      <c r="AR111" s="56"/>
      <c r="AS111" s="56"/>
    </row>
    <row r="112" s="24" customFormat="1" ht="14.100000000000001" customHeight="1">
      <c r="AB112" s="51" t="s">
        <f>IFERROR(VLOOKUP('员工报销单模板'!AC112,'索引'!$A$1:$B$62,2,FALSE),"")</f>
        <v>126</v>
      </c>
      <c r="AC112" s="58"/>
      <c r="AD112" s="59"/>
      <c r="AE112" s="59"/>
      <c r="AF112" s="56"/>
      <c r="AG112" s="60"/>
      <c r="AH112" s="53" t="s">
        <f>IFERROR(VLOOKUP(AI112,'索引'!$C$3:$D$8,2,FALSE),"")</f>
        <v>126</v>
      </c>
      <c r="AI112" s="58"/>
      <c r="AJ112" s="64"/>
      <c r="AK112" s="56"/>
      <c r="AL112" s="62"/>
      <c r="AM112" s="63" t="s">
        <f>IF(AJ112&lt;&gt;0,AJ112,"")</f>
        <v>126</v>
      </c>
      <c r="AN112" s="51" t="s">
        <f>IFERROR(VLOOKUP(AO112,'索引'!$I:$J,2,FALSE),"")</f>
        <v>126</v>
      </c>
      <c r="AO112" s="56"/>
      <c r="AP112" s="63" t="s">
        <f>IF(AJ112&lt;&gt;0,AJ112,"")</f>
        <v>126</v>
      </c>
      <c r="AQ112" s="56" t="s">
        <f>IFERROR(VLOOKUP('员工报销单模板'!AR112,'项目中心'!C:D,2,FALSE),"")</f>
        <v>126</v>
      </c>
      <c r="AR112" s="56"/>
      <c r="AS112" s="56"/>
    </row>
    <row r="113" s="24" customFormat="1" ht="14.100000000000001" customHeight="1">
      <c r="AB113" s="51" t="s">
        <f>IFERROR(VLOOKUP('员工报销单模板'!AC113,'索引'!$A$1:$B$62,2,FALSE),"")</f>
        <v>126</v>
      </c>
      <c r="AC113" s="58"/>
      <c r="AD113" s="59"/>
      <c r="AE113" s="59"/>
      <c r="AF113" s="56"/>
      <c r="AG113" s="60"/>
      <c r="AH113" s="53" t="s">
        <f>IFERROR(VLOOKUP(AI113,'索引'!$C$3:$D$8,2,FALSE),"")</f>
        <v>126</v>
      </c>
      <c r="AI113" s="58"/>
      <c r="AJ113" s="64"/>
      <c r="AK113" s="56"/>
      <c r="AL113" s="62"/>
      <c r="AM113" s="63" t="s">
        <f>IF(AJ113&lt;&gt;0,AJ113,"")</f>
        <v>126</v>
      </c>
      <c r="AN113" s="51" t="s">
        <f>IFERROR(VLOOKUP(AO113,'索引'!$I:$J,2,FALSE),"")</f>
        <v>126</v>
      </c>
      <c r="AO113" s="56"/>
      <c r="AP113" s="63" t="s">
        <f>IF(AJ113&lt;&gt;0,AJ113,"")</f>
        <v>126</v>
      </c>
      <c r="AQ113" s="56" t="s">
        <f>IFERROR(VLOOKUP('员工报销单模板'!AR113,'项目中心'!C:D,2,FALSE),"")</f>
        <v>126</v>
      </c>
      <c r="AR113" s="56"/>
      <c r="AS113" s="56"/>
    </row>
    <row r="114" s="24" customFormat="1" ht="14.100000000000001" customHeight="1">
      <c r="AB114" s="51" t="s">
        <f>IFERROR(VLOOKUP('员工报销单模板'!AC114,'索引'!$A$1:$B$62,2,FALSE),"")</f>
        <v>126</v>
      </c>
      <c r="AC114" s="58"/>
      <c r="AD114" s="59"/>
      <c r="AE114" s="59"/>
      <c r="AF114" s="56"/>
      <c r="AG114" s="60"/>
      <c r="AH114" s="53" t="s">
        <f>IFERROR(VLOOKUP(AI114,'索引'!$C$3:$D$8,2,FALSE),"")</f>
        <v>126</v>
      </c>
      <c r="AI114" s="58"/>
      <c r="AJ114" s="64"/>
      <c r="AK114" s="56"/>
      <c r="AL114" s="62"/>
      <c r="AM114" s="63" t="s">
        <f>IF(AJ114&lt;&gt;0,AJ114,"")</f>
        <v>126</v>
      </c>
      <c r="AN114" s="51" t="s">
        <f>IFERROR(VLOOKUP(AO114,'索引'!$I:$J,2,FALSE),"")</f>
        <v>126</v>
      </c>
      <c r="AO114" s="56"/>
      <c r="AP114" s="63" t="s">
        <f>IF(AJ114&lt;&gt;0,AJ114,"")</f>
        <v>126</v>
      </c>
      <c r="AQ114" s="56" t="s">
        <f>IFERROR(VLOOKUP('员工报销单模板'!AR114,'项目中心'!C:D,2,FALSE),"")</f>
        <v>126</v>
      </c>
      <c r="AR114" s="56"/>
      <c r="AS114" s="56"/>
    </row>
    <row r="115" s="24" customFormat="1" ht="14.100000000000001" customHeight="1">
      <c r="AB115" s="51" t="s">
        <f>IFERROR(VLOOKUP('员工报销单模板'!AC115,'索引'!$A$1:$B$62,2,FALSE),"")</f>
        <v>126</v>
      </c>
      <c r="AC115" s="58"/>
      <c r="AD115" s="59"/>
      <c r="AE115" s="59"/>
      <c r="AF115" s="56"/>
      <c r="AG115" s="60"/>
      <c r="AH115" s="53" t="s">
        <f>IFERROR(VLOOKUP(AI115,'索引'!$C$3:$D$8,2,FALSE),"")</f>
        <v>126</v>
      </c>
      <c r="AI115" s="58"/>
      <c r="AJ115" s="64"/>
      <c r="AK115" s="56"/>
      <c r="AL115" s="62"/>
      <c r="AM115" s="63" t="s">
        <f>IF(AJ115&lt;&gt;0,AJ115,"")</f>
        <v>126</v>
      </c>
      <c r="AN115" s="51" t="s">
        <f>IFERROR(VLOOKUP(AO115,'索引'!$I:$J,2,FALSE),"")</f>
        <v>126</v>
      </c>
      <c r="AO115" s="56"/>
      <c r="AP115" s="63" t="s">
        <f>IF(AJ115&lt;&gt;0,AJ115,"")</f>
        <v>126</v>
      </c>
      <c r="AQ115" s="56" t="s">
        <f>IFERROR(VLOOKUP('员工报销单模板'!AR115,'项目中心'!C:D,2,FALSE),"")</f>
        <v>126</v>
      </c>
      <c r="AR115" s="56"/>
      <c r="AS115" s="56"/>
    </row>
    <row r="116" s="24" customFormat="1" ht="14.100000000000001" customHeight="1">
      <c r="AB116" s="51" t="s">
        <f>IFERROR(VLOOKUP('员工报销单模板'!AC116,'索引'!$A$1:$B$62,2,FALSE),"")</f>
        <v>126</v>
      </c>
      <c r="AC116" s="58"/>
      <c r="AD116" s="59"/>
      <c r="AE116" s="59"/>
      <c r="AF116" s="56"/>
      <c r="AG116" s="60"/>
      <c r="AH116" s="53" t="s">
        <f>IFERROR(VLOOKUP(AI116,'索引'!$C$3:$D$8,2,FALSE),"")</f>
        <v>126</v>
      </c>
      <c r="AI116" s="58"/>
      <c r="AJ116" s="64"/>
      <c r="AK116" s="56"/>
      <c r="AL116" s="62"/>
      <c r="AM116" s="63" t="s">
        <f>IF(AJ116&lt;&gt;0,AJ116,"")</f>
        <v>126</v>
      </c>
      <c r="AN116" s="51" t="s">
        <f>IFERROR(VLOOKUP(AO116,'索引'!$I:$J,2,FALSE),"")</f>
        <v>126</v>
      </c>
      <c r="AO116" s="56"/>
      <c r="AP116" s="63" t="s">
        <f>IF(AJ116&lt;&gt;0,AJ116,"")</f>
        <v>126</v>
      </c>
      <c r="AQ116" s="56" t="s">
        <f>IFERROR(VLOOKUP('员工报销单模板'!AR116,'项目中心'!C:D,2,FALSE),"")</f>
        <v>126</v>
      </c>
      <c r="AR116" s="56"/>
      <c r="AS116" s="56"/>
    </row>
    <row r="117" s="24" customFormat="1" ht="14.100000000000001" customHeight="1">
      <c r="AB117" s="51" t="s">
        <f>IFERROR(VLOOKUP('员工报销单模板'!AC117,'索引'!$A$1:$B$62,2,FALSE),"")</f>
        <v>126</v>
      </c>
      <c r="AC117" s="58"/>
      <c r="AD117" s="59"/>
      <c r="AE117" s="59"/>
      <c r="AF117" s="56"/>
      <c r="AG117" s="60"/>
      <c r="AH117" s="53" t="s">
        <f>IFERROR(VLOOKUP(AI117,'索引'!$C$3:$D$8,2,FALSE),"")</f>
        <v>126</v>
      </c>
      <c r="AI117" s="58"/>
      <c r="AJ117" s="64"/>
      <c r="AK117" s="56"/>
      <c r="AL117" s="62"/>
      <c r="AM117" s="63" t="s">
        <f>IF(AJ117&lt;&gt;0,AJ117,"")</f>
        <v>126</v>
      </c>
      <c r="AN117" s="51" t="s">
        <f>IFERROR(VLOOKUP(AO117,'索引'!$I:$J,2,FALSE),"")</f>
        <v>126</v>
      </c>
      <c r="AO117" s="56"/>
      <c r="AP117" s="63" t="s">
        <f>IF(AJ117&lt;&gt;0,AJ117,"")</f>
        <v>126</v>
      </c>
      <c r="AQ117" s="56" t="s">
        <f>IFERROR(VLOOKUP('员工报销单模板'!AR117,'项目中心'!C:D,2,FALSE),"")</f>
        <v>126</v>
      </c>
      <c r="AR117" s="56"/>
      <c r="AS117" s="56"/>
    </row>
    <row r="118" s="24" customFormat="1" ht="14.100000000000001" customHeight="1">
      <c r="AB118" s="51" t="s">
        <f>IFERROR(VLOOKUP('员工报销单模板'!AC118,'索引'!$A$1:$B$62,2,FALSE),"")</f>
        <v>126</v>
      </c>
      <c r="AC118" s="58"/>
      <c r="AD118" s="59"/>
      <c r="AE118" s="59"/>
      <c r="AF118" s="56"/>
      <c r="AG118" s="60"/>
      <c r="AH118" s="53" t="s">
        <f>IFERROR(VLOOKUP(AI118,'索引'!$C$3:$D$8,2,FALSE),"")</f>
        <v>126</v>
      </c>
      <c r="AI118" s="58"/>
      <c r="AJ118" s="64"/>
      <c r="AK118" s="56"/>
      <c r="AL118" s="62"/>
      <c r="AM118" s="63" t="s">
        <f>IF(AJ118&lt;&gt;0,AJ118,"")</f>
        <v>126</v>
      </c>
      <c r="AN118" s="51" t="s">
        <f>IFERROR(VLOOKUP(AO118,'索引'!$I:$J,2,FALSE),"")</f>
        <v>126</v>
      </c>
      <c r="AO118" s="56"/>
      <c r="AP118" s="63" t="s">
        <f>IF(AJ118&lt;&gt;0,AJ118,"")</f>
        <v>126</v>
      </c>
      <c r="AQ118" s="56" t="s">
        <f>IFERROR(VLOOKUP('员工报销单模板'!AR118,'项目中心'!C:D,2,FALSE),"")</f>
        <v>126</v>
      </c>
      <c r="AR118" s="56"/>
      <c r="AS118" s="56"/>
    </row>
    <row r="119" s="24" customFormat="1" ht="14.100000000000001" customHeight="1">
      <c r="AB119" s="51" t="s">
        <f>IFERROR(VLOOKUP('员工报销单模板'!AC119,'索引'!$A$1:$B$62,2,FALSE),"")</f>
        <v>126</v>
      </c>
      <c r="AC119" s="58"/>
      <c r="AD119" s="59"/>
      <c r="AE119" s="59"/>
      <c r="AF119" s="56"/>
      <c r="AG119" s="60"/>
      <c r="AH119" s="53" t="s">
        <f>IFERROR(VLOOKUP(AI119,'索引'!$C$3:$D$8,2,FALSE),"")</f>
        <v>126</v>
      </c>
      <c r="AI119" s="58"/>
      <c r="AJ119" s="64"/>
      <c r="AK119" s="56"/>
      <c r="AL119" s="62"/>
      <c r="AM119" s="63" t="s">
        <f>IF(AJ119&lt;&gt;0,AJ119,"")</f>
        <v>126</v>
      </c>
      <c r="AN119" s="51" t="s">
        <f>IFERROR(VLOOKUP(AO119,'索引'!$I:$J,2,FALSE),"")</f>
        <v>126</v>
      </c>
      <c r="AO119" s="56"/>
      <c r="AP119" s="63" t="s">
        <f>IF(AJ119&lt;&gt;0,AJ119,"")</f>
        <v>126</v>
      </c>
      <c r="AQ119" s="56" t="s">
        <f>IFERROR(VLOOKUP('员工报销单模板'!AR119,'项目中心'!C:D,2,FALSE),"")</f>
        <v>126</v>
      </c>
      <c r="AR119" s="56"/>
      <c r="AS119" s="56"/>
    </row>
    <row r="120" s="24" customFormat="1" ht="14.100000000000001" customHeight="1">
      <c r="AB120" s="51" t="s">
        <f>IFERROR(VLOOKUP('员工报销单模板'!AC120,'索引'!$A$1:$B$62,2,FALSE),"")</f>
        <v>126</v>
      </c>
      <c r="AC120" s="58"/>
      <c r="AD120" s="59"/>
      <c r="AE120" s="59"/>
      <c r="AF120" s="56"/>
      <c r="AG120" s="60"/>
      <c r="AH120" s="53" t="s">
        <f>IFERROR(VLOOKUP(AI120,'索引'!$C$3:$D$8,2,FALSE),"")</f>
        <v>126</v>
      </c>
      <c r="AI120" s="58"/>
      <c r="AJ120" s="64"/>
      <c r="AK120" s="56"/>
      <c r="AL120" s="62"/>
      <c r="AM120" s="63" t="s">
        <f>IF(AJ120&lt;&gt;0,AJ120,"")</f>
        <v>126</v>
      </c>
      <c r="AN120" s="51" t="s">
        <f>IFERROR(VLOOKUP(AO120,'索引'!$I:$J,2,FALSE),"")</f>
        <v>126</v>
      </c>
      <c r="AO120" s="56"/>
      <c r="AP120" s="63" t="s">
        <f>IF(AJ120&lt;&gt;0,AJ120,"")</f>
        <v>126</v>
      </c>
      <c r="AQ120" s="56" t="s">
        <f>IFERROR(VLOOKUP('员工报销单模板'!AR120,'项目中心'!C:D,2,FALSE),"")</f>
        <v>126</v>
      </c>
      <c r="AR120" s="56"/>
      <c r="AS120" s="56"/>
    </row>
    <row r="121" s="24" customFormat="1" ht="14.100000000000001" customHeight="1">
      <c r="AB121" s="51" t="s">
        <f>IFERROR(VLOOKUP('员工报销单模板'!AC121,'索引'!$A$1:$B$62,2,FALSE),"")</f>
        <v>126</v>
      </c>
      <c r="AC121" s="58"/>
      <c r="AD121" s="59"/>
      <c r="AE121" s="59"/>
      <c r="AF121" s="56"/>
      <c r="AG121" s="60"/>
      <c r="AH121" s="53" t="s">
        <f>IFERROR(VLOOKUP(AI121,'索引'!$C$3:$D$8,2,FALSE),"")</f>
        <v>126</v>
      </c>
      <c r="AI121" s="58"/>
      <c r="AJ121" s="64"/>
      <c r="AK121" s="56"/>
      <c r="AL121" s="62"/>
      <c r="AM121" s="63" t="s">
        <f>IF(AJ121&lt;&gt;0,AJ121,"")</f>
        <v>126</v>
      </c>
      <c r="AN121" s="51" t="s">
        <f>IFERROR(VLOOKUP(AO121,'索引'!$I:$J,2,FALSE),"")</f>
        <v>126</v>
      </c>
      <c r="AO121" s="56"/>
      <c r="AP121" s="63" t="s">
        <f>IF(AJ121&lt;&gt;0,AJ121,"")</f>
        <v>126</v>
      </c>
      <c r="AQ121" s="56" t="s">
        <f>IFERROR(VLOOKUP('员工报销单模板'!AR121,'项目中心'!C:D,2,FALSE),"")</f>
        <v>126</v>
      </c>
      <c r="AR121" s="56"/>
      <c r="AS121" s="56"/>
    </row>
    <row r="122" s="24" customFormat="1" ht="14.100000000000001" customHeight="1">
      <c r="AB122" s="51" t="s">
        <f>IFERROR(VLOOKUP('员工报销单模板'!AC122,'索引'!$A$1:$B$62,2,FALSE),"")</f>
        <v>126</v>
      </c>
      <c r="AC122" s="58"/>
      <c r="AD122" s="59"/>
      <c r="AE122" s="59"/>
      <c r="AF122" s="56"/>
      <c r="AG122" s="60"/>
      <c r="AH122" s="53" t="s">
        <f>IFERROR(VLOOKUP(AI122,'索引'!$C$3:$D$8,2,FALSE),"")</f>
        <v>126</v>
      </c>
      <c r="AI122" s="58"/>
      <c r="AJ122" s="64"/>
      <c r="AK122" s="56"/>
      <c r="AL122" s="62"/>
      <c r="AM122" s="63" t="s">
        <f>IF(AJ122&lt;&gt;0,AJ122,"")</f>
        <v>126</v>
      </c>
      <c r="AN122" s="51" t="s">
        <f>IFERROR(VLOOKUP(AO122,'索引'!$I:$J,2,FALSE),"")</f>
        <v>126</v>
      </c>
      <c r="AO122" s="56"/>
      <c r="AP122" s="63" t="s">
        <f>IF(AJ122&lt;&gt;0,AJ122,"")</f>
        <v>126</v>
      </c>
      <c r="AQ122" s="56" t="s">
        <f>IFERROR(VLOOKUP('员工报销单模板'!AR122,'项目中心'!C:D,2,FALSE),"")</f>
        <v>126</v>
      </c>
      <c r="AR122" s="56"/>
      <c r="AS122" s="56"/>
    </row>
    <row r="123" s="24" customFormat="1" ht="14.100000000000001" customHeight="1">
      <c r="AB123" s="51" t="s">
        <f>IFERROR(VLOOKUP('员工报销单模板'!AC123,'索引'!$A$1:$B$62,2,FALSE),"")</f>
        <v>126</v>
      </c>
      <c r="AC123" s="58"/>
      <c r="AD123" s="59"/>
      <c r="AE123" s="59"/>
      <c r="AF123" s="56"/>
      <c r="AG123" s="60"/>
      <c r="AH123" s="53" t="s">
        <f>IFERROR(VLOOKUP(AI123,'索引'!$C$3:$D$8,2,FALSE),"")</f>
        <v>126</v>
      </c>
      <c r="AI123" s="58"/>
      <c r="AJ123" s="64"/>
      <c r="AK123" s="56"/>
      <c r="AL123" s="62"/>
      <c r="AM123" s="63" t="s">
        <f>IF(AJ123&lt;&gt;0,AJ123,"")</f>
        <v>126</v>
      </c>
      <c r="AN123" s="51" t="s">
        <f>IFERROR(VLOOKUP(AO123,'索引'!$I:$J,2,FALSE),"")</f>
        <v>126</v>
      </c>
      <c r="AO123" s="56"/>
      <c r="AP123" s="63" t="s">
        <f>IF(AJ123&lt;&gt;0,AJ123,"")</f>
        <v>126</v>
      </c>
      <c r="AQ123" s="56" t="s">
        <f>IFERROR(VLOOKUP('员工报销单模板'!AR123,'项目中心'!C:D,2,FALSE),"")</f>
        <v>126</v>
      </c>
      <c r="AR123" s="56"/>
      <c r="AS123" s="56"/>
    </row>
    <row r="124" s="24" customFormat="1" ht="14.100000000000001" customHeight="1">
      <c r="AB124" s="51" t="s">
        <f>IFERROR(VLOOKUP('员工报销单模板'!AC124,'索引'!$A$1:$B$62,2,FALSE),"")</f>
        <v>126</v>
      </c>
      <c r="AC124" s="58"/>
      <c r="AD124" s="59"/>
      <c r="AE124" s="59"/>
      <c r="AF124" s="56"/>
      <c r="AG124" s="60"/>
      <c r="AH124" s="53" t="s">
        <f>IFERROR(VLOOKUP(AI124,'索引'!$C$3:$D$8,2,FALSE),"")</f>
        <v>126</v>
      </c>
      <c r="AI124" s="58"/>
      <c r="AJ124" s="64"/>
      <c r="AK124" s="56"/>
      <c r="AL124" s="62"/>
      <c r="AM124" s="63" t="s">
        <f>IF(AJ124&lt;&gt;0,AJ124,"")</f>
        <v>126</v>
      </c>
      <c r="AN124" s="51" t="s">
        <f>IFERROR(VLOOKUP(AO124,'索引'!$I:$J,2,FALSE),"")</f>
        <v>126</v>
      </c>
      <c r="AO124" s="56"/>
      <c r="AP124" s="63" t="s">
        <f>IF(AJ124&lt;&gt;0,AJ124,"")</f>
        <v>126</v>
      </c>
      <c r="AQ124" s="56" t="s">
        <f>IFERROR(VLOOKUP('员工报销单模板'!AR124,'项目中心'!C:D,2,FALSE),"")</f>
        <v>126</v>
      </c>
      <c r="AR124" s="56"/>
      <c r="AS124" s="56"/>
    </row>
    <row r="125" s="24" customFormat="1" ht="14.100000000000001" customHeight="1">
      <c r="AB125" s="51" t="s">
        <f>IFERROR(VLOOKUP('员工报销单模板'!AC125,'索引'!$A$1:$B$62,2,FALSE),"")</f>
        <v>126</v>
      </c>
      <c r="AC125" s="58"/>
      <c r="AD125" s="59"/>
      <c r="AE125" s="59"/>
      <c r="AF125" s="56"/>
      <c r="AG125" s="60"/>
      <c r="AH125" s="53" t="s">
        <f>IFERROR(VLOOKUP(AI125,'索引'!$C$3:$D$8,2,FALSE),"")</f>
        <v>126</v>
      </c>
      <c r="AI125" s="58"/>
      <c r="AJ125" s="64"/>
      <c r="AK125" s="56"/>
      <c r="AL125" s="62"/>
      <c r="AM125" s="63" t="s">
        <f>IF(AJ125&lt;&gt;0,AJ125,"")</f>
        <v>126</v>
      </c>
      <c r="AN125" s="51" t="s">
        <f>IFERROR(VLOOKUP(AO125,'索引'!$I:$J,2,FALSE),"")</f>
        <v>126</v>
      </c>
      <c r="AO125" s="56"/>
      <c r="AP125" s="63" t="s">
        <f>IF(AJ125&lt;&gt;0,AJ125,"")</f>
        <v>126</v>
      </c>
      <c r="AQ125" s="56" t="s">
        <f>IFERROR(VLOOKUP('员工报销单模板'!AR125,'项目中心'!C:D,2,FALSE),"")</f>
        <v>126</v>
      </c>
      <c r="AR125" s="56"/>
      <c r="AS125" s="56"/>
    </row>
    <row r="126" s="24" customFormat="1" ht="14.100000000000001" customHeight="1">
      <c r="AB126" s="51" t="s">
        <f>IFERROR(VLOOKUP('员工报销单模板'!AC126,'索引'!$A$1:$B$62,2,FALSE),"")</f>
        <v>126</v>
      </c>
      <c r="AC126" s="58"/>
      <c r="AD126" s="59"/>
      <c r="AE126" s="59"/>
      <c r="AF126" s="56"/>
      <c r="AG126" s="60"/>
      <c r="AH126" s="53" t="s">
        <f>IFERROR(VLOOKUP(AI126,'索引'!$C$3:$D$8,2,FALSE),"")</f>
        <v>126</v>
      </c>
      <c r="AI126" s="58"/>
      <c r="AJ126" s="64"/>
      <c r="AK126" s="56"/>
      <c r="AL126" s="62"/>
      <c r="AM126" s="63" t="s">
        <f>IF(AJ126&lt;&gt;0,AJ126,"")</f>
        <v>126</v>
      </c>
      <c r="AN126" s="51" t="s">
        <f>IFERROR(VLOOKUP(AO126,'索引'!$I:$J,2,FALSE),"")</f>
        <v>126</v>
      </c>
      <c r="AO126" s="56"/>
      <c r="AP126" s="63" t="s">
        <f>IF(AJ126&lt;&gt;0,AJ126,"")</f>
        <v>126</v>
      </c>
      <c r="AQ126" s="56" t="s">
        <f>IFERROR(VLOOKUP('员工报销单模板'!AR126,'项目中心'!C:D,2,FALSE),"")</f>
        <v>126</v>
      </c>
      <c r="AR126" s="56"/>
      <c r="AS126" s="56"/>
    </row>
    <row r="127" s="24" customFormat="1" ht="14.100000000000001" customHeight="1">
      <c r="AB127" s="51" t="s">
        <f>IFERROR(VLOOKUP('员工报销单模板'!AC127,'索引'!$A$1:$B$62,2,FALSE),"")</f>
        <v>126</v>
      </c>
      <c r="AC127" s="58"/>
      <c r="AD127" s="59"/>
      <c r="AE127" s="59"/>
      <c r="AF127" s="56"/>
      <c r="AG127" s="60"/>
      <c r="AH127" s="53" t="s">
        <f>IFERROR(VLOOKUP(AI127,'索引'!$C$3:$D$8,2,FALSE),"")</f>
        <v>126</v>
      </c>
      <c r="AI127" s="58"/>
      <c r="AJ127" s="64"/>
      <c r="AK127" s="56"/>
      <c r="AL127" s="62"/>
      <c r="AM127" s="63" t="s">
        <f>IF(AJ127&lt;&gt;0,AJ127,"")</f>
        <v>126</v>
      </c>
      <c r="AN127" s="51" t="s">
        <f>IFERROR(VLOOKUP(AO127,'索引'!$I:$J,2,FALSE),"")</f>
        <v>126</v>
      </c>
      <c r="AO127" s="56"/>
      <c r="AP127" s="63" t="s">
        <f>IF(AJ127&lt;&gt;0,AJ127,"")</f>
        <v>126</v>
      </c>
      <c r="AQ127" s="56" t="s">
        <f>IFERROR(VLOOKUP('员工报销单模板'!AR127,'项目中心'!C:D,2,FALSE),"")</f>
        <v>126</v>
      </c>
      <c r="AR127" s="56"/>
      <c r="AS127" s="56"/>
    </row>
    <row r="128" s="24" customFormat="1" ht="14.100000000000001" customHeight="1">
      <c r="AB128" s="51" t="s">
        <f>IFERROR(VLOOKUP('员工报销单模板'!AC128,'索引'!$A$1:$B$62,2,FALSE),"")</f>
        <v>126</v>
      </c>
      <c r="AC128" s="58"/>
      <c r="AD128" s="59"/>
      <c r="AE128" s="59"/>
      <c r="AF128" s="56"/>
      <c r="AG128" s="60"/>
      <c r="AH128" s="53" t="s">
        <f>IFERROR(VLOOKUP(AI128,'索引'!$C$3:$D$8,2,FALSE),"")</f>
        <v>126</v>
      </c>
      <c r="AI128" s="58"/>
      <c r="AJ128" s="64"/>
      <c r="AK128" s="56"/>
      <c r="AL128" s="62"/>
      <c r="AM128" s="63" t="s">
        <f>IF(AJ128&lt;&gt;0,AJ128,"")</f>
        <v>126</v>
      </c>
      <c r="AN128" s="51" t="s">
        <f>IFERROR(VLOOKUP(AO128,'索引'!$I:$J,2,FALSE),"")</f>
        <v>126</v>
      </c>
      <c r="AO128" s="56"/>
      <c r="AP128" s="63" t="s">
        <f>IF(AJ128&lt;&gt;0,AJ128,"")</f>
        <v>126</v>
      </c>
      <c r="AQ128" s="56" t="s">
        <f>IFERROR(VLOOKUP('员工报销单模板'!AR128,'项目中心'!C:D,2,FALSE),"")</f>
        <v>126</v>
      </c>
      <c r="AR128" s="56"/>
      <c r="AS128" s="56"/>
    </row>
    <row r="129" s="24" customFormat="1" ht="14.100000000000001" customHeight="1">
      <c r="AB129" s="51" t="s">
        <f>IFERROR(VLOOKUP('员工报销单模板'!AC129,'索引'!$A$1:$B$62,2,FALSE),"")</f>
        <v>126</v>
      </c>
      <c r="AC129" s="58"/>
      <c r="AD129" s="59"/>
      <c r="AE129" s="59"/>
      <c r="AF129" s="56"/>
      <c r="AG129" s="60"/>
      <c r="AH129" s="53" t="s">
        <f>IFERROR(VLOOKUP(AI129,'索引'!$C$3:$D$8,2,FALSE),"")</f>
        <v>126</v>
      </c>
      <c r="AI129" s="58"/>
      <c r="AJ129" s="64"/>
      <c r="AK129" s="56"/>
      <c r="AL129" s="62"/>
      <c r="AM129" s="63" t="s">
        <f>IF(AJ129&lt;&gt;0,AJ129,"")</f>
        <v>126</v>
      </c>
      <c r="AN129" s="51" t="s">
        <f>IFERROR(VLOOKUP(AO129,'索引'!$I:$J,2,FALSE),"")</f>
        <v>126</v>
      </c>
      <c r="AO129" s="56"/>
      <c r="AP129" s="63" t="s">
        <f>IF(AJ129&lt;&gt;0,AJ129,"")</f>
        <v>126</v>
      </c>
      <c r="AQ129" s="56" t="s">
        <f>IFERROR(VLOOKUP('员工报销单模板'!AR129,'项目中心'!C:D,2,FALSE),"")</f>
        <v>126</v>
      </c>
      <c r="AR129" s="56"/>
      <c r="AS129" s="56"/>
    </row>
    <row r="130" s="24" customFormat="1" ht="14.100000000000001" customHeight="1">
      <c r="AB130" s="51" t="s">
        <f>IFERROR(VLOOKUP('员工报销单模板'!AC130,'索引'!$A$1:$B$62,2,FALSE),"")</f>
        <v>126</v>
      </c>
      <c r="AC130" s="58"/>
      <c r="AD130" s="59"/>
      <c r="AE130" s="59"/>
      <c r="AF130" s="56"/>
      <c r="AG130" s="60"/>
      <c r="AH130" s="53" t="s">
        <f>IFERROR(VLOOKUP(AI130,'索引'!$C$3:$D$8,2,FALSE),"")</f>
        <v>126</v>
      </c>
      <c r="AI130" s="58"/>
      <c r="AJ130" s="64"/>
      <c r="AK130" s="56"/>
      <c r="AL130" s="62"/>
      <c r="AM130" s="63" t="s">
        <f>IF(AJ130&lt;&gt;0,AJ130,"")</f>
        <v>126</v>
      </c>
      <c r="AN130" s="51" t="s">
        <f>IFERROR(VLOOKUP(AO130,'索引'!$I:$J,2,FALSE),"")</f>
        <v>126</v>
      </c>
      <c r="AO130" s="56"/>
      <c r="AP130" s="63" t="s">
        <f>IF(AJ130&lt;&gt;0,AJ130,"")</f>
        <v>126</v>
      </c>
      <c r="AQ130" s="56" t="s">
        <f>IFERROR(VLOOKUP('员工报销单模板'!AR130,'项目中心'!C:D,2,FALSE),"")</f>
        <v>126</v>
      </c>
      <c r="AR130" s="56"/>
      <c r="AS130" s="56"/>
    </row>
    <row r="131" s="24" customFormat="1" ht="14.100000000000001" customHeight="1">
      <c r="AB131" s="51" t="s">
        <f>IFERROR(VLOOKUP('员工报销单模板'!AC131,'索引'!$A$1:$B$62,2,FALSE),"")</f>
        <v>126</v>
      </c>
      <c r="AC131" s="58"/>
      <c r="AD131" s="59"/>
      <c r="AE131" s="59"/>
      <c r="AF131" s="56"/>
      <c r="AG131" s="60"/>
      <c r="AH131" s="53" t="s">
        <f>IFERROR(VLOOKUP(AI131,'索引'!$C$3:$D$8,2,FALSE),"")</f>
        <v>126</v>
      </c>
      <c r="AI131" s="58"/>
      <c r="AJ131" s="64"/>
      <c r="AK131" s="56"/>
      <c r="AL131" s="62"/>
      <c r="AM131" s="63" t="s">
        <f>IF(AJ131&lt;&gt;0,AJ131,"")</f>
        <v>126</v>
      </c>
      <c r="AN131" s="51" t="s">
        <f>IFERROR(VLOOKUP(AO131,'索引'!$I:$J,2,FALSE),"")</f>
        <v>126</v>
      </c>
      <c r="AO131" s="56"/>
      <c r="AP131" s="63" t="s">
        <f>IF(AJ131&lt;&gt;0,AJ131,"")</f>
        <v>126</v>
      </c>
      <c r="AQ131" s="56" t="s">
        <f>IFERROR(VLOOKUP('员工报销单模板'!AR131,'项目中心'!C:D,2,FALSE),"")</f>
        <v>126</v>
      </c>
      <c r="AR131" s="56"/>
      <c r="AS131" s="56"/>
    </row>
    <row r="132" s="24" customFormat="1" ht="14.100000000000001" customHeight="1">
      <c r="AB132" s="51" t="s">
        <f>IFERROR(VLOOKUP('员工报销单模板'!AC132,'索引'!$A$1:$B$62,2,FALSE),"")</f>
        <v>126</v>
      </c>
      <c r="AC132" s="58"/>
      <c r="AD132" s="59"/>
      <c r="AE132" s="59"/>
      <c r="AF132" s="56"/>
      <c r="AG132" s="60"/>
      <c r="AH132" s="53" t="s">
        <f>IFERROR(VLOOKUP(AI132,'索引'!$C$3:$D$8,2,FALSE),"")</f>
        <v>126</v>
      </c>
      <c r="AI132" s="58"/>
      <c r="AJ132" s="64"/>
      <c r="AK132" s="56"/>
      <c r="AL132" s="62"/>
      <c r="AM132" s="63" t="s">
        <f>IF(AJ132&lt;&gt;0,AJ132,"")</f>
        <v>126</v>
      </c>
      <c r="AN132" s="51" t="s">
        <f>IFERROR(VLOOKUP(AO132,'索引'!$I:$J,2,FALSE),"")</f>
        <v>126</v>
      </c>
      <c r="AO132" s="56"/>
      <c r="AP132" s="63" t="s">
        <f>IF(AJ132&lt;&gt;0,AJ132,"")</f>
        <v>126</v>
      </c>
      <c r="AQ132" s="56" t="s">
        <f>IFERROR(VLOOKUP('员工报销单模板'!AR132,'项目中心'!C:D,2,FALSE),"")</f>
        <v>126</v>
      </c>
      <c r="AR132" s="56"/>
      <c r="AS132" s="56"/>
    </row>
    <row r="133" s="24" customFormat="1" ht="14.100000000000001" customHeight="1">
      <c r="AB133" s="51" t="s">
        <f>IFERROR(VLOOKUP('员工报销单模板'!AC133,'索引'!$A$1:$B$62,2,FALSE),"")</f>
        <v>126</v>
      </c>
      <c r="AC133" s="58"/>
      <c r="AD133" s="59"/>
      <c r="AE133" s="59"/>
      <c r="AF133" s="56"/>
      <c r="AG133" s="60"/>
      <c r="AH133" s="53" t="s">
        <f>IFERROR(VLOOKUP(AI133,'索引'!$C$3:$D$8,2,FALSE),"")</f>
        <v>126</v>
      </c>
      <c r="AI133" s="58"/>
      <c r="AJ133" s="64"/>
      <c r="AK133" s="56"/>
      <c r="AL133" s="62"/>
      <c r="AM133" s="63" t="s">
        <f>IF(AJ133&lt;&gt;0,AJ133,"")</f>
        <v>126</v>
      </c>
      <c r="AN133" s="51" t="s">
        <f>IFERROR(VLOOKUP(AO133,'索引'!$I:$J,2,FALSE),"")</f>
        <v>126</v>
      </c>
      <c r="AO133" s="56"/>
      <c r="AP133" s="63" t="s">
        <f>IF(AJ133&lt;&gt;0,AJ133,"")</f>
        <v>126</v>
      </c>
      <c r="AQ133" s="56" t="s">
        <f>IFERROR(VLOOKUP('员工报销单模板'!AR133,'项目中心'!C:D,2,FALSE),"")</f>
        <v>126</v>
      </c>
      <c r="AR133" s="56"/>
      <c r="AS133" s="56"/>
    </row>
    <row r="134" s="24" customFormat="1" ht="14.100000000000001" customHeight="1">
      <c r="AB134" s="51" t="s">
        <f>IFERROR(VLOOKUP('员工报销单模板'!AC134,'索引'!$A$1:$B$62,2,FALSE),"")</f>
        <v>126</v>
      </c>
      <c r="AC134" s="58"/>
      <c r="AD134" s="59"/>
      <c r="AE134" s="59"/>
      <c r="AF134" s="56"/>
      <c r="AG134" s="60"/>
      <c r="AH134" s="53" t="s">
        <f>IFERROR(VLOOKUP(AI134,'索引'!$C$3:$D$8,2,FALSE),"")</f>
        <v>126</v>
      </c>
      <c r="AI134" s="58"/>
      <c r="AJ134" s="64"/>
      <c r="AK134" s="56"/>
      <c r="AL134" s="62"/>
      <c r="AM134" s="63" t="s">
        <f>IF(AJ134&lt;&gt;0,AJ134,"")</f>
        <v>126</v>
      </c>
      <c r="AN134" s="51" t="s">
        <f>IFERROR(VLOOKUP(AO134,'索引'!$I:$J,2,FALSE),"")</f>
        <v>126</v>
      </c>
      <c r="AO134" s="56"/>
      <c r="AP134" s="63" t="s">
        <f>IF(AJ134&lt;&gt;0,AJ134,"")</f>
        <v>126</v>
      </c>
      <c r="AQ134" s="56" t="s">
        <f>IFERROR(VLOOKUP('员工报销单模板'!AR134,'项目中心'!C:D,2,FALSE),"")</f>
        <v>126</v>
      </c>
      <c r="AR134" s="56"/>
      <c r="AS134" s="56"/>
    </row>
    <row r="135" s="24" customFormat="1" ht="14.100000000000001" customHeight="1">
      <c r="AB135" s="51" t="s">
        <f>IFERROR(VLOOKUP('员工报销单模板'!AC135,'索引'!$A$1:$B$62,2,FALSE),"")</f>
        <v>126</v>
      </c>
      <c r="AC135" s="58"/>
      <c r="AD135" s="59"/>
      <c r="AE135" s="59"/>
      <c r="AF135" s="56"/>
      <c r="AG135" s="60"/>
      <c r="AH135" s="53" t="s">
        <f>IFERROR(VLOOKUP(AI135,'索引'!$C$3:$D$8,2,FALSE),"")</f>
        <v>126</v>
      </c>
      <c r="AI135" s="58"/>
      <c r="AJ135" s="64"/>
      <c r="AK135" s="56"/>
      <c r="AL135" s="62"/>
      <c r="AM135" s="63" t="s">
        <f>IF(AJ135&lt;&gt;0,AJ135,"")</f>
        <v>126</v>
      </c>
      <c r="AN135" s="51" t="s">
        <f>IFERROR(VLOOKUP(AO135,'索引'!$I:$J,2,FALSE),"")</f>
        <v>126</v>
      </c>
      <c r="AO135" s="56"/>
      <c r="AP135" s="63" t="s">
        <f>IF(AJ135&lt;&gt;0,AJ135,"")</f>
        <v>126</v>
      </c>
      <c r="AQ135" s="56" t="s">
        <f>IFERROR(VLOOKUP('员工报销单模板'!AR135,'项目中心'!C:D,2,FALSE),"")</f>
        <v>126</v>
      </c>
      <c r="AR135" s="56"/>
      <c r="AS135" s="56"/>
    </row>
    <row r="136" s="24" customFormat="1" ht="14.100000000000001" customHeight="1">
      <c r="AB136" s="51" t="s">
        <f>IFERROR(VLOOKUP('员工报销单模板'!AC136,'索引'!$A$1:$B$62,2,FALSE),"")</f>
        <v>126</v>
      </c>
      <c r="AC136" s="58"/>
      <c r="AD136" s="59"/>
      <c r="AE136" s="59"/>
      <c r="AF136" s="56"/>
      <c r="AG136" s="60"/>
      <c r="AH136" s="53" t="s">
        <f>IFERROR(VLOOKUP(AI136,'索引'!$C$3:$D$8,2,FALSE),"")</f>
        <v>126</v>
      </c>
      <c r="AI136" s="58"/>
      <c r="AJ136" s="64"/>
      <c r="AK136" s="56"/>
      <c r="AL136" s="62"/>
      <c r="AM136" s="63" t="s">
        <f>IF(AJ136&lt;&gt;0,AJ136,"")</f>
        <v>126</v>
      </c>
      <c r="AN136" s="51" t="s">
        <f>IFERROR(VLOOKUP(AO136,'索引'!$I:$J,2,FALSE),"")</f>
        <v>126</v>
      </c>
      <c r="AO136" s="56"/>
      <c r="AP136" s="63" t="s">
        <f>IF(AJ136&lt;&gt;0,AJ136,"")</f>
        <v>126</v>
      </c>
      <c r="AQ136" s="56" t="s">
        <f>IFERROR(VLOOKUP('员工报销单模板'!AR136,'项目中心'!C:D,2,FALSE),"")</f>
        <v>126</v>
      </c>
      <c r="AR136" s="56"/>
      <c r="AS136" s="56"/>
    </row>
    <row r="137" s="24" customFormat="1" ht="14.100000000000001" customHeight="1">
      <c r="AB137" s="51" t="s">
        <f>IFERROR(VLOOKUP('员工报销单模板'!AC137,'索引'!$A$1:$B$62,2,FALSE),"")</f>
        <v>126</v>
      </c>
      <c r="AC137" s="58"/>
      <c r="AD137" s="59"/>
      <c r="AE137" s="59"/>
      <c r="AF137" s="56"/>
      <c r="AG137" s="60"/>
      <c r="AH137" s="53" t="s">
        <f>IFERROR(VLOOKUP(AI137,'索引'!$C$3:$D$8,2,FALSE),"")</f>
        <v>126</v>
      </c>
      <c r="AI137" s="58"/>
      <c r="AJ137" s="64"/>
      <c r="AK137" s="56"/>
      <c r="AL137" s="62"/>
      <c r="AM137" s="63" t="s">
        <f>IF(AJ137&lt;&gt;0,AJ137,"")</f>
        <v>126</v>
      </c>
      <c r="AN137" s="51" t="s">
        <f>IFERROR(VLOOKUP(AO137,'索引'!$I:$J,2,FALSE),"")</f>
        <v>126</v>
      </c>
      <c r="AO137" s="56"/>
      <c r="AP137" s="63" t="s">
        <f>IF(AJ137&lt;&gt;0,AJ137,"")</f>
        <v>126</v>
      </c>
      <c r="AQ137" s="56" t="s">
        <f>IFERROR(VLOOKUP('员工报销单模板'!AR137,'项目中心'!C:D,2,FALSE),"")</f>
        <v>126</v>
      </c>
      <c r="AR137" s="56"/>
      <c r="AS137" s="56"/>
    </row>
    <row r="138" s="24" customFormat="1" ht="14.100000000000001" customHeight="1">
      <c r="AB138" s="51" t="s">
        <f>IFERROR(VLOOKUP('员工报销单模板'!AC138,'索引'!$A$1:$B$62,2,FALSE),"")</f>
        <v>126</v>
      </c>
      <c r="AC138" s="58"/>
      <c r="AD138" s="59"/>
      <c r="AE138" s="59"/>
      <c r="AF138" s="56"/>
      <c r="AG138" s="60"/>
      <c r="AH138" s="53" t="s">
        <f>IFERROR(VLOOKUP(AI138,'索引'!$C$3:$D$8,2,FALSE),"")</f>
        <v>126</v>
      </c>
      <c r="AI138" s="58"/>
      <c r="AJ138" s="64"/>
      <c r="AK138" s="56"/>
      <c r="AL138" s="62"/>
      <c r="AM138" s="63" t="s">
        <f>IF(AJ138&lt;&gt;0,AJ138,"")</f>
        <v>126</v>
      </c>
      <c r="AN138" s="51" t="s">
        <f>IFERROR(VLOOKUP(AO138,'索引'!$I:$J,2,FALSE),"")</f>
        <v>126</v>
      </c>
      <c r="AO138" s="56"/>
      <c r="AP138" s="63" t="s">
        <f>IF(AJ138&lt;&gt;0,AJ138,"")</f>
        <v>126</v>
      </c>
      <c r="AQ138" s="56" t="s">
        <f>IFERROR(VLOOKUP('员工报销单模板'!AR138,'项目中心'!C:D,2,FALSE),"")</f>
        <v>126</v>
      </c>
      <c r="AR138" s="56"/>
      <c r="AS138" s="56"/>
    </row>
    <row r="139" s="24" customFormat="1" ht="14.100000000000001" customHeight="1">
      <c r="AB139" s="51" t="s">
        <f>IFERROR(VLOOKUP('员工报销单模板'!AC139,'索引'!$A$1:$B$62,2,FALSE),"")</f>
        <v>126</v>
      </c>
      <c r="AC139" s="58"/>
      <c r="AD139" s="59"/>
      <c r="AE139" s="59"/>
      <c r="AF139" s="56"/>
      <c r="AG139" s="60"/>
      <c r="AH139" s="53" t="s">
        <f>IFERROR(VLOOKUP(AI139,'索引'!$C$3:$D$8,2,FALSE),"")</f>
        <v>126</v>
      </c>
      <c r="AI139" s="58"/>
      <c r="AJ139" s="64"/>
      <c r="AK139" s="56"/>
      <c r="AL139" s="62"/>
      <c r="AM139" s="63" t="s">
        <f>IF(AJ139&lt;&gt;0,AJ139,"")</f>
        <v>126</v>
      </c>
      <c r="AN139" s="51" t="s">
        <f>IFERROR(VLOOKUP(AO139,'索引'!$I:$J,2,FALSE),"")</f>
        <v>126</v>
      </c>
      <c r="AO139" s="56"/>
      <c r="AP139" s="63" t="s">
        <f>IF(AJ139&lt;&gt;0,AJ139,"")</f>
        <v>126</v>
      </c>
      <c r="AQ139" s="56" t="s">
        <f>IFERROR(VLOOKUP('员工报销单模板'!AR139,'项目中心'!C:D,2,FALSE),"")</f>
        <v>126</v>
      </c>
      <c r="AR139" s="56"/>
      <c r="AS139" s="56"/>
    </row>
    <row r="140" s="24" customFormat="1" ht="14.100000000000001" customHeight="1">
      <c r="AB140" s="51" t="s">
        <f>IFERROR(VLOOKUP('员工报销单模板'!AC140,'索引'!$A$1:$B$62,2,FALSE),"")</f>
        <v>126</v>
      </c>
      <c r="AC140" s="58"/>
      <c r="AD140" s="59"/>
      <c r="AE140" s="59"/>
      <c r="AF140" s="56"/>
      <c r="AG140" s="60"/>
      <c r="AH140" s="53" t="s">
        <f>IFERROR(VLOOKUP(AI140,'索引'!$C$3:$D$8,2,FALSE),"")</f>
        <v>126</v>
      </c>
      <c r="AI140" s="58"/>
      <c r="AJ140" s="64"/>
      <c r="AK140" s="56"/>
      <c r="AL140" s="62"/>
      <c r="AM140" s="63" t="s">
        <f>IF(AJ140&lt;&gt;0,AJ140,"")</f>
        <v>126</v>
      </c>
      <c r="AN140" s="51" t="s">
        <f>IFERROR(VLOOKUP(AO140,'索引'!$I:$J,2,FALSE),"")</f>
        <v>126</v>
      </c>
      <c r="AO140" s="56"/>
      <c r="AP140" s="63" t="s">
        <f>IF(AJ140&lt;&gt;0,AJ140,"")</f>
        <v>126</v>
      </c>
      <c r="AQ140" s="56" t="s">
        <f>IFERROR(VLOOKUP('员工报销单模板'!AR140,'项目中心'!C:D,2,FALSE),"")</f>
        <v>126</v>
      </c>
      <c r="AR140" s="56"/>
      <c r="AS140" s="56"/>
    </row>
    <row r="141" s="24" customFormat="1" ht="14.100000000000001" customHeight="1">
      <c r="AB141" s="51" t="s">
        <f>IFERROR(VLOOKUP('员工报销单模板'!AC141,'索引'!$A$1:$B$62,2,FALSE),"")</f>
        <v>126</v>
      </c>
      <c r="AC141" s="58"/>
      <c r="AD141" s="59"/>
      <c r="AE141" s="59"/>
      <c r="AF141" s="56"/>
      <c r="AG141" s="60"/>
      <c r="AH141" s="53" t="s">
        <f>IFERROR(VLOOKUP(AI141,'索引'!$C$3:$D$8,2,FALSE),"")</f>
        <v>126</v>
      </c>
      <c r="AI141" s="58"/>
      <c r="AJ141" s="64"/>
      <c r="AK141" s="56"/>
      <c r="AL141" s="62"/>
      <c r="AM141" s="63" t="s">
        <f>IF(AJ141&lt;&gt;0,AJ141,"")</f>
        <v>126</v>
      </c>
      <c r="AN141" s="51" t="s">
        <f>IFERROR(VLOOKUP(AO141,'索引'!$I:$J,2,FALSE),"")</f>
        <v>126</v>
      </c>
      <c r="AO141" s="56"/>
      <c r="AP141" s="63" t="s">
        <f>IF(AJ141&lt;&gt;0,AJ141,"")</f>
        <v>126</v>
      </c>
      <c r="AQ141" s="56" t="s">
        <f>IFERROR(VLOOKUP('员工报销单模板'!AR141,'项目中心'!C:D,2,FALSE),"")</f>
        <v>126</v>
      </c>
      <c r="AR141" s="56"/>
      <c r="AS141" s="56"/>
    </row>
    <row r="142" s="24" customFormat="1" ht="14.100000000000001" customHeight="1">
      <c r="AB142" s="51" t="s">
        <f>IFERROR(VLOOKUP('员工报销单模板'!AC142,'索引'!$A$1:$B$62,2,FALSE),"")</f>
        <v>126</v>
      </c>
      <c r="AC142" s="58"/>
      <c r="AD142" s="59"/>
      <c r="AE142" s="59"/>
      <c r="AF142" s="56"/>
      <c r="AG142" s="60"/>
      <c r="AH142" s="53" t="s">
        <f>IFERROR(VLOOKUP(AI142,'索引'!$C$3:$D$8,2,FALSE),"")</f>
        <v>126</v>
      </c>
      <c r="AI142" s="58"/>
      <c r="AJ142" s="64"/>
      <c r="AK142" s="56"/>
      <c r="AL142" s="62"/>
      <c r="AM142" s="63" t="s">
        <f>IF(AJ142&lt;&gt;0,AJ142,"")</f>
        <v>126</v>
      </c>
      <c r="AN142" s="51" t="s">
        <f>IFERROR(VLOOKUP(AO142,'索引'!$I:$J,2,FALSE),"")</f>
        <v>126</v>
      </c>
      <c r="AO142" s="56"/>
      <c r="AP142" s="63" t="s">
        <f>IF(AJ142&lt;&gt;0,AJ142,"")</f>
        <v>126</v>
      </c>
      <c r="AQ142" s="56" t="s">
        <f>IFERROR(VLOOKUP('员工报销单模板'!AR142,'项目中心'!C:D,2,FALSE),"")</f>
        <v>126</v>
      </c>
      <c r="AR142" s="56"/>
      <c r="AS142" s="56"/>
    </row>
    <row r="143" s="24" customFormat="1" ht="14.100000000000001" customHeight="1">
      <c r="AB143" s="51" t="s">
        <f>IFERROR(VLOOKUP('员工报销单模板'!AC143,'索引'!$A$1:$B$62,2,FALSE),"")</f>
        <v>126</v>
      </c>
      <c r="AC143" s="58"/>
      <c r="AD143" s="59"/>
      <c r="AE143" s="59"/>
      <c r="AF143" s="56"/>
      <c r="AG143" s="60"/>
      <c r="AH143" s="53" t="s">
        <f>IFERROR(VLOOKUP(AI143,'索引'!$C$3:$D$8,2,FALSE),"")</f>
        <v>126</v>
      </c>
      <c r="AI143" s="58"/>
      <c r="AJ143" s="64"/>
      <c r="AK143" s="56"/>
      <c r="AL143" s="62"/>
      <c r="AM143" s="63" t="s">
        <f>IF(AJ143&lt;&gt;0,AJ143,"")</f>
        <v>126</v>
      </c>
      <c r="AN143" s="51" t="s">
        <f>IFERROR(VLOOKUP(AO143,'索引'!$I:$J,2,FALSE),"")</f>
        <v>126</v>
      </c>
      <c r="AO143" s="56"/>
      <c r="AP143" s="63" t="s">
        <f>IF(AJ143&lt;&gt;0,AJ143,"")</f>
        <v>126</v>
      </c>
      <c r="AQ143" s="56" t="s">
        <f>IFERROR(VLOOKUP('员工报销单模板'!AR143,'项目中心'!C:D,2,FALSE),"")</f>
        <v>126</v>
      </c>
      <c r="AR143" s="56"/>
      <c r="AS143" s="56"/>
    </row>
    <row r="144" s="24" customFormat="1" ht="14.100000000000001" customHeight="1">
      <c r="AB144" s="51" t="s">
        <f>IFERROR(VLOOKUP('员工报销单模板'!AC144,'索引'!$A$1:$B$62,2,FALSE),"")</f>
        <v>126</v>
      </c>
      <c r="AC144" s="58"/>
      <c r="AD144" s="59"/>
      <c r="AE144" s="59"/>
      <c r="AF144" s="56"/>
      <c r="AG144" s="60"/>
      <c r="AH144" s="53" t="s">
        <f>IFERROR(VLOOKUP(AI144,'索引'!$C$3:$D$8,2,FALSE),"")</f>
        <v>126</v>
      </c>
      <c r="AI144" s="58"/>
      <c r="AJ144" s="64"/>
      <c r="AK144" s="56"/>
      <c r="AL144" s="62"/>
      <c r="AM144" s="63" t="s">
        <f>IF(AJ144&lt;&gt;0,AJ144,"")</f>
        <v>126</v>
      </c>
      <c r="AN144" s="51" t="s">
        <f>IFERROR(VLOOKUP(AO144,'索引'!$I:$J,2,FALSE),"")</f>
        <v>126</v>
      </c>
      <c r="AO144" s="56"/>
      <c r="AP144" s="63" t="s">
        <f>IF(AJ144&lt;&gt;0,AJ144,"")</f>
        <v>126</v>
      </c>
      <c r="AQ144" s="56" t="s">
        <f>IFERROR(VLOOKUP('员工报销单模板'!AR144,'项目中心'!C:D,2,FALSE),"")</f>
        <v>126</v>
      </c>
      <c r="AR144" s="56"/>
      <c r="AS144" s="56"/>
    </row>
    <row r="145" s="24" customFormat="1" ht="14.100000000000001" customHeight="1">
      <c r="AB145" s="51" t="s">
        <f>IFERROR(VLOOKUP('员工报销单模板'!AC145,'索引'!$A$1:$B$62,2,FALSE),"")</f>
        <v>126</v>
      </c>
      <c r="AC145" s="58"/>
      <c r="AD145" s="59"/>
      <c r="AE145" s="59"/>
      <c r="AF145" s="56"/>
      <c r="AG145" s="60"/>
      <c r="AH145" s="53" t="s">
        <f>IFERROR(VLOOKUP(AI145,'索引'!$C$3:$D$8,2,FALSE),"")</f>
        <v>126</v>
      </c>
      <c r="AI145" s="58"/>
      <c r="AJ145" s="64"/>
      <c r="AK145" s="56"/>
      <c r="AL145" s="62"/>
      <c r="AM145" s="63" t="s">
        <f>IF(AJ145&lt;&gt;0,AJ145,"")</f>
        <v>126</v>
      </c>
      <c r="AN145" s="51" t="s">
        <f>IFERROR(VLOOKUP(AO145,'索引'!$I:$J,2,FALSE),"")</f>
        <v>126</v>
      </c>
      <c r="AO145" s="56"/>
      <c r="AP145" s="63" t="s">
        <f>IF(AJ145&lt;&gt;0,AJ145,"")</f>
        <v>126</v>
      </c>
      <c r="AQ145" s="56" t="s">
        <f>IFERROR(VLOOKUP('员工报销单模板'!AR145,'项目中心'!C:D,2,FALSE),"")</f>
        <v>126</v>
      </c>
      <c r="AR145" s="56"/>
      <c r="AS145" s="56"/>
    </row>
    <row r="146" s="24" customFormat="1" ht="14.100000000000001" customHeight="1">
      <c r="AB146" s="51" t="s">
        <f>IFERROR(VLOOKUP('员工报销单模板'!AC146,'索引'!$A$1:$B$62,2,FALSE),"")</f>
        <v>126</v>
      </c>
      <c r="AC146" s="58"/>
      <c r="AD146" s="59"/>
      <c r="AE146" s="59"/>
      <c r="AF146" s="56"/>
      <c r="AG146" s="60"/>
      <c r="AH146" s="53" t="s">
        <f>IFERROR(VLOOKUP(AI146,'索引'!$C$3:$D$8,2,FALSE),"")</f>
        <v>126</v>
      </c>
      <c r="AI146" s="58"/>
      <c r="AJ146" s="64"/>
      <c r="AK146" s="56"/>
      <c r="AL146" s="62"/>
      <c r="AM146" s="63" t="s">
        <f>IF(AJ146&lt;&gt;0,AJ146,"")</f>
        <v>126</v>
      </c>
      <c r="AN146" s="51" t="s">
        <f>IFERROR(VLOOKUP(AO146,'索引'!$I:$J,2,FALSE),"")</f>
        <v>126</v>
      </c>
      <c r="AO146" s="56"/>
      <c r="AP146" s="63" t="s">
        <f>IF(AJ146&lt;&gt;0,AJ146,"")</f>
        <v>126</v>
      </c>
      <c r="AQ146" s="56" t="s">
        <f>IFERROR(VLOOKUP('员工报销单模板'!AR146,'项目中心'!C:D,2,FALSE),"")</f>
        <v>126</v>
      </c>
      <c r="AR146" s="56"/>
      <c r="AS146" s="56"/>
    </row>
    <row r="147" s="24" customFormat="1" ht="14.100000000000001" customHeight="1">
      <c r="AB147" s="51" t="s">
        <f>IFERROR(VLOOKUP('员工报销单模板'!AC147,'索引'!$A$1:$B$62,2,FALSE),"")</f>
        <v>126</v>
      </c>
      <c r="AC147" s="58"/>
      <c r="AD147" s="59"/>
      <c r="AE147" s="59"/>
      <c r="AF147" s="56"/>
      <c r="AG147" s="60"/>
      <c r="AH147" s="53" t="s">
        <f>IFERROR(VLOOKUP(AI147,'索引'!$C$3:$D$8,2,FALSE),"")</f>
        <v>126</v>
      </c>
      <c r="AI147" s="58"/>
      <c r="AJ147" s="64"/>
      <c r="AK147" s="56"/>
      <c r="AL147" s="62"/>
      <c r="AM147" s="63" t="s">
        <f>IF(AJ147&lt;&gt;0,AJ147,"")</f>
        <v>126</v>
      </c>
      <c r="AN147" s="51" t="s">
        <f>IFERROR(VLOOKUP(AO147,'索引'!$I:$J,2,FALSE),"")</f>
        <v>126</v>
      </c>
      <c r="AO147" s="56"/>
      <c r="AP147" s="63" t="s">
        <f>IF(AJ147&lt;&gt;0,AJ147,"")</f>
        <v>126</v>
      </c>
      <c r="AQ147" s="56" t="s">
        <f>IFERROR(VLOOKUP('员工报销单模板'!AR147,'项目中心'!C:D,2,FALSE),"")</f>
        <v>126</v>
      </c>
      <c r="AR147" s="56"/>
      <c r="AS147" s="56"/>
    </row>
    <row r="148" s="24" customFormat="1" ht="14.100000000000001" customHeight="1">
      <c r="AB148" s="51" t="s">
        <f>IFERROR(VLOOKUP('员工报销单模板'!AC148,'索引'!$A$1:$B$62,2,FALSE),"")</f>
        <v>126</v>
      </c>
      <c r="AC148" s="58"/>
      <c r="AD148" s="59"/>
      <c r="AE148" s="59"/>
      <c r="AF148" s="56"/>
      <c r="AG148" s="60"/>
      <c r="AH148" s="53" t="s">
        <f>IFERROR(VLOOKUP(AI148,'索引'!$C$3:$D$8,2,FALSE),"")</f>
        <v>126</v>
      </c>
      <c r="AI148" s="58"/>
      <c r="AJ148" s="64"/>
      <c r="AK148" s="56"/>
      <c r="AL148" s="62"/>
      <c r="AM148" s="63" t="s">
        <f>IF(AJ148&lt;&gt;0,AJ148,"")</f>
        <v>126</v>
      </c>
      <c r="AN148" s="51" t="s">
        <f>IFERROR(VLOOKUP(AO148,'索引'!$I:$J,2,FALSE),"")</f>
        <v>126</v>
      </c>
      <c r="AO148" s="56"/>
      <c r="AP148" s="63" t="s">
        <f>IF(AJ148&lt;&gt;0,AJ148,"")</f>
        <v>126</v>
      </c>
      <c r="AQ148" s="56" t="s">
        <f>IFERROR(VLOOKUP('员工报销单模板'!AR148,'项目中心'!C:D,2,FALSE),"")</f>
        <v>126</v>
      </c>
      <c r="AR148" s="56"/>
      <c r="AS148" s="56"/>
    </row>
    <row r="149" s="24" customFormat="1" ht="14.100000000000001" customHeight="1">
      <c r="AB149" s="51" t="s">
        <f>IFERROR(VLOOKUP('员工报销单模板'!AC149,'索引'!$A$1:$B$62,2,FALSE),"")</f>
        <v>126</v>
      </c>
      <c r="AC149" s="58"/>
      <c r="AD149" s="59"/>
      <c r="AE149" s="59"/>
      <c r="AF149" s="56"/>
      <c r="AG149" s="60"/>
      <c r="AH149" s="53" t="s">
        <f>IFERROR(VLOOKUP(AI149,'索引'!$C$3:$D$8,2,FALSE),"")</f>
        <v>126</v>
      </c>
      <c r="AI149" s="58"/>
      <c r="AJ149" s="64"/>
      <c r="AK149" s="56"/>
      <c r="AL149" s="62"/>
      <c r="AM149" s="63" t="s">
        <f>IF(AJ149&lt;&gt;0,AJ149,"")</f>
        <v>126</v>
      </c>
      <c r="AN149" s="51" t="s">
        <f>IFERROR(VLOOKUP(AO149,'索引'!$I:$J,2,FALSE),"")</f>
        <v>126</v>
      </c>
      <c r="AO149" s="56"/>
      <c r="AP149" s="63" t="s">
        <f>IF(AJ149&lt;&gt;0,AJ149,"")</f>
        <v>126</v>
      </c>
      <c r="AQ149" s="56" t="s">
        <f>IFERROR(VLOOKUP('员工报销单模板'!AR149,'项目中心'!C:D,2,FALSE),"")</f>
        <v>126</v>
      </c>
      <c r="AR149" s="56"/>
      <c r="AS149" s="56"/>
    </row>
    <row r="150" s="24" customFormat="1" ht="14.100000000000001" customHeight="1">
      <c r="AB150" s="51" t="s">
        <f>IFERROR(VLOOKUP('员工报销单模板'!AC150,'索引'!$A$1:$B$62,2,FALSE),"")</f>
        <v>126</v>
      </c>
      <c r="AC150" s="58"/>
      <c r="AD150" s="59"/>
      <c r="AE150" s="59"/>
      <c r="AF150" s="56"/>
      <c r="AG150" s="60"/>
      <c r="AH150" s="53" t="s">
        <f>IFERROR(VLOOKUP(AI150,'索引'!$C$3:$D$8,2,FALSE),"")</f>
        <v>126</v>
      </c>
      <c r="AI150" s="58"/>
      <c r="AJ150" s="64"/>
      <c r="AK150" s="56"/>
      <c r="AL150" s="62"/>
      <c r="AM150" s="63" t="s">
        <f>IF(AJ150&lt;&gt;0,AJ150,"")</f>
        <v>126</v>
      </c>
      <c r="AN150" s="51" t="s">
        <f>IFERROR(VLOOKUP(AO150,'索引'!$I:$J,2,FALSE),"")</f>
        <v>126</v>
      </c>
      <c r="AO150" s="56"/>
      <c r="AP150" s="63" t="s">
        <f>IF(AJ150&lt;&gt;0,AJ150,"")</f>
        <v>126</v>
      </c>
      <c r="AQ150" s="56" t="s">
        <f>IFERROR(VLOOKUP('员工报销单模板'!AR150,'项目中心'!C:D,2,FALSE),"")</f>
        <v>126</v>
      </c>
      <c r="AR150" s="56"/>
      <c r="AS150" s="56"/>
    </row>
    <row r="151" s="24" customFormat="1" ht="14.100000000000001" customHeight="1">
      <c r="AB151" s="51" t="s">
        <f>IFERROR(VLOOKUP('员工报销单模板'!AC151,'索引'!$A$1:$B$62,2,FALSE),"")</f>
        <v>126</v>
      </c>
      <c r="AC151" s="58"/>
      <c r="AD151" s="59"/>
      <c r="AE151" s="59"/>
      <c r="AF151" s="56"/>
      <c r="AG151" s="60"/>
      <c r="AH151" s="53" t="s">
        <f>IFERROR(VLOOKUP(AI151,'索引'!$C$3:$D$8,2,FALSE),"")</f>
        <v>126</v>
      </c>
      <c r="AI151" s="58"/>
      <c r="AJ151" s="64"/>
      <c r="AK151" s="56"/>
      <c r="AL151" s="62"/>
      <c r="AM151" s="63" t="s">
        <f>IF(AJ151&lt;&gt;0,AJ151,"")</f>
        <v>126</v>
      </c>
      <c r="AN151" s="51" t="s">
        <f>IFERROR(VLOOKUP(AO151,'索引'!$I:$J,2,FALSE),"")</f>
        <v>126</v>
      </c>
      <c r="AO151" s="56"/>
      <c r="AP151" s="63" t="s">
        <f>IF(AJ151&lt;&gt;0,AJ151,"")</f>
        <v>126</v>
      </c>
      <c r="AQ151" s="56" t="s">
        <f>IFERROR(VLOOKUP('员工报销单模板'!AR151,'项目中心'!C:D,2,FALSE),"")</f>
        <v>126</v>
      </c>
      <c r="AR151" s="56"/>
      <c r="AS151" s="56"/>
    </row>
    <row r="152" s="24" customFormat="1" ht="14.100000000000001" customHeight="1">
      <c r="AB152" s="51" t="s">
        <f>IFERROR(VLOOKUP('员工报销单模板'!AC152,'索引'!$A$1:$B$62,2,FALSE),"")</f>
        <v>126</v>
      </c>
      <c r="AC152" s="58"/>
      <c r="AD152" s="59"/>
      <c r="AE152" s="59"/>
      <c r="AF152" s="56"/>
      <c r="AG152" s="60"/>
      <c r="AH152" s="53" t="s">
        <f>IFERROR(VLOOKUP(AI152,'索引'!$C$3:$D$8,2,FALSE),"")</f>
        <v>126</v>
      </c>
      <c r="AI152" s="58"/>
      <c r="AJ152" s="64"/>
      <c r="AK152" s="56"/>
      <c r="AL152" s="62"/>
      <c r="AM152" s="63" t="s">
        <f>IF(AJ152&lt;&gt;0,AJ152,"")</f>
        <v>126</v>
      </c>
      <c r="AN152" s="51" t="s">
        <f>IFERROR(VLOOKUP(AO152,'索引'!$I:$J,2,FALSE),"")</f>
        <v>126</v>
      </c>
      <c r="AO152" s="56"/>
      <c r="AP152" s="63" t="s">
        <f>IF(AJ152&lt;&gt;0,AJ152,"")</f>
        <v>126</v>
      </c>
      <c r="AQ152" s="56" t="s">
        <f>IFERROR(VLOOKUP('员工报销单模板'!AR152,'项目中心'!C:D,2,FALSE),"")</f>
        <v>126</v>
      </c>
      <c r="AR152" s="56"/>
      <c r="AS152" s="56"/>
    </row>
    <row r="153" s="24" customFormat="1" ht="14.100000000000001" customHeight="1">
      <c r="AB153" s="51" t="s">
        <f>IFERROR(VLOOKUP('员工报销单模板'!AC153,'索引'!$A$1:$B$62,2,FALSE),"")</f>
        <v>126</v>
      </c>
      <c r="AC153" s="58"/>
      <c r="AD153" s="59"/>
      <c r="AE153" s="59"/>
      <c r="AF153" s="56"/>
      <c r="AG153" s="60"/>
      <c r="AH153" s="53" t="s">
        <f>IFERROR(VLOOKUP(AI153,'索引'!$C$3:$D$8,2,FALSE),"")</f>
        <v>126</v>
      </c>
      <c r="AI153" s="58"/>
      <c r="AJ153" s="64"/>
      <c r="AK153" s="56"/>
      <c r="AL153" s="62"/>
      <c r="AM153" s="63" t="s">
        <f>IF(AJ153&lt;&gt;0,AJ153,"")</f>
        <v>126</v>
      </c>
      <c r="AN153" s="51" t="s">
        <f>IFERROR(VLOOKUP(AO153,'索引'!$I:$J,2,FALSE),"")</f>
        <v>126</v>
      </c>
      <c r="AO153" s="56"/>
      <c r="AP153" s="63" t="s">
        <f>IF(AJ153&lt;&gt;0,AJ153,"")</f>
        <v>126</v>
      </c>
      <c r="AQ153" s="56" t="s">
        <f>IFERROR(VLOOKUP('员工报销单模板'!AR153,'项目中心'!C:D,2,FALSE),"")</f>
        <v>126</v>
      </c>
      <c r="AR153" s="56"/>
      <c r="AS153" s="56"/>
    </row>
    <row r="154" s="24" customFormat="1" ht="14.100000000000001" customHeight="1">
      <c r="AB154" s="51" t="s">
        <f>IFERROR(VLOOKUP('员工报销单模板'!AC154,'索引'!$A$1:$B$62,2,FALSE),"")</f>
        <v>126</v>
      </c>
      <c r="AC154" s="58"/>
      <c r="AD154" s="59"/>
      <c r="AE154" s="59"/>
      <c r="AF154" s="56"/>
      <c r="AG154" s="60"/>
      <c r="AH154" s="53" t="s">
        <f>IFERROR(VLOOKUP(AI154,'索引'!$C$3:$D$8,2,FALSE),"")</f>
        <v>126</v>
      </c>
      <c r="AI154" s="58"/>
      <c r="AJ154" s="64"/>
      <c r="AK154" s="56"/>
      <c r="AL154" s="62"/>
      <c r="AM154" s="63" t="s">
        <f>IF(AJ154&lt;&gt;0,AJ154,"")</f>
        <v>126</v>
      </c>
      <c r="AN154" s="51" t="s">
        <f>IFERROR(VLOOKUP(AO154,'索引'!$I:$J,2,FALSE),"")</f>
        <v>126</v>
      </c>
      <c r="AO154" s="56"/>
      <c r="AP154" s="63" t="s">
        <f>IF(AJ154&lt;&gt;0,AJ154,"")</f>
        <v>126</v>
      </c>
      <c r="AQ154" s="56" t="s">
        <f>IFERROR(VLOOKUP('员工报销单模板'!AR154,'项目中心'!C:D,2,FALSE),"")</f>
        <v>126</v>
      </c>
      <c r="AR154" s="56"/>
      <c r="AS154" s="56"/>
    </row>
    <row r="155" s="24" customFormat="1" ht="14.100000000000001" customHeight="1">
      <c r="AB155" s="51" t="s">
        <f>IFERROR(VLOOKUP('员工报销单模板'!AC155,'索引'!$A$1:$B$62,2,FALSE),"")</f>
        <v>126</v>
      </c>
      <c r="AC155" s="58"/>
      <c r="AD155" s="59"/>
      <c r="AE155" s="59"/>
      <c r="AF155" s="56"/>
      <c r="AG155" s="60"/>
      <c r="AH155" s="53" t="s">
        <f>IFERROR(VLOOKUP(AI155,'索引'!$C$3:$D$8,2,FALSE),"")</f>
        <v>126</v>
      </c>
      <c r="AI155" s="58"/>
      <c r="AJ155" s="64"/>
      <c r="AK155" s="56"/>
      <c r="AL155" s="62"/>
      <c r="AM155" s="63" t="s">
        <f>IF(AJ155&lt;&gt;0,AJ155,"")</f>
        <v>126</v>
      </c>
      <c r="AN155" s="51" t="s">
        <f>IFERROR(VLOOKUP(AO155,'索引'!$I:$J,2,FALSE),"")</f>
        <v>126</v>
      </c>
      <c r="AO155" s="56"/>
      <c r="AP155" s="63" t="s">
        <f>IF(AJ155&lt;&gt;0,AJ155,"")</f>
        <v>126</v>
      </c>
      <c r="AQ155" s="56" t="s">
        <f>IFERROR(VLOOKUP('员工报销单模板'!AR155,'项目中心'!C:D,2,FALSE),"")</f>
        <v>126</v>
      </c>
      <c r="AR155" s="56"/>
      <c r="AS155" s="56"/>
    </row>
    <row r="156" s="24" customFormat="1" ht="14.100000000000001" customHeight="1">
      <c r="AB156" s="51" t="s">
        <f>IFERROR(VLOOKUP('员工报销单模板'!AC156,'索引'!$A$1:$B$62,2,FALSE),"")</f>
        <v>126</v>
      </c>
      <c r="AC156" s="58"/>
      <c r="AD156" s="59"/>
      <c r="AE156" s="59"/>
      <c r="AF156" s="56"/>
      <c r="AG156" s="60"/>
      <c r="AH156" s="53" t="s">
        <f>IFERROR(VLOOKUP(AI156,'索引'!$C$3:$D$8,2,FALSE),"")</f>
        <v>126</v>
      </c>
      <c r="AI156" s="58"/>
      <c r="AJ156" s="64"/>
      <c r="AK156" s="56"/>
      <c r="AL156" s="62"/>
      <c r="AM156" s="63" t="s">
        <f>IF(AJ156&lt;&gt;0,AJ156,"")</f>
        <v>126</v>
      </c>
      <c r="AN156" s="51" t="s">
        <f>IFERROR(VLOOKUP(AO156,'索引'!$I:$J,2,FALSE),"")</f>
        <v>126</v>
      </c>
      <c r="AO156" s="56"/>
      <c r="AP156" s="63" t="s">
        <f>IF(AJ156&lt;&gt;0,AJ156,"")</f>
        <v>126</v>
      </c>
      <c r="AQ156" s="56" t="s">
        <f>IFERROR(VLOOKUP('员工报销单模板'!AR156,'项目中心'!C:D,2,FALSE),"")</f>
        <v>126</v>
      </c>
      <c r="AR156" s="56"/>
      <c r="AS156" s="56"/>
    </row>
    <row r="157" s="24" customFormat="1" ht="14.100000000000001" customHeight="1">
      <c r="AB157" s="51" t="s">
        <f>IFERROR(VLOOKUP('员工报销单模板'!AC157,'索引'!$A$1:$B$62,2,FALSE),"")</f>
        <v>126</v>
      </c>
      <c r="AC157" s="58"/>
      <c r="AD157" s="59"/>
      <c r="AE157" s="59"/>
      <c r="AF157" s="56"/>
      <c r="AG157" s="60"/>
      <c r="AH157" s="53" t="s">
        <f>IFERROR(VLOOKUP(AI157,'索引'!$C$3:$D$8,2,FALSE),"")</f>
        <v>126</v>
      </c>
      <c r="AI157" s="58"/>
      <c r="AJ157" s="64"/>
      <c r="AK157" s="56"/>
      <c r="AL157" s="62"/>
      <c r="AM157" s="63" t="s">
        <f>IF(AJ157&lt;&gt;0,AJ157,"")</f>
        <v>126</v>
      </c>
      <c r="AN157" s="51" t="s">
        <f>IFERROR(VLOOKUP(AO157,'索引'!$I:$J,2,FALSE),"")</f>
        <v>126</v>
      </c>
      <c r="AO157" s="56"/>
      <c r="AP157" s="63" t="s">
        <f>IF(AJ157&lt;&gt;0,AJ157,"")</f>
        <v>126</v>
      </c>
      <c r="AQ157" s="56" t="s">
        <f>IFERROR(VLOOKUP('员工报销单模板'!AR157,'项目中心'!C:D,2,FALSE),"")</f>
        <v>126</v>
      </c>
      <c r="AR157" s="56"/>
      <c r="AS157" s="56"/>
    </row>
    <row r="158" s="24" customFormat="1" ht="14.100000000000001" customHeight="1">
      <c r="AB158" s="51" t="s">
        <f>IFERROR(VLOOKUP('员工报销单模板'!AC158,'索引'!$A$1:$B$62,2,FALSE),"")</f>
        <v>126</v>
      </c>
      <c r="AC158" s="58"/>
      <c r="AD158" s="59"/>
      <c r="AE158" s="59"/>
      <c r="AF158" s="56"/>
      <c r="AG158" s="60"/>
      <c r="AH158" s="53" t="s">
        <f>IFERROR(VLOOKUP(AI158,'索引'!$C$3:$D$8,2,FALSE),"")</f>
        <v>126</v>
      </c>
      <c r="AI158" s="58"/>
      <c r="AJ158" s="64"/>
      <c r="AK158" s="56"/>
      <c r="AL158" s="62"/>
      <c r="AM158" s="63" t="s">
        <f>IF(AJ158&lt;&gt;0,AJ158,"")</f>
        <v>126</v>
      </c>
      <c r="AN158" s="51" t="s">
        <f>IFERROR(VLOOKUP(AO158,'索引'!$I:$J,2,FALSE),"")</f>
        <v>126</v>
      </c>
      <c r="AO158" s="56"/>
      <c r="AP158" s="63" t="s">
        <f>IF(AJ158&lt;&gt;0,AJ158,"")</f>
        <v>126</v>
      </c>
      <c r="AQ158" s="56" t="s">
        <f>IFERROR(VLOOKUP('员工报销单模板'!AR158,'项目中心'!C:D,2,FALSE),"")</f>
        <v>126</v>
      </c>
      <c r="AR158" s="56"/>
      <c r="AS158" s="56"/>
    </row>
    <row r="159" s="24" customFormat="1" ht="14.100000000000001" customHeight="1">
      <c r="AB159" s="51" t="s">
        <f>IFERROR(VLOOKUP('员工报销单模板'!AC159,'索引'!$A$1:$B$62,2,FALSE),"")</f>
        <v>126</v>
      </c>
      <c r="AC159" s="58"/>
      <c r="AD159" s="59"/>
      <c r="AE159" s="59"/>
      <c r="AF159" s="56"/>
      <c r="AG159" s="60"/>
      <c r="AH159" s="53" t="s">
        <f>IFERROR(VLOOKUP(AI159,'索引'!$C$3:$D$8,2,FALSE),"")</f>
        <v>126</v>
      </c>
      <c r="AI159" s="58"/>
      <c r="AJ159" s="64"/>
      <c r="AK159" s="56"/>
      <c r="AL159" s="62"/>
      <c r="AM159" s="63" t="s">
        <f>IF(AJ159&lt;&gt;0,AJ159,"")</f>
        <v>126</v>
      </c>
      <c r="AN159" s="51" t="s">
        <f>IFERROR(VLOOKUP(AO159,'索引'!$I:$J,2,FALSE),"")</f>
        <v>126</v>
      </c>
      <c r="AO159" s="56"/>
      <c r="AP159" s="63" t="s">
        <f>IF(AJ159&lt;&gt;0,AJ159,"")</f>
        <v>126</v>
      </c>
      <c r="AQ159" s="56" t="s">
        <f>IFERROR(VLOOKUP('员工报销单模板'!AR159,'项目中心'!C:D,2,FALSE),"")</f>
        <v>126</v>
      </c>
      <c r="AR159" s="56"/>
      <c r="AS159" s="56"/>
    </row>
    <row r="160" s="24" customFormat="1" ht="14.100000000000001" customHeight="1">
      <c r="AB160" s="51" t="s">
        <f>IFERROR(VLOOKUP('员工报销单模板'!AC160,'索引'!$A$1:$B$62,2,FALSE),"")</f>
        <v>126</v>
      </c>
      <c r="AC160" s="58"/>
      <c r="AD160" s="59"/>
      <c r="AE160" s="59"/>
      <c r="AF160" s="56"/>
      <c r="AG160" s="60"/>
      <c r="AH160" s="53" t="s">
        <f>IFERROR(VLOOKUP(AI160,'索引'!$C$3:$D$8,2,FALSE),"")</f>
        <v>126</v>
      </c>
      <c r="AI160" s="58"/>
      <c r="AJ160" s="64"/>
      <c r="AK160" s="56"/>
      <c r="AL160" s="62"/>
      <c r="AM160" s="63" t="s">
        <f>IF(AJ160&lt;&gt;0,AJ160,"")</f>
        <v>126</v>
      </c>
      <c r="AN160" s="51" t="s">
        <f>IFERROR(VLOOKUP(AO160,'索引'!$I:$J,2,FALSE),"")</f>
        <v>126</v>
      </c>
      <c r="AO160" s="56"/>
      <c r="AP160" s="63" t="s">
        <f>IF(AJ160&lt;&gt;0,AJ160,"")</f>
        <v>126</v>
      </c>
      <c r="AQ160" s="56" t="s">
        <f>IFERROR(VLOOKUP('员工报销单模板'!AR160,'项目中心'!C:D,2,FALSE),"")</f>
        <v>126</v>
      </c>
      <c r="AR160" s="56"/>
      <c r="AS160" s="56"/>
    </row>
    <row r="161" s="24" customFormat="1" ht="14.100000000000001" customHeight="1">
      <c r="AB161" s="51" t="s">
        <f>IFERROR(VLOOKUP('员工报销单模板'!AC161,'索引'!$A$1:$B$62,2,FALSE),"")</f>
        <v>126</v>
      </c>
      <c r="AC161" s="58"/>
      <c r="AD161" s="59"/>
      <c r="AE161" s="59"/>
      <c r="AF161" s="56"/>
      <c r="AG161" s="60"/>
      <c r="AH161" s="53" t="s">
        <f>IFERROR(VLOOKUP(AI161,'索引'!$C$3:$D$8,2,FALSE),"")</f>
        <v>126</v>
      </c>
      <c r="AI161" s="58"/>
      <c r="AJ161" s="64"/>
      <c r="AK161" s="56"/>
      <c r="AL161" s="62"/>
      <c r="AM161" s="63" t="s">
        <f>IF(AJ161&lt;&gt;0,AJ161,"")</f>
        <v>126</v>
      </c>
      <c r="AN161" s="51" t="s">
        <f>IFERROR(VLOOKUP(AO161,'索引'!$I:$J,2,FALSE),"")</f>
        <v>126</v>
      </c>
      <c r="AO161" s="56"/>
      <c r="AP161" s="63" t="s">
        <f>IF(AJ161&lt;&gt;0,AJ161,"")</f>
        <v>126</v>
      </c>
      <c r="AQ161" s="56" t="s">
        <f>IFERROR(VLOOKUP('员工报销单模板'!AR161,'项目中心'!C:D,2,FALSE),"")</f>
        <v>126</v>
      </c>
      <c r="AR161" s="56"/>
      <c r="AS161" s="56"/>
    </row>
    <row r="162" s="24" customFormat="1" ht="14.100000000000001" customHeight="1">
      <c r="AB162" s="51" t="s">
        <f>IFERROR(VLOOKUP('员工报销单模板'!AC162,'索引'!$A$1:$B$62,2,FALSE),"")</f>
        <v>126</v>
      </c>
      <c r="AC162" s="58"/>
      <c r="AD162" s="59"/>
      <c r="AE162" s="59"/>
      <c r="AF162" s="56"/>
      <c r="AG162" s="60"/>
      <c r="AH162" s="53" t="s">
        <f>IFERROR(VLOOKUP(AI162,'索引'!$C$3:$D$8,2,FALSE),"")</f>
        <v>126</v>
      </c>
      <c r="AI162" s="58"/>
      <c r="AJ162" s="64"/>
      <c r="AK162" s="56"/>
      <c r="AL162" s="62"/>
      <c r="AM162" s="63" t="s">
        <f>IF(AJ162&lt;&gt;0,AJ162,"")</f>
        <v>126</v>
      </c>
      <c r="AN162" s="51" t="s">
        <f>IFERROR(VLOOKUP(AO162,'索引'!$I:$J,2,FALSE),"")</f>
        <v>126</v>
      </c>
      <c r="AO162" s="56"/>
      <c r="AP162" s="63" t="s">
        <f>IF(AJ162&lt;&gt;0,AJ162,"")</f>
        <v>126</v>
      </c>
      <c r="AQ162" s="56" t="s">
        <f>IFERROR(VLOOKUP('员工报销单模板'!AR162,'项目中心'!C:D,2,FALSE),"")</f>
        <v>126</v>
      </c>
      <c r="AR162" s="56"/>
      <c r="AS162" s="56"/>
    </row>
    <row r="163" s="24" customFormat="1" ht="14.100000000000001" customHeight="1">
      <c r="AB163" s="51" t="s">
        <f>IFERROR(VLOOKUP('员工报销单模板'!AC163,'索引'!$A$1:$B$62,2,FALSE),"")</f>
        <v>126</v>
      </c>
      <c r="AC163" s="58"/>
      <c r="AD163" s="59"/>
      <c r="AE163" s="59"/>
      <c r="AF163" s="56"/>
      <c r="AG163" s="60"/>
      <c r="AH163" s="53" t="s">
        <f>IFERROR(VLOOKUP(AI163,'索引'!$C$3:$D$8,2,FALSE),"")</f>
        <v>126</v>
      </c>
      <c r="AI163" s="58"/>
      <c r="AJ163" s="64"/>
      <c r="AK163" s="56"/>
      <c r="AL163" s="62"/>
      <c r="AM163" s="63" t="s">
        <f>IF(AJ163&lt;&gt;0,AJ163,"")</f>
        <v>126</v>
      </c>
      <c r="AN163" s="51" t="s">
        <f>IFERROR(VLOOKUP(AO163,'索引'!$I:$J,2,FALSE),"")</f>
        <v>126</v>
      </c>
      <c r="AO163" s="56"/>
      <c r="AP163" s="63" t="s">
        <f>IF(AJ163&lt;&gt;0,AJ163,"")</f>
        <v>126</v>
      </c>
      <c r="AQ163" s="56" t="s">
        <f>IFERROR(VLOOKUP('员工报销单模板'!AR163,'项目中心'!C:D,2,FALSE),"")</f>
        <v>126</v>
      </c>
      <c r="AR163" s="56"/>
      <c r="AS163" s="56"/>
    </row>
    <row r="164" s="24" customFormat="1" ht="14.100000000000001" customHeight="1">
      <c r="AB164" s="51" t="s">
        <f>IFERROR(VLOOKUP('员工报销单模板'!AC164,'索引'!$A$1:$B$62,2,FALSE),"")</f>
        <v>126</v>
      </c>
      <c r="AC164" s="58"/>
      <c r="AD164" s="59"/>
      <c r="AE164" s="59"/>
      <c r="AF164" s="56"/>
      <c r="AG164" s="60"/>
      <c r="AH164" s="53" t="s">
        <f>IFERROR(VLOOKUP(AI164,'索引'!$C$3:$D$8,2,FALSE),"")</f>
        <v>126</v>
      </c>
      <c r="AI164" s="58"/>
      <c r="AJ164" s="64"/>
      <c r="AK164" s="56"/>
      <c r="AL164" s="62"/>
      <c r="AM164" s="63" t="s">
        <f>IF(AJ164&lt;&gt;0,AJ164,"")</f>
        <v>126</v>
      </c>
      <c r="AN164" s="51" t="s">
        <f>IFERROR(VLOOKUP(AO164,'索引'!$I:$J,2,FALSE),"")</f>
        <v>126</v>
      </c>
      <c r="AO164" s="56"/>
      <c r="AP164" s="63" t="s">
        <f>IF(AJ164&lt;&gt;0,AJ164,"")</f>
        <v>126</v>
      </c>
      <c r="AQ164" s="56" t="s">
        <f>IFERROR(VLOOKUP('员工报销单模板'!AR164,'项目中心'!C:D,2,FALSE),"")</f>
        <v>126</v>
      </c>
      <c r="AR164" s="56"/>
      <c r="AS164" s="56"/>
    </row>
    <row r="165" s="24" customFormat="1" ht="14.100000000000001" customHeight="1">
      <c r="AB165" s="51" t="s">
        <f>IFERROR(VLOOKUP('员工报销单模板'!AC165,'索引'!$A$1:$B$62,2,FALSE),"")</f>
        <v>126</v>
      </c>
      <c r="AC165" s="58"/>
      <c r="AD165" s="59"/>
      <c r="AE165" s="59"/>
      <c r="AF165" s="56"/>
      <c r="AG165" s="60"/>
      <c r="AH165" s="53" t="s">
        <f>IFERROR(VLOOKUP(AI165,'索引'!$C$3:$D$8,2,FALSE),"")</f>
        <v>126</v>
      </c>
      <c r="AI165" s="58"/>
      <c r="AJ165" s="64"/>
      <c r="AK165" s="56"/>
      <c r="AL165" s="62"/>
      <c r="AM165" s="63" t="s">
        <f>IF(AJ165&lt;&gt;0,AJ165,"")</f>
        <v>126</v>
      </c>
      <c r="AN165" s="51" t="s">
        <f>IFERROR(VLOOKUP(AO165,'索引'!$I:$J,2,FALSE),"")</f>
        <v>126</v>
      </c>
      <c r="AO165" s="56"/>
      <c r="AP165" s="63" t="s">
        <f>IF(AJ165&lt;&gt;0,AJ165,"")</f>
        <v>126</v>
      </c>
      <c r="AQ165" s="56" t="s">
        <f>IFERROR(VLOOKUP('员工报销单模板'!AR165,'项目中心'!C:D,2,FALSE),"")</f>
        <v>126</v>
      </c>
      <c r="AR165" s="56"/>
      <c r="AS165" s="56"/>
    </row>
    <row r="166" s="24" customFormat="1" ht="14.100000000000001" customHeight="1">
      <c r="AB166" s="51" t="s">
        <f>IFERROR(VLOOKUP('员工报销单模板'!AC166,'索引'!$A$1:$B$62,2,FALSE),"")</f>
        <v>126</v>
      </c>
      <c r="AC166" s="58"/>
      <c r="AD166" s="59"/>
      <c r="AE166" s="59"/>
      <c r="AF166" s="56"/>
      <c r="AG166" s="60"/>
      <c r="AH166" s="53" t="s">
        <f>IFERROR(VLOOKUP(AI166,'索引'!$C$3:$D$8,2,FALSE),"")</f>
        <v>126</v>
      </c>
      <c r="AI166" s="58"/>
      <c r="AJ166" s="64"/>
      <c r="AK166" s="56"/>
      <c r="AL166" s="62"/>
      <c r="AM166" s="63" t="s">
        <f>IF(AJ166&lt;&gt;0,AJ166,"")</f>
        <v>126</v>
      </c>
      <c r="AN166" s="51" t="s">
        <f>IFERROR(VLOOKUP(AO166,'索引'!$I:$J,2,FALSE),"")</f>
        <v>126</v>
      </c>
      <c r="AO166" s="56"/>
      <c r="AP166" s="63" t="s">
        <f>IF(AJ166&lt;&gt;0,AJ166,"")</f>
        <v>126</v>
      </c>
      <c r="AQ166" s="56" t="s">
        <f>IFERROR(VLOOKUP('员工报销单模板'!AR166,'项目中心'!C:D,2,FALSE),"")</f>
        <v>126</v>
      </c>
      <c r="AR166" s="56"/>
      <c r="AS166" s="56"/>
    </row>
    <row r="167" s="24" customFormat="1" ht="14.100000000000001" customHeight="1">
      <c r="AB167" s="51" t="s">
        <f>IFERROR(VLOOKUP('员工报销单模板'!AC167,'索引'!$A$1:$B$62,2,FALSE),"")</f>
        <v>126</v>
      </c>
      <c r="AC167" s="58"/>
      <c r="AD167" s="59"/>
      <c r="AE167" s="59"/>
      <c r="AF167" s="56"/>
      <c r="AG167" s="60"/>
      <c r="AH167" s="53" t="s">
        <f>IFERROR(VLOOKUP(AI167,'索引'!$C$3:$D$8,2,FALSE),"")</f>
        <v>126</v>
      </c>
      <c r="AI167" s="58"/>
      <c r="AJ167" s="64"/>
      <c r="AK167" s="56"/>
      <c r="AL167" s="62"/>
      <c r="AM167" s="63" t="s">
        <f>IF(AJ167&lt;&gt;0,AJ167,"")</f>
        <v>126</v>
      </c>
      <c r="AN167" s="51" t="s">
        <f>IFERROR(VLOOKUP(AO167,'索引'!$I:$J,2,FALSE),"")</f>
        <v>126</v>
      </c>
      <c r="AO167" s="56"/>
      <c r="AP167" s="63" t="s">
        <f>IF(AJ167&lt;&gt;0,AJ167,"")</f>
        <v>126</v>
      </c>
      <c r="AQ167" s="56" t="s">
        <f>IFERROR(VLOOKUP('员工报销单模板'!AR167,'项目中心'!C:D,2,FALSE),"")</f>
        <v>126</v>
      </c>
      <c r="AR167" s="56"/>
      <c r="AS167" s="56"/>
    </row>
    <row r="168" s="24" customFormat="1" ht="14.100000000000001" customHeight="1">
      <c r="AB168" s="51" t="s">
        <f>IFERROR(VLOOKUP('员工报销单模板'!AC168,'索引'!$A$1:$B$62,2,FALSE),"")</f>
        <v>126</v>
      </c>
      <c r="AC168" s="58"/>
      <c r="AD168" s="59"/>
      <c r="AE168" s="59"/>
      <c r="AF168" s="56"/>
      <c r="AG168" s="60"/>
      <c r="AH168" s="53" t="s">
        <f>IFERROR(VLOOKUP(AI168,'索引'!$C$3:$D$8,2,FALSE),"")</f>
        <v>126</v>
      </c>
      <c r="AI168" s="58"/>
      <c r="AJ168" s="64"/>
      <c r="AK168" s="56"/>
      <c r="AL168" s="62"/>
      <c r="AM168" s="63" t="s">
        <f>IF(AJ168&lt;&gt;0,AJ168,"")</f>
        <v>126</v>
      </c>
      <c r="AN168" s="51" t="s">
        <f>IFERROR(VLOOKUP(AO168,'索引'!$I:$J,2,FALSE),"")</f>
        <v>126</v>
      </c>
      <c r="AO168" s="56"/>
      <c r="AP168" s="63" t="s">
        <f>IF(AJ168&lt;&gt;0,AJ168,"")</f>
        <v>126</v>
      </c>
      <c r="AQ168" s="56" t="s">
        <f>IFERROR(VLOOKUP('员工报销单模板'!AR168,'项目中心'!C:D,2,FALSE),"")</f>
        <v>126</v>
      </c>
      <c r="AR168" s="56"/>
      <c r="AS168" s="56"/>
    </row>
    <row r="169" s="24" customFormat="1" ht="14.100000000000001" customHeight="1">
      <c r="AB169" s="51" t="s">
        <f>IFERROR(VLOOKUP('员工报销单模板'!AC169,'索引'!$A$1:$B$62,2,FALSE),"")</f>
        <v>126</v>
      </c>
      <c r="AC169" s="58"/>
      <c r="AD169" s="59"/>
      <c r="AE169" s="59"/>
      <c r="AF169" s="56"/>
      <c r="AG169" s="60"/>
      <c r="AH169" s="53" t="s">
        <f>IFERROR(VLOOKUP(AI169,'索引'!$C$3:$D$8,2,FALSE),"")</f>
        <v>126</v>
      </c>
      <c r="AI169" s="58"/>
      <c r="AJ169" s="64"/>
      <c r="AK169" s="56"/>
      <c r="AL169" s="62"/>
      <c r="AM169" s="63" t="s">
        <f>IF(AJ169&lt;&gt;0,AJ169,"")</f>
        <v>126</v>
      </c>
      <c r="AN169" s="51" t="s">
        <f>IFERROR(VLOOKUP(AO169,'索引'!$I:$J,2,FALSE),"")</f>
        <v>126</v>
      </c>
      <c r="AO169" s="56"/>
      <c r="AP169" s="63" t="s">
        <f>IF(AJ169&lt;&gt;0,AJ169,"")</f>
        <v>126</v>
      </c>
      <c r="AQ169" s="56" t="s">
        <f>IFERROR(VLOOKUP('员工报销单模板'!AR169,'项目中心'!C:D,2,FALSE),"")</f>
        <v>126</v>
      </c>
      <c r="AR169" s="56"/>
      <c r="AS169" s="56"/>
    </row>
    <row r="170" s="24" customFormat="1" ht="14.100000000000001" customHeight="1">
      <c r="AB170" s="51" t="s">
        <f>IFERROR(VLOOKUP('员工报销单模板'!AC170,'索引'!$A$1:$B$62,2,FALSE),"")</f>
        <v>126</v>
      </c>
      <c r="AC170" s="58"/>
      <c r="AD170" s="59"/>
      <c r="AE170" s="59"/>
      <c r="AF170" s="56"/>
      <c r="AG170" s="60"/>
      <c r="AH170" s="53" t="s">
        <f>IFERROR(VLOOKUP(AI170,'索引'!$C$3:$D$8,2,FALSE),"")</f>
        <v>126</v>
      </c>
      <c r="AI170" s="58"/>
      <c r="AJ170" s="64"/>
      <c r="AK170" s="56"/>
      <c r="AL170" s="62"/>
      <c r="AM170" s="63" t="s">
        <f>IF(AJ170&lt;&gt;0,AJ170,"")</f>
        <v>126</v>
      </c>
      <c r="AN170" s="51" t="s">
        <f>IFERROR(VLOOKUP(AO170,'索引'!$I:$J,2,FALSE),"")</f>
        <v>126</v>
      </c>
      <c r="AO170" s="56"/>
      <c r="AP170" s="63" t="s">
        <f>IF(AJ170&lt;&gt;0,AJ170,"")</f>
        <v>126</v>
      </c>
      <c r="AQ170" s="56" t="s">
        <f>IFERROR(VLOOKUP('员工报销单模板'!AR170,'项目中心'!C:D,2,FALSE),"")</f>
        <v>126</v>
      </c>
      <c r="AR170" s="56"/>
      <c r="AS170" s="56"/>
    </row>
    <row r="171" s="24" customFormat="1" ht="14.100000000000001" customHeight="1">
      <c r="AB171" s="51" t="s">
        <f>IFERROR(VLOOKUP('员工报销单模板'!AC171,'索引'!$A$1:$B$62,2,FALSE),"")</f>
        <v>126</v>
      </c>
      <c r="AC171" s="58"/>
      <c r="AD171" s="59"/>
      <c r="AE171" s="59"/>
      <c r="AF171" s="56"/>
      <c r="AG171" s="60"/>
      <c r="AH171" s="53" t="s">
        <f>IFERROR(VLOOKUP(AI171,'索引'!$C$3:$D$8,2,FALSE),"")</f>
        <v>126</v>
      </c>
      <c r="AI171" s="58"/>
      <c r="AJ171" s="64"/>
      <c r="AK171" s="56"/>
      <c r="AL171" s="62"/>
      <c r="AM171" s="63" t="s">
        <f>IF(AJ171&lt;&gt;0,AJ171,"")</f>
        <v>126</v>
      </c>
      <c r="AN171" s="51" t="s">
        <f>IFERROR(VLOOKUP(AO171,'索引'!$I:$J,2,FALSE),"")</f>
        <v>126</v>
      </c>
      <c r="AO171" s="56"/>
      <c r="AP171" s="63" t="s">
        <f>IF(AJ171&lt;&gt;0,AJ171,"")</f>
        <v>126</v>
      </c>
      <c r="AQ171" s="56" t="s">
        <f>IFERROR(VLOOKUP('员工报销单模板'!AR171,'项目中心'!C:D,2,FALSE),"")</f>
        <v>126</v>
      </c>
      <c r="AR171" s="56"/>
      <c r="AS171" s="56"/>
    </row>
    <row r="172" s="24" customFormat="1" ht="14.100000000000001" customHeight="1">
      <c r="AB172" s="51" t="s">
        <f>IFERROR(VLOOKUP('员工报销单模板'!AC172,'索引'!$A$1:$B$62,2,FALSE),"")</f>
        <v>126</v>
      </c>
      <c r="AC172" s="58"/>
      <c r="AD172" s="59"/>
      <c r="AE172" s="59"/>
      <c r="AF172" s="56"/>
      <c r="AG172" s="60"/>
      <c r="AH172" s="53" t="s">
        <f>IFERROR(VLOOKUP(AI172,'索引'!$C$3:$D$8,2,FALSE),"")</f>
        <v>126</v>
      </c>
      <c r="AI172" s="58"/>
      <c r="AJ172" s="64"/>
      <c r="AK172" s="56"/>
      <c r="AL172" s="62"/>
      <c r="AM172" s="63" t="s">
        <f>IF(AJ172&lt;&gt;0,AJ172,"")</f>
        <v>126</v>
      </c>
      <c r="AN172" s="51" t="s">
        <f>IFERROR(VLOOKUP(AO172,'索引'!$I:$J,2,FALSE),"")</f>
        <v>126</v>
      </c>
      <c r="AO172" s="56"/>
      <c r="AP172" s="63" t="s">
        <f>IF(AJ172&lt;&gt;0,AJ172,"")</f>
        <v>126</v>
      </c>
      <c r="AQ172" s="56" t="s">
        <f>IFERROR(VLOOKUP('员工报销单模板'!AR172,'项目中心'!C:D,2,FALSE),"")</f>
        <v>126</v>
      </c>
      <c r="AR172" s="56"/>
      <c r="AS172" s="56"/>
    </row>
    <row r="173" s="24" customFormat="1" ht="14.100000000000001" customHeight="1">
      <c r="AB173" s="51" t="s">
        <f>IFERROR(VLOOKUP('员工报销单模板'!AC173,'索引'!$A$1:$B$62,2,FALSE),"")</f>
        <v>126</v>
      </c>
      <c r="AC173" s="58"/>
      <c r="AD173" s="59"/>
      <c r="AE173" s="59"/>
      <c r="AF173" s="56"/>
      <c r="AG173" s="60"/>
      <c r="AH173" s="53" t="s">
        <f>IFERROR(VLOOKUP(AI173,'索引'!$C$3:$D$8,2,FALSE),"")</f>
        <v>126</v>
      </c>
      <c r="AI173" s="58"/>
      <c r="AJ173" s="64"/>
      <c r="AK173" s="56"/>
      <c r="AL173" s="62"/>
      <c r="AM173" s="63" t="s">
        <f>IF(AJ173&lt;&gt;0,AJ173,"")</f>
        <v>126</v>
      </c>
      <c r="AN173" s="51" t="s">
        <f>IFERROR(VLOOKUP(AO173,'索引'!$I:$J,2,FALSE),"")</f>
        <v>126</v>
      </c>
      <c r="AO173" s="56"/>
      <c r="AP173" s="63" t="s">
        <f>IF(AJ173&lt;&gt;0,AJ173,"")</f>
        <v>126</v>
      </c>
      <c r="AQ173" s="56" t="s">
        <f>IFERROR(VLOOKUP('员工报销单模板'!AR173,'项目中心'!C:D,2,FALSE),"")</f>
        <v>126</v>
      </c>
      <c r="AR173" s="56"/>
      <c r="AS173" s="56"/>
    </row>
    <row r="174" s="24" customFormat="1" ht="14.100000000000001" customHeight="1">
      <c r="AB174" s="51" t="s">
        <f>IFERROR(VLOOKUP('员工报销单模板'!AC174,'索引'!$A$1:$B$62,2,FALSE),"")</f>
        <v>126</v>
      </c>
      <c r="AC174" s="58"/>
      <c r="AD174" s="59"/>
      <c r="AE174" s="59"/>
      <c r="AF174" s="56"/>
      <c r="AG174" s="60"/>
      <c r="AH174" s="53" t="s">
        <f>IFERROR(VLOOKUP(AI174,'索引'!$C$3:$D$8,2,FALSE),"")</f>
        <v>126</v>
      </c>
      <c r="AI174" s="58"/>
      <c r="AJ174" s="64"/>
      <c r="AK174" s="56"/>
      <c r="AL174" s="62"/>
      <c r="AM174" s="63" t="s">
        <f>IF(AJ174&lt;&gt;0,AJ174,"")</f>
        <v>126</v>
      </c>
      <c r="AN174" s="51" t="s">
        <f>IFERROR(VLOOKUP(AO174,'索引'!$I:$J,2,FALSE),"")</f>
        <v>126</v>
      </c>
      <c r="AO174" s="56"/>
      <c r="AP174" s="63" t="s">
        <f>IF(AJ174&lt;&gt;0,AJ174,"")</f>
        <v>126</v>
      </c>
      <c r="AQ174" s="56" t="s">
        <f>IFERROR(VLOOKUP('员工报销单模板'!AR174,'项目中心'!C:D,2,FALSE),"")</f>
        <v>126</v>
      </c>
      <c r="AR174" s="56"/>
      <c r="AS174" s="56"/>
    </row>
    <row r="175" s="24" customFormat="1" ht="14.100000000000001" customHeight="1">
      <c r="AB175" s="51" t="s">
        <f>IFERROR(VLOOKUP('员工报销单模板'!AC175,'索引'!$A$1:$B$62,2,FALSE),"")</f>
        <v>126</v>
      </c>
      <c r="AC175" s="58"/>
      <c r="AD175" s="59"/>
      <c r="AE175" s="59"/>
      <c r="AF175" s="56"/>
      <c r="AG175" s="60"/>
      <c r="AH175" s="53" t="s">
        <f>IFERROR(VLOOKUP(AI175,'索引'!$C$3:$D$8,2,FALSE),"")</f>
        <v>126</v>
      </c>
      <c r="AI175" s="58"/>
      <c r="AJ175" s="64"/>
      <c r="AK175" s="56"/>
      <c r="AL175" s="62"/>
      <c r="AM175" s="63" t="s">
        <f>IF(AJ175&lt;&gt;0,AJ175,"")</f>
        <v>126</v>
      </c>
      <c r="AN175" s="51" t="s">
        <f>IFERROR(VLOOKUP(AO175,'索引'!$I:$J,2,FALSE),"")</f>
        <v>126</v>
      </c>
      <c r="AO175" s="56"/>
      <c r="AP175" s="63" t="s">
        <f>IF(AJ175&lt;&gt;0,AJ175,"")</f>
        <v>126</v>
      </c>
      <c r="AQ175" s="56" t="s">
        <f>IFERROR(VLOOKUP('员工报销单模板'!AR175,'项目中心'!C:D,2,FALSE),"")</f>
        <v>126</v>
      </c>
      <c r="AR175" s="56"/>
      <c r="AS175" s="56"/>
    </row>
    <row r="176" s="24" customFormat="1" ht="14.100000000000001" customHeight="1">
      <c r="AB176" s="51" t="s">
        <f>IFERROR(VLOOKUP('员工报销单模板'!AC176,'索引'!$A$1:$B$62,2,FALSE),"")</f>
        <v>126</v>
      </c>
      <c r="AC176" s="58"/>
      <c r="AD176" s="59"/>
      <c r="AE176" s="59"/>
      <c r="AF176" s="56"/>
      <c r="AG176" s="60"/>
      <c r="AH176" s="53" t="s">
        <f>IFERROR(VLOOKUP(AI176,'索引'!$C$3:$D$8,2,FALSE),"")</f>
        <v>126</v>
      </c>
      <c r="AI176" s="58"/>
      <c r="AJ176" s="64"/>
      <c r="AK176" s="56"/>
      <c r="AL176" s="62"/>
      <c r="AM176" s="63" t="s">
        <f>IF(AJ176&lt;&gt;0,AJ176,"")</f>
        <v>126</v>
      </c>
      <c r="AN176" s="51" t="s">
        <f>IFERROR(VLOOKUP(AO176,'索引'!$I:$J,2,FALSE),"")</f>
        <v>126</v>
      </c>
      <c r="AO176" s="56"/>
      <c r="AP176" s="63" t="s">
        <f>IF(AJ176&lt;&gt;0,AJ176,"")</f>
        <v>126</v>
      </c>
      <c r="AQ176" s="56" t="s">
        <f>IFERROR(VLOOKUP('员工报销单模板'!AR176,'项目中心'!C:D,2,FALSE),"")</f>
        <v>126</v>
      </c>
      <c r="AR176" s="56"/>
      <c r="AS176" s="56"/>
    </row>
    <row r="177" s="24" customFormat="1" ht="14.100000000000001" customHeight="1">
      <c r="AB177" s="51" t="s">
        <f>IFERROR(VLOOKUP('员工报销单模板'!AC177,'索引'!$A$1:$B$62,2,FALSE),"")</f>
        <v>126</v>
      </c>
      <c r="AC177" s="58"/>
      <c r="AD177" s="59"/>
      <c r="AE177" s="59"/>
      <c r="AF177" s="56"/>
      <c r="AG177" s="60"/>
      <c r="AH177" s="53" t="s">
        <f>IFERROR(VLOOKUP(AI177,'索引'!$C$3:$D$8,2,FALSE),"")</f>
        <v>126</v>
      </c>
      <c r="AI177" s="58"/>
      <c r="AJ177" s="64"/>
      <c r="AK177" s="56"/>
      <c r="AL177" s="62"/>
      <c r="AM177" s="63" t="s">
        <f>IF(AJ177&lt;&gt;0,AJ177,"")</f>
        <v>126</v>
      </c>
      <c r="AN177" s="51" t="s">
        <f>IFERROR(VLOOKUP(AO177,'索引'!$I:$J,2,FALSE),"")</f>
        <v>126</v>
      </c>
      <c r="AO177" s="56"/>
      <c r="AP177" s="63" t="s">
        <f>IF(AJ177&lt;&gt;0,AJ177,"")</f>
        <v>126</v>
      </c>
      <c r="AQ177" s="56" t="s">
        <f>IFERROR(VLOOKUP('员工报销单模板'!AR177,'项目中心'!C:D,2,FALSE),"")</f>
        <v>126</v>
      </c>
      <c r="AR177" s="56"/>
      <c r="AS177" s="56"/>
    </row>
    <row r="178" s="24" customFormat="1" ht="14.100000000000001" customHeight="1">
      <c r="AB178" s="51" t="s">
        <f>IFERROR(VLOOKUP('员工报销单模板'!AC178,'索引'!$A$1:$B$62,2,FALSE),"")</f>
        <v>126</v>
      </c>
      <c r="AC178" s="58"/>
      <c r="AD178" s="59"/>
      <c r="AE178" s="59"/>
      <c r="AF178" s="56"/>
      <c r="AG178" s="60"/>
      <c r="AH178" s="53" t="s">
        <f>IFERROR(VLOOKUP(AI178,'索引'!$C$3:$D$8,2,FALSE),"")</f>
        <v>126</v>
      </c>
      <c r="AI178" s="58"/>
      <c r="AJ178" s="64"/>
      <c r="AK178" s="56"/>
      <c r="AL178" s="62"/>
      <c r="AM178" s="63" t="s">
        <f>IF(AJ178&lt;&gt;0,AJ178,"")</f>
        <v>126</v>
      </c>
      <c r="AN178" s="51" t="s">
        <f>IFERROR(VLOOKUP(AO178,'索引'!$I:$J,2,FALSE),"")</f>
        <v>126</v>
      </c>
      <c r="AO178" s="56"/>
      <c r="AP178" s="63" t="s">
        <f>IF(AJ178&lt;&gt;0,AJ178,"")</f>
        <v>126</v>
      </c>
      <c r="AQ178" s="56" t="s">
        <f>IFERROR(VLOOKUP('员工报销单模板'!AR178,'项目中心'!C:D,2,FALSE),"")</f>
        <v>126</v>
      </c>
      <c r="AR178" s="56"/>
      <c r="AS178" s="56"/>
    </row>
    <row r="179" s="24" customFormat="1" ht="14.100000000000001" customHeight="1">
      <c r="AB179" s="51" t="s">
        <f>IFERROR(VLOOKUP('员工报销单模板'!AC179,'索引'!$A$1:$B$62,2,FALSE),"")</f>
        <v>126</v>
      </c>
      <c r="AC179" s="58"/>
      <c r="AD179" s="59"/>
      <c r="AE179" s="59"/>
      <c r="AF179" s="56"/>
      <c r="AG179" s="60"/>
      <c r="AH179" s="53" t="s">
        <f>IFERROR(VLOOKUP(AI179,'索引'!$C$3:$D$8,2,FALSE),"")</f>
        <v>126</v>
      </c>
      <c r="AI179" s="58"/>
      <c r="AJ179" s="64"/>
      <c r="AK179" s="56"/>
      <c r="AL179" s="62"/>
      <c r="AM179" s="63" t="s">
        <f>IF(AJ179&lt;&gt;0,AJ179,"")</f>
        <v>126</v>
      </c>
      <c r="AN179" s="51" t="s">
        <f>IFERROR(VLOOKUP(AO179,'索引'!$I:$J,2,FALSE),"")</f>
        <v>126</v>
      </c>
      <c r="AO179" s="56"/>
      <c r="AP179" s="63" t="s">
        <f>IF(AJ179&lt;&gt;0,AJ179,"")</f>
        <v>126</v>
      </c>
      <c r="AQ179" s="56" t="s">
        <f>IFERROR(VLOOKUP('员工报销单模板'!AR179,'项目中心'!C:D,2,FALSE),"")</f>
        <v>126</v>
      </c>
      <c r="AR179" s="56"/>
      <c r="AS179" s="56"/>
    </row>
    <row r="180" s="24" customFormat="1" ht="14.100000000000001" customHeight="1">
      <c r="AB180" s="51" t="s">
        <f>IFERROR(VLOOKUP('员工报销单模板'!AC180,'索引'!$A$1:$B$62,2,FALSE),"")</f>
        <v>126</v>
      </c>
      <c r="AC180" s="58"/>
      <c r="AD180" s="59"/>
      <c r="AE180" s="59"/>
      <c r="AF180" s="56"/>
      <c r="AG180" s="60"/>
      <c r="AH180" s="53" t="s">
        <f>IFERROR(VLOOKUP(AI180,'索引'!$C$3:$D$8,2,FALSE),"")</f>
        <v>126</v>
      </c>
      <c r="AI180" s="58"/>
      <c r="AJ180" s="64"/>
      <c r="AK180" s="56"/>
      <c r="AL180" s="62"/>
      <c r="AM180" s="63" t="s">
        <f>IF(AJ180&lt;&gt;0,AJ180,"")</f>
        <v>126</v>
      </c>
      <c r="AN180" s="51" t="s">
        <f>IFERROR(VLOOKUP(AO180,'索引'!$I:$J,2,FALSE),"")</f>
        <v>126</v>
      </c>
      <c r="AO180" s="56"/>
      <c r="AP180" s="63" t="s">
        <f>IF(AJ180&lt;&gt;0,AJ180,"")</f>
        <v>126</v>
      </c>
      <c r="AQ180" s="56" t="s">
        <f>IFERROR(VLOOKUP('员工报销单模板'!AR180,'项目中心'!C:D,2,FALSE),"")</f>
        <v>126</v>
      </c>
      <c r="AR180" s="56"/>
      <c r="AS180" s="56"/>
    </row>
    <row r="181" s="24" customFormat="1" ht="14.100000000000001" customHeight="1">
      <c r="AB181" s="51" t="s">
        <f>IFERROR(VLOOKUP('员工报销单模板'!AC181,'索引'!$A$1:$B$62,2,FALSE),"")</f>
        <v>126</v>
      </c>
      <c r="AC181" s="58"/>
      <c r="AD181" s="59"/>
      <c r="AE181" s="59"/>
      <c r="AF181" s="56"/>
      <c r="AG181" s="60"/>
      <c r="AH181" s="53" t="s">
        <f>IFERROR(VLOOKUP(AI181,'索引'!$C$3:$D$8,2,FALSE),"")</f>
        <v>126</v>
      </c>
      <c r="AI181" s="58"/>
      <c r="AJ181" s="64"/>
      <c r="AK181" s="56"/>
      <c r="AL181" s="62"/>
      <c r="AM181" s="63" t="s">
        <f>IF(AJ181&lt;&gt;0,AJ181,"")</f>
        <v>126</v>
      </c>
      <c r="AN181" s="51" t="s">
        <f>IFERROR(VLOOKUP(AO181,'索引'!$I:$J,2,FALSE),"")</f>
        <v>126</v>
      </c>
      <c r="AO181" s="56"/>
      <c r="AP181" s="63" t="s">
        <f>IF(AJ181&lt;&gt;0,AJ181,"")</f>
        <v>126</v>
      </c>
      <c r="AQ181" s="56" t="s">
        <f>IFERROR(VLOOKUP('员工报销单模板'!AR181,'项目中心'!C:D,2,FALSE),"")</f>
        <v>126</v>
      </c>
      <c r="AR181" s="56"/>
      <c r="AS181" s="56"/>
    </row>
    <row r="182" s="24" customFormat="1" ht="14.100000000000001" customHeight="1">
      <c r="AB182" s="51" t="s">
        <f>IFERROR(VLOOKUP('员工报销单模板'!AC182,'索引'!$A$1:$B$62,2,FALSE),"")</f>
        <v>126</v>
      </c>
      <c r="AC182" s="58"/>
      <c r="AD182" s="59"/>
      <c r="AE182" s="59"/>
      <c r="AF182" s="56"/>
      <c r="AG182" s="60"/>
      <c r="AH182" s="53" t="s">
        <f>IFERROR(VLOOKUP(AI182,'索引'!$C$3:$D$8,2,FALSE),"")</f>
        <v>126</v>
      </c>
      <c r="AI182" s="58"/>
      <c r="AJ182" s="64"/>
      <c r="AK182" s="56"/>
      <c r="AL182" s="62"/>
      <c r="AM182" s="63" t="s">
        <f>IF(AJ182&lt;&gt;0,AJ182,"")</f>
        <v>126</v>
      </c>
      <c r="AN182" s="51" t="s">
        <f>IFERROR(VLOOKUP(AO182,'索引'!$I:$J,2,FALSE),"")</f>
        <v>126</v>
      </c>
      <c r="AO182" s="56"/>
      <c r="AP182" s="63" t="s">
        <f>IF(AJ182&lt;&gt;0,AJ182,"")</f>
        <v>126</v>
      </c>
      <c r="AQ182" s="56" t="s">
        <f>IFERROR(VLOOKUP('员工报销单模板'!AR182,'项目中心'!C:D,2,FALSE),"")</f>
        <v>126</v>
      </c>
      <c r="AR182" s="56"/>
      <c r="AS182" s="56"/>
    </row>
    <row r="183" s="24" customFormat="1" ht="14.100000000000001" customHeight="1">
      <c r="AB183" s="51" t="s">
        <f>IFERROR(VLOOKUP('员工报销单模板'!AC183,'索引'!$A$1:$B$62,2,FALSE),"")</f>
        <v>126</v>
      </c>
      <c r="AC183" s="58"/>
      <c r="AD183" s="59"/>
      <c r="AE183" s="59"/>
      <c r="AF183" s="56"/>
      <c r="AG183" s="60"/>
      <c r="AH183" s="53" t="s">
        <f>IFERROR(VLOOKUP(AI183,'索引'!$C$3:$D$8,2,FALSE),"")</f>
        <v>126</v>
      </c>
      <c r="AI183" s="58"/>
      <c r="AJ183" s="64"/>
      <c r="AK183" s="56"/>
      <c r="AL183" s="62"/>
      <c r="AM183" s="63" t="s">
        <f>IF(AJ183&lt;&gt;0,AJ183,"")</f>
        <v>126</v>
      </c>
      <c r="AN183" s="51" t="s">
        <f>IFERROR(VLOOKUP(AO183,'索引'!$I:$J,2,FALSE),"")</f>
        <v>126</v>
      </c>
      <c r="AO183" s="56"/>
      <c r="AP183" s="63" t="s">
        <f>IF(AJ183&lt;&gt;0,AJ183,"")</f>
        <v>126</v>
      </c>
      <c r="AQ183" s="56" t="s">
        <f>IFERROR(VLOOKUP('员工报销单模板'!AR183,'项目中心'!C:D,2,FALSE),"")</f>
        <v>126</v>
      </c>
      <c r="AR183" s="56"/>
      <c r="AS183" s="56"/>
    </row>
    <row r="184" s="24" customFormat="1" ht="14.100000000000001" customHeight="1">
      <c r="AB184" s="51" t="s">
        <f>IFERROR(VLOOKUP('员工报销单模板'!AC184,'索引'!$A$1:$B$62,2,FALSE),"")</f>
        <v>126</v>
      </c>
      <c r="AC184" s="58"/>
      <c r="AD184" s="59"/>
      <c r="AE184" s="59"/>
      <c r="AF184" s="56"/>
      <c r="AG184" s="60"/>
      <c r="AH184" s="53" t="s">
        <f>IFERROR(VLOOKUP(AI184,'索引'!$C$3:$D$8,2,FALSE),"")</f>
        <v>126</v>
      </c>
      <c r="AI184" s="58"/>
      <c r="AJ184" s="64"/>
      <c r="AK184" s="56"/>
      <c r="AL184" s="62"/>
      <c r="AM184" s="63" t="s">
        <f>IF(AJ184&lt;&gt;0,AJ184,"")</f>
        <v>126</v>
      </c>
      <c r="AN184" s="51" t="s">
        <f>IFERROR(VLOOKUP(AO184,'索引'!$I:$J,2,FALSE),"")</f>
        <v>126</v>
      </c>
      <c r="AO184" s="56"/>
      <c r="AP184" s="63" t="s">
        <f>IF(AJ184&lt;&gt;0,AJ184,"")</f>
        <v>126</v>
      </c>
      <c r="AQ184" s="56" t="s">
        <f>IFERROR(VLOOKUP('员工报销单模板'!AR184,'项目中心'!C:D,2,FALSE),"")</f>
        <v>126</v>
      </c>
      <c r="AR184" s="56"/>
      <c r="AS184" s="56"/>
    </row>
    <row r="185" s="24" customFormat="1" ht="14.100000000000001" customHeight="1">
      <c r="AB185" s="51" t="s">
        <f>IFERROR(VLOOKUP('员工报销单模板'!AC185,'索引'!$A$1:$B$62,2,FALSE),"")</f>
        <v>126</v>
      </c>
      <c r="AC185" s="58"/>
      <c r="AD185" s="59"/>
      <c r="AE185" s="59"/>
      <c r="AF185" s="56"/>
      <c r="AG185" s="60"/>
      <c r="AH185" s="53" t="s">
        <f>IFERROR(VLOOKUP(AI185,'索引'!$C$3:$D$8,2,FALSE),"")</f>
        <v>126</v>
      </c>
      <c r="AI185" s="58"/>
      <c r="AJ185" s="64"/>
      <c r="AK185" s="56"/>
      <c r="AL185" s="62"/>
      <c r="AM185" s="63" t="s">
        <f>IF(AJ185&lt;&gt;0,AJ185,"")</f>
        <v>126</v>
      </c>
      <c r="AN185" s="51" t="s">
        <f>IFERROR(VLOOKUP(AO185,'索引'!$I:$J,2,FALSE),"")</f>
        <v>126</v>
      </c>
      <c r="AO185" s="56"/>
      <c r="AP185" s="63" t="s">
        <f>IF(AJ185&lt;&gt;0,AJ185,"")</f>
        <v>126</v>
      </c>
      <c r="AQ185" s="56" t="s">
        <f>IFERROR(VLOOKUP('员工报销单模板'!AR185,'项目中心'!C:D,2,FALSE),"")</f>
        <v>126</v>
      </c>
      <c r="AR185" s="56"/>
      <c r="AS185" s="56"/>
    </row>
    <row r="186" s="24" customFormat="1" ht="14.100000000000001" customHeight="1">
      <c r="AB186" s="51" t="s">
        <f>IFERROR(VLOOKUP('员工报销单模板'!AC186,'索引'!$A$1:$B$62,2,FALSE),"")</f>
        <v>126</v>
      </c>
      <c r="AC186" s="58"/>
      <c r="AD186" s="59"/>
      <c r="AE186" s="59"/>
      <c r="AF186" s="56"/>
      <c r="AG186" s="60"/>
      <c r="AH186" s="53" t="s">
        <f>IFERROR(VLOOKUP(AI186,'索引'!$C$3:$D$8,2,FALSE),"")</f>
        <v>126</v>
      </c>
      <c r="AI186" s="58"/>
      <c r="AJ186" s="64"/>
      <c r="AK186" s="56"/>
      <c r="AL186" s="62"/>
      <c r="AM186" s="63" t="s">
        <f>IF(AJ186&lt;&gt;0,AJ186,"")</f>
        <v>126</v>
      </c>
      <c r="AN186" s="51" t="s">
        <f>IFERROR(VLOOKUP(AO186,'索引'!$I:$J,2,FALSE),"")</f>
        <v>126</v>
      </c>
      <c r="AO186" s="56"/>
      <c r="AP186" s="63" t="s">
        <f>IF(AJ186&lt;&gt;0,AJ186,"")</f>
        <v>126</v>
      </c>
      <c r="AQ186" s="56" t="s">
        <f>IFERROR(VLOOKUP('员工报销单模板'!AR186,'项目中心'!C:D,2,FALSE),"")</f>
        <v>126</v>
      </c>
      <c r="AR186" s="56"/>
      <c r="AS186" s="56"/>
    </row>
    <row r="187" s="24" customFormat="1" ht="14.100000000000001" customHeight="1">
      <c r="AB187" s="51" t="s">
        <f>IFERROR(VLOOKUP('员工报销单模板'!AC187,'索引'!$A$1:$B$62,2,FALSE),"")</f>
        <v>126</v>
      </c>
      <c r="AC187" s="58"/>
      <c r="AD187" s="59"/>
      <c r="AE187" s="59"/>
      <c r="AF187" s="56"/>
      <c r="AG187" s="60"/>
      <c r="AH187" s="53" t="s">
        <f>IFERROR(VLOOKUP(AI187,'索引'!$C$3:$D$8,2,FALSE),"")</f>
        <v>126</v>
      </c>
      <c r="AI187" s="58"/>
      <c r="AJ187" s="64"/>
      <c r="AK187" s="56"/>
      <c r="AL187" s="62"/>
      <c r="AM187" s="63" t="s">
        <f>IF(AJ187&lt;&gt;0,AJ187,"")</f>
        <v>126</v>
      </c>
      <c r="AN187" s="51" t="s">
        <f>IFERROR(VLOOKUP(AO187,'索引'!$I:$J,2,FALSE),"")</f>
        <v>126</v>
      </c>
      <c r="AO187" s="56"/>
      <c r="AP187" s="63" t="s">
        <f>IF(AJ187&lt;&gt;0,AJ187,"")</f>
        <v>126</v>
      </c>
      <c r="AQ187" s="56" t="s">
        <f>IFERROR(VLOOKUP('员工报销单模板'!AR187,'项目中心'!C:D,2,FALSE),"")</f>
        <v>126</v>
      </c>
      <c r="AR187" s="56"/>
      <c r="AS187" s="56"/>
    </row>
    <row r="188" s="24" customFormat="1" ht="14.100000000000001" customHeight="1">
      <c r="AB188" s="51" t="s">
        <f>IFERROR(VLOOKUP('员工报销单模板'!AC188,'索引'!$A$1:$B$62,2,FALSE),"")</f>
        <v>126</v>
      </c>
      <c r="AC188" s="58"/>
      <c r="AD188" s="59"/>
      <c r="AE188" s="59"/>
      <c r="AF188" s="56"/>
      <c r="AG188" s="60"/>
      <c r="AH188" s="53" t="s">
        <f>IFERROR(VLOOKUP(AI188,'索引'!$C$3:$D$8,2,FALSE),"")</f>
        <v>126</v>
      </c>
      <c r="AI188" s="58"/>
      <c r="AJ188" s="64"/>
      <c r="AK188" s="56"/>
      <c r="AL188" s="62"/>
      <c r="AM188" s="63" t="s">
        <f>IF(AJ188&lt;&gt;0,AJ188,"")</f>
        <v>126</v>
      </c>
      <c r="AN188" s="51" t="s">
        <f>IFERROR(VLOOKUP(AO188,'索引'!$I:$J,2,FALSE),"")</f>
        <v>126</v>
      </c>
      <c r="AO188" s="56"/>
      <c r="AP188" s="63" t="s">
        <f>IF(AJ188&lt;&gt;0,AJ188,"")</f>
        <v>126</v>
      </c>
      <c r="AQ188" s="56" t="s">
        <f>IFERROR(VLOOKUP('员工报销单模板'!AR188,'项目中心'!C:D,2,FALSE),"")</f>
        <v>126</v>
      </c>
      <c r="AR188" s="56"/>
      <c r="AS188" s="56"/>
    </row>
    <row r="189" s="24" customFormat="1" ht="14.100000000000001" customHeight="1">
      <c r="AB189" s="51" t="s">
        <f>IFERROR(VLOOKUP('员工报销单模板'!AC189,'索引'!$A$1:$B$62,2,FALSE),"")</f>
        <v>126</v>
      </c>
      <c r="AC189" s="58"/>
      <c r="AD189" s="59"/>
      <c r="AE189" s="59"/>
      <c r="AF189" s="56"/>
      <c r="AG189" s="60"/>
      <c r="AH189" s="53" t="s">
        <f>IFERROR(VLOOKUP(AI189,'索引'!$C$3:$D$8,2,FALSE),"")</f>
        <v>126</v>
      </c>
      <c r="AI189" s="58"/>
      <c r="AJ189" s="64"/>
      <c r="AK189" s="56"/>
      <c r="AL189" s="62"/>
      <c r="AM189" s="63" t="s">
        <f>IF(AJ189&lt;&gt;0,AJ189,"")</f>
        <v>126</v>
      </c>
      <c r="AN189" s="51" t="s">
        <f>IFERROR(VLOOKUP(AO189,'索引'!$I:$J,2,FALSE),"")</f>
        <v>126</v>
      </c>
      <c r="AO189" s="56"/>
      <c r="AP189" s="63" t="s">
        <f>IF(AJ189&lt;&gt;0,AJ189,"")</f>
        <v>126</v>
      </c>
      <c r="AQ189" s="56" t="s">
        <f>IFERROR(VLOOKUP('员工报销单模板'!AR189,'项目中心'!C:D,2,FALSE),"")</f>
        <v>126</v>
      </c>
      <c r="AR189" s="56"/>
      <c r="AS189" s="56"/>
    </row>
    <row r="190" s="24" customFormat="1" ht="14.100000000000001" customHeight="1">
      <c r="AB190" s="51" t="s">
        <f>IFERROR(VLOOKUP('员工报销单模板'!AC190,'索引'!$A$1:$B$62,2,FALSE),"")</f>
        <v>126</v>
      </c>
      <c r="AC190" s="58"/>
      <c r="AD190" s="59"/>
      <c r="AE190" s="59"/>
      <c r="AF190" s="56"/>
      <c r="AG190" s="60"/>
      <c r="AH190" s="53" t="s">
        <f>IFERROR(VLOOKUP(AI190,'索引'!$C$3:$D$8,2,FALSE),"")</f>
        <v>126</v>
      </c>
      <c r="AI190" s="58"/>
      <c r="AJ190" s="64"/>
      <c r="AK190" s="56"/>
      <c r="AL190" s="62"/>
      <c r="AM190" s="63" t="s">
        <f>IF(AJ190&lt;&gt;0,AJ190,"")</f>
        <v>126</v>
      </c>
      <c r="AN190" s="51" t="s">
        <f>IFERROR(VLOOKUP(AO190,'索引'!$I:$J,2,FALSE),"")</f>
        <v>126</v>
      </c>
      <c r="AO190" s="56"/>
      <c r="AP190" s="63" t="s">
        <f>IF(AJ190&lt;&gt;0,AJ190,"")</f>
        <v>126</v>
      </c>
      <c r="AQ190" s="56" t="s">
        <f>IFERROR(VLOOKUP('员工报销单模板'!AR190,'项目中心'!C:D,2,FALSE),"")</f>
        <v>126</v>
      </c>
      <c r="AR190" s="56"/>
      <c r="AS190" s="56"/>
    </row>
    <row r="191" s="24" customFormat="1" ht="14.100000000000001" customHeight="1">
      <c r="AB191" s="51" t="s">
        <f>IFERROR(VLOOKUP('员工报销单模板'!AC191,'索引'!$A$1:$B$62,2,FALSE),"")</f>
        <v>126</v>
      </c>
      <c r="AC191" s="58"/>
      <c r="AD191" s="59"/>
      <c r="AE191" s="59"/>
      <c r="AF191" s="56"/>
      <c r="AG191" s="60"/>
      <c r="AH191" s="53" t="s">
        <f>IFERROR(VLOOKUP(AI191,'索引'!$C$3:$D$8,2,FALSE),"")</f>
        <v>126</v>
      </c>
      <c r="AI191" s="58"/>
      <c r="AJ191" s="64"/>
      <c r="AK191" s="56"/>
      <c r="AL191" s="62"/>
      <c r="AM191" s="63" t="s">
        <f>IF(AJ191&lt;&gt;0,AJ191,"")</f>
        <v>126</v>
      </c>
      <c r="AN191" s="51" t="s">
        <f>IFERROR(VLOOKUP(AO191,'索引'!$I:$J,2,FALSE),"")</f>
        <v>126</v>
      </c>
      <c r="AO191" s="56"/>
      <c r="AP191" s="63" t="s">
        <f>IF(AJ191&lt;&gt;0,AJ191,"")</f>
        <v>126</v>
      </c>
      <c r="AQ191" s="56" t="s">
        <f>IFERROR(VLOOKUP('员工报销单模板'!AR191,'项目中心'!C:D,2,FALSE),"")</f>
        <v>126</v>
      </c>
      <c r="AR191" s="56"/>
      <c r="AS191" s="56"/>
    </row>
    <row r="192" s="24" customFormat="1" ht="14.100000000000001" customHeight="1">
      <c r="AB192" s="51" t="s">
        <f>IFERROR(VLOOKUP('员工报销单模板'!AC192,'索引'!$A$1:$B$62,2,FALSE),"")</f>
        <v>126</v>
      </c>
      <c r="AC192" s="58"/>
      <c r="AD192" s="59"/>
      <c r="AE192" s="59"/>
      <c r="AF192" s="56"/>
      <c r="AG192" s="60"/>
      <c r="AH192" s="53" t="s">
        <f>IFERROR(VLOOKUP(AI192,'索引'!$C$3:$D$8,2,FALSE),"")</f>
        <v>126</v>
      </c>
      <c r="AI192" s="58"/>
      <c r="AJ192" s="64"/>
      <c r="AK192" s="56"/>
      <c r="AL192" s="62"/>
      <c r="AM192" s="63" t="s">
        <f>IF(AJ192&lt;&gt;0,AJ192,"")</f>
        <v>126</v>
      </c>
      <c r="AN192" s="51" t="s">
        <f>IFERROR(VLOOKUP(AO192,'索引'!$I:$J,2,FALSE),"")</f>
        <v>126</v>
      </c>
      <c r="AO192" s="56"/>
      <c r="AP192" s="63" t="s">
        <f>IF(AJ192&lt;&gt;0,AJ192,"")</f>
        <v>126</v>
      </c>
      <c r="AQ192" s="56" t="s">
        <f>IFERROR(VLOOKUP('员工报销单模板'!AR192,'项目中心'!C:D,2,FALSE),"")</f>
        <v>126</v>
      </c>
      <c r="AR192" s="56"/>
      <c r="AS192" s="56"/>
    </row>
    <row r="193" s="24" customFormat="1" ht="14.100000000000001" customHeight="1">
      <c r="AB193" s="51" t="s">
        <f>IFERROR(VLOOKUP('员工报销单模板'!AC193,'索引'!$A$1:$B$62,2,FALSE),"")</f>
        <v>126</v>
      </c>
      <c r="AC193" s="58"/>
      <c r="AD193" s="59"/>
      <c r="AE193" s="59"/>
      <c r="AF193" s="56"/>
      <c r="AG193" s="60"/>
      <c r="AH193" s="53" t="s">
        <f>IFERROR(VLOOKUP(AI193,'索引'!$C$3:$D$8,2,FALSE),"")</f>
        <v>126</v>
      </c>
      <c r="AI193" s="58"/>
      <c r="AJ193" s="64"/>
      <c r="AK193" s="56"/>
      <c r="AL193" s="62"/>
      <c r="AM193" s="63" t="s">
        <f>IF(AJ193&lt;&gt;0,AJ193,"")</f>
        <v>126</v>
      </c>
      <c r="AN193" s="51" t="s">
        <f>IFERROR(VLOOKUP(AO193,'索引'!$I:$J,2,FALSE),"")</f>
        <v>126</v>
      </c>
      <c r="AO193" s="56"/>
      <c r="AP193" s="63" t="s">
        <f>IF(AJ193&lt;&gt;0,AJ193,"")</f>
        <v>126</v>
      </c>
      <c r="AQ193" s="56" t="s">
        <f>IFERROR(VLOOKUP('员工报销单模板'!AR193,'项目中心'!C:D,2,FALSE),"")</f>
        <v>126</v>
      </c>
      <c r="AR193" s="56"/>
      <c r="AS193" s="56"/>
    </row>
    <row r="194" s="24" customFormat="1" ht="14.100000000000001" customHeight="1">
      <c r="AB194" s="51" t="s">
        <f>IFERROR(VLOOKUP('员工报销单模板'!AC194,'索引'!$A$1:$B$62,2,FALSE),"")</f>
        <v>126</v>
      </c>
      <c r="AC194" s="58"/>
      <c r="AD194" s="59"/>
      <c r="AE194" s="59"/>
      <c r="AF194" s="56"/>
      <c r="AG194" s="60"/>
      <c r="AH194" s="53" t="s">
        <f>IFERROR(VLOOKUP(AI194,'索引'!$C$3:$D$8,2,FALSE),"")</f>
        <v>126</v>
      </c>
      <c r="AI194" s="58"/>
      <c r="AJ194" s="64"/>
      <c r="AK194" s="56"/>
      <c r="AL194" s="62"/>
      <c r="AM194" s="63" t="s">
        <f>IF(AJ194&lt;&gt;0,AJ194,"")</f>
        <v>126</v>
      </c>
      <c r="AN194" s="51" t="s">
        <f>IFERROR(VLOOKUP(AO194,'索引'!$I:$J,2,FALSE),"")</f>
        <v>126</v>
      </c>
      <c r="AO194" s="56"/>
      <c r="AP194" s="63" t="s">
        <f>IF(AJ194&lt;&gt;0,AJ194,"")</f>
        <v>126</v>
      </c>
      <c r="AQ194" s="56" t="s">
        <f>IFERROR(VLOOKUP('员工报销单模板'!AR194,'项目中心'!C:D,2,FALSE),"")</f>
        <v>126</v>
      </c>
      <c r="AR194" s="56"/>
      <c r="AS194" s="56"/>
    </row>
    <row r="195" s="24" customFormat="1" ht="14.100000000000001" customHeight="1">
      <c r="AB195" s="51" t="s">
        <f>IFERROR(VLOOKUP('员工报销单模板'!AC195,'索引'!$A$1:$B$62,2,FALSE),"")</f>
        <v>126</v>
      </c>
      <c r="AC195" s="58"/>
      <c r="AD195" s="59"/>
      <c r="AE195" s="59"/>
      <c r="AF195" s="56"/>
      <c r="AG195" s="60"/>
      <c r="AH195" s="53" t="s">
        <f>IFERROR(VLOOKUP(AI195,'索引'!$C$3:$D$8,2,FALSE),"")</f>
        <v>126</v>
      </c>
      <c r="AI195" s="58"/>
      <c r="AJ195" s="64"/>
      <c r="AK195" s="56"/>
      <c r="AL195" s="62"/>
      <c r="AM195" s="63" t="s">
        <f>IF(AJ195&lt;&gt;0,AJ195,"")</f>
        <v>126</v>
      </c>
      <c r="AN195" s="51" t="s">
        <f>IFERROR(VLOOKUP(AO195,'索引'!$I:$J,2,FALSE),"")</f>
        <v>126</v>
      </c>
      <c r="AO195" s="56"/>
      <c r="AP195" s="63" t="s">
        <f>IF(AJ195&lt;&gt;0,AJ195,"")</f>
        <v>126</v>
      </c>
      <c r="AQ195" s="56" t="s">
        <f>IFERROR(VLOOKUP('员工报销单模板'!AR195,'项目中心'!C:D,2,FALSE),"")</f>
        <v>126</v>
      </c>
      <c r="AR195" s="56"/>
      <c r="AS195" s="56"/>
    </row>
    <row r="196" s="24" customFormat="1" ht="14.100000000000001" customHeight="1">
      <c r="AB196" s="51" t="s">
        <f>IFERROR(VLOOKUP('员工报销单模板'!AC196,'索引'!$A$1:$B$62,2,FALSE),"")</f>
        <v>126</v>
      </c>
      <c r="AC196" s="58"/>
      <c r="AD196" s="59"/>
      <c r="AE196" s="59"/>
      <c r="AF196" s="56"/>
      <c r="AG196" s="60"/>
      <c r="AH196" s="53" t="s">
        <f>IFERROR(VLOOKUP(AI196,'索引'!$C$3:$D$8,2,FALSE),"")</f>
        <v>126</v>
      </c>
      <c r="AI196" s="58"/>
      <c r="AJ196" s="64"/>
      <c r="AK196" s="56"/>
      <c r="AL196" s="62"/>
      <c r="AM196" s="63" t="s">
        <f>IF(AJ196&lt;&gt;0,AJ196,"")</f>
        <v>126</v>
      </c>
      <c r="AN196" s="51" t="s">
        <f>IFERROR(VLOOKUP(AO196,'索引'!$I:$J,2,FALSE),"")</f>
        <v>126</v>
      </c>
      <c r="AO196" s="56"/>
      <c r="AP196" s="63" t="s">
        <f>IF(AJ196&lt;&gt;0,AJ196,"")</f>
        <v>126</v>
      </c>
      <c r="AQ196" s="56" t="s">
        <f>IFERROR(VLOOKUP('员工报销单模板'!AR196,'项目中心'!C:D,2,FALSE),"")</f>
        <v>126</v>
      </c>
      <c r="AR196" s="56"/>
      <c r="AS196" s="56"/>
    </row>
    <row r="197" s="24" customFormat="1" ht="14.100000000000001" customHeight="1">
      <c r="AB197" s="51" t="s">
        <f>IFERROR(VLOOKUP('员工报销单模板'!AC197,'索引'!$A$1:$B$62,2,FALSE),"")</f>
        <v>126</v>
      </c>
      <c r="AC197" s="58"/>
      <c r="AD197" s="59"/>
      <c r="AE197" s="59"/>
      <c r="AF197" s="56"/>
      <c r="AG197" s="60"/>
      <c r="AH197" s="53" t="s">
        <f>IFERROR(VLOOKUP(AI197,'索引'!$C$3:$D$8,2,FALSE),"")</f>
        <v>126</v>
      </c>
      <c r="AI197" s="58"/>
      <c r="AJ197" s="64"/>
      <c r="AK197" s="56"/>
      <c r="AL197" s="62"/>
      <c r="AM197" s="63" t="s">
        <f>IF(AJ197&lt;&gt;0,AJ197,"")</f>
        <v>126</v>
      </c>
      <c r="AN197" s="51" t="s">
        <f>IFERROR(VLOOKUP(AO197,'索引'!$I:$J,2,FALSE),"")</f>
        <v>126</v>
      </c>
      <c r="AO197" s="56"/>
      <c r="AP197" s="63" t="s">
        <f>IF(AJ197&lt;&gt;0,AJ197,"")</f>
        <v>126</v>
      </c>
      <c r="AQ197" s="56" t="s">
        <f>IFERROR(VLOOKUP('员工报销单模板'!AR197,'项目中心'!C:D,2,FALSE),"")</f>
        <v>126</v>
      </c>
      <c r="AR197" s="56"/>
      <c r="AS197" s="56"/>
    </row>
    <row r="198" s="24" customFormat="1" ht="14.100000000000001" customHeight="1">
      <c r="AB198" s="51" t="s">
        <f>IFERROR(VLOOKUP('员工报销单模板'!AC198,'索引'!$A$1:$B$62,2,FALSE),"")</f>
        <v>126</v>
      </c>
      <c r="AC198" s="58"/>
      <c r="AD198" s="59"/>
      <c r="AE198" s="59"/>
      <c r="AF198" s="56"/>
      <c r="AG198" s="60"/>
      <c r="AH198" s="53" t="s">
        <f>IFERROR(VLOOKUP(AI198,'索引'!$C$3:$D$8,2,FALSE),"")</f>
        <v>126</v>
      </c>
      <c r="AI198" s="58"/>
      <c r="AJ198" s="64"/>
      <c r="AK198" s="56"/>
      <c r="AL198" s="62"/>
      <c r="AM198" s="63" t="s">
        <f>IF(AJ198&lt;&gt;0,AJ198,"")</f>
        <v>126</v>
      </c>
      <c r="AN198" s="51" t="s">
        <f>IFERROR(VLOOKUP(AO198,'索引'!$I:$J,2,FALSE),"")</f>
        <v>126</v>
      </c>
      <c r="AO198" s="56"/>
      <c r="AP198" s="63" t="s">
        <f>IF(AJ198&lt;&gt;0,AJ198,"")</f>
        <v>126</v>
      </c>
      <c r="AQ198" s="56" t="s">
        <f>IFERROR(VLOOKUP('员工报销单模板'!AR198,'项目中心'!C:D,2,FALSE),"")</f>
        <v>126</v>
      </c>
      <c r="AR198" s="56"/>
      <c r="AS198" s="56"/>
    </row>
    <row r="199" s="24" customFormat="1" ht="14.100000000000001" customHeight="1">
      <c r="AB199" s="51" t="s">
        <f>IFERROR(VLOOKUP('员工报销单模板'!AC199,'索引'!$A$1:$B$62,2,FALSE),"")</f>
        <v>126</v>
      </c>
      <c r="AC199" s="58"/>
      <c r="AD199" s="59"/>
      <c r="AE199" s="59"/>
      <c r="AF199" s="56"/>
      <c r="AG199" s="60"/>
      <c r="AH199" s="53" t="s">
        <f>IFERROR(VLOOKUP(AI199,'索引'!$C$3:$D$8,2,FALSE),"")</f>
        <v>126</v>
      </c>
      <c r="AI199" s="58"/>
      <c r="AJ199" s="64"/>
      <c r="AK199" s="56"/>
      <c r="AL199" s="62"/>
      <c r="AM199" s="63" t="s">
        <f>IF(AJ199&lt;&gt;0,AJ199,"")</f>
        <v>126</v>
      </c>
      <c r="AN199" s="51" t="s">
        <f>IFERROR(VLOOKUP(AO199,'索引'!$I:$J,2,FALSE),"")</f>
        <v>126</v>
      </c>
      <c r="AO199" s="56"/>
      <c r="AP199" s="63" t="s">
        <f>IF(AJ199&lt;&gt;0,AJ199,"")</f>
        <v>126</v>
      </c>
      <c r="AQ199" s="56" t="s">
        <f>IFERROR(VLOOKUP('员工报销单模板'!AR199,'项目中心'!C:D,2,FALSE),"")</f>
        <v>126</v>
      </c>
      <c r="AR199" s="56"/>
      <c r="AS199" s="56"/>
    </row>
    <row r="200" s="24" customFormat="1" ht="14.100000000000001" customHeight="1">
      <c r="AB200" s="51" t="s">
        <f>IFERROR(VLOOKUP('员工报销单模板'!AC200,'索引'!$A$1:$B$62,2,FALSE),"")</f>
        <v>126</v>
      </c>
      <c r="AC200" s="58"/>
      <c r="AD200" s="59"/>
      <c r="AE200" s="59"/>
      <c r="AF200" s="56"/>
      <c r="AG200" s="60"/>
      <c r="AH200" s="53" t="s">
        <f>IFERROR(VLOOKUP(AI200,'索引'!$C$3:$D$8,2,FALSE),"")</f>
        <v>126</v>
      </c>
      <c r="AI200" s="58"/>
      <c r="AJ200" s="64"/>
      <c r="AK200" s="56"/>
      <c r="AL200" s="62"/>
      <c r="AM200" s="63" t="s">
        <f>IF(AJ200&lt;&gt;0,AJ200,"")</f>
        <v>126</v>
      </c>
      <c r="AN200" s="51" t="s">
        <f>IFERROR(VLOOKUP(AO200,'索引'!$I:$J,2,FALSE),"")</f>
        <v>126</v>
      </c>
      <c r="AO200" s="56"/>
      <c r="AP200" s="63" t="s">
        <f>IF(AJ200&lt;&gt;0,AJ200,"")</f>
        <v>126</v>
      </c>
      <c r="AQ200" s="56" t="s">
        <f>IFERROR(VLOOKUP('员工报销单模板'!AR200,'项目中心'!C:D,2,FALSE),"")</f>
        <v>126</v>
      </c>
      <c r="AR200" s="56"/>
      <c r="AS200" s="56"/>
    </row>
    <row r="201" s="25" customFormat="1" ht="14.100000000000001" customHeight="1">
      <c r="AA201" s="25" t="s">
        <v>148</v>
      </c>
      <c r="AB201" s="65"/>
      <c r="AH201" s="25" t="s">
        <f>IFERROR(VLOOKUP(AI201,#REF!,2,FALSE),"")</f>
        <v>126</v>
      </c>
      <c r="AJ201" s="66"/>
      <c r="AK201" s="66"/>
      <c r="AL201" s="65"/>
      <c r="AM201" s="67"/>
      <c r="AN201" s="65"/>
      <c r="AP201" s="65"/>
      <c r="AQ201" s="65"/>
    </row>
  </sheetData>
  <mergeCells count="1">
    <mergeCell ref="V2:Y2"/>
  </mergeCells>
  <phoneticPr fontId="1" type="noConversion"/>
  <conditionalFormatting sqref="AB1 AB3:AB201">
    <cfRule priority="2" type="containsErrors" dxfId="0">
      <formula>ISERROR(AB1)</formula>
    </cfRule>
  </conditionalFormatting>
  <conditionalFormatting sqref="AE1:AF1">
    <cfRule priority="1" type="containsErrors" dxfId="0">
      <formula>ISERROR(AE1)</formula>
    </cfRule>
  </conditionalFormatting>
  <dataValidations count="8">
    <dataValidation type="list" allowBlank="1" showInputMessage="1" sqref="L5 AO5:AO200">
      <formula1>'索引'!$I$1:$I$186</formula1>
    </dataValidation>
    <dataValidation type="list" allowBlank="1" showInputMessage="1" sqref="AR5">
      <formula1>'项目中心'!$C$2:$C$5000</formula1>
    </dataValidation>
    <dataValidation type="list" allowBlank="1" showInputMessage="1" showErrorMessage="1" sqref="AI5:AI200">
      <formula1>'索引'!$C$3:$C$8</formula1>
    </dataValidation>
    <dataValidation type="list" allowBlank="1" showInputMessage="1" showErrorMessage="1" sqref="AK5:AK200">
      <formula1>'索引'!$E$3:$E$8</formula1>
    </dataValidation>
    <dataValidation type="list" allowBlank="1" showInputMessage="1" showErrorMessage="1" sqref="G5">
      <formula1>'索引'!$M$1:$M$4</formula1>
    </dataValidation>
    <dataValidation type="list" allowBlank="1" showInputMessage="1" showErrorMessage="1" sqref="AC201:AC1048576">
      <formula1>'索引'!$A$13:$A$15</formula1>
    </dataValidation>
    <dataValidation type="list" allowBlank="1" showInputMessage="1" sqref="AR6:AR200">
      <formula1>'项目中心'!$E$2:$E$3071</formula1>
    </dataValidation>
    <dataValidation type="list" allowBlank="1" showInputMessage="1" showErrorMessage="1" sqref="AC5:AC200">
      <formula1>'索引'!$A$1:$A$62</formula1>
    </dataValidation>
  </dataValidations>
  <hyperlinks>
    <hyperlink ref="AR3" location="'项目中心'!A1" display="F_DH_Project#Name"/>
    <hyperlink ref="AR4" location="'项目中心'!A1" display="(报销明细)项目中心#名称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8.8330078125" defaultRowHeight="14.100000000000001" customHeight="1"/>
  <cols>
    <col min="1" max="1" width="18.9990234375" customWidth="1" style="20"/>
    <col min="2" max="2" width="20.1650390625" customWidth="1" style="19"/>
    <col min="3" max="3" width="21.498046875" customWidth="1" style="19"/>
    <col min="4" max="4" width="19.166015625" customWidth="1" style="19"/>
    <col min="5" max="5" width="24" customWidth="1" style="20"/>
    <col min="6" max="6" width="25.998046875" customWidth="1" style="20"/>
    <col min="7" max="40" width="8.666015625" style="20"/>
  </cols>
  <sheetData>
    <row r="1" ht="14.100000000000001" customHeight="1">
      <c r="B1" s="19" t="s">
        <v>149</v>
      </c>
      <c r="C1" s="19" t="s">
        <v>150</v>
      </c>
      <c r="D1" s="19" t="s">
        <v>149</v>
      </c>
    </row>
    <row r="2" ht="14.100000000000001" customHeight="1">
      <c r="B2" s="20" t="s">
        <v>151</v>
      </c>
      <c r="C2" s="20" t="s">
        <v>152</v>
      </c>
      <c r="D2" s="20" t="s">
        <v>151</v>
      </c>
      <c r="E2" s="20" t="e">
        <f t="array" ref="E2">INDEX(C:C,SMALL(IF(ISNUMBER(FIND(CELL("contents"),$C$2:$C$4852)),ROW($C$2:$C$4852),4^8),ROW(C2)))&amp;""</f>
        <v>#N/A</v>
      </c>
    </row>
    <row r="3" ht="14.100000000000001" customHeight="1">
      <c r="B3" s="20" t="s">
        <v>153</v>
      </c>
      <c r="C3" s="20" t="s">
        <v>154</v>
      </c>
      <c r="D3" s="20" t="s">
        <v>153</v>
      </c>
      <c r="E3" s="20" t="e">
        <f t="array" ref="E3">INDEX(C:C,SMALL(IF(ISNUMBER(FIND(CELL("contents"),$C$2:$C$4852)),ROW($C$2:$C$4852),4^8),ROW(C3)))&amp;""</f>
        <v>#N/A</v>
      </c>
    </row>
    <row r="4" ht="14.100000000000001" customHeight="1">
      <c r="B4" s="20" t="s">
        <v>155</v>
      </c>
      <c r="C4" s="20" t="s">
        <v>156</v>
      </c>
      <c r="D4" s="20" t="s">
        <v>155</v>
      </c>
      <c r="E4" s="20" t="e">
        <f t="array" ref="E4">INDEX(C:C,SMALL(IF(ISNUMBER(FIND(CELL("contents"),$C$2:$C$4852)),ROW($C$2:$C$4852),4^8),ROW(C4)))&amp;""</f>
        <v>#N/A</v>
      </c>
    </row>
    <row r="5" ht="14.100000000000001" customHeight="1">
      <c r="B5" s="20" t="s">
        <v>157</v>
      </c>
      <c r="C5" s="20" t="s">
        <v>158</v>
      </c>
      <c r="D5" s="20" t="s">
        <v>157</v>
      </c>
      <c r="E5" s="20" t="e">
        <f t="array" ref="E5">INDEX(C:C,SMALL(IF(ISNUMBER(FIND(CELL("contents"),$C$2:$C$4852)),ROW($C$2:$C$4852),4^8),ROW(C5)))&amp;""</f>
        <v>#N/A</v>
      </c>
    </row>
    <row r="6" ht="14.100000000000001" customHeight="1">
      <c r="B6" s="20" t="s">
        <v>159</v>
      </c>
      <c r="C6" s="20" t="s">
        <v>160</v>
      </c>
      <c r="D6" s="20" t="s">
        <v>159</v>
      </c>
      <c r="E6" s="20" t="e">
        <f t="array" ref="E6">INDEX(C:C,SMALL(IF(ISNUMBER(FIND(CELL("contents"),$C$2:$C$4852)),ROW($C$2:$C$4852),4^8),ROW(C6)))&amp;""</f>
        <v>#N/A</v>
      </c>
    </row>
    <row r="7" ht="14.100000000000001" customHeight="1">
      <c r="B7" s="20" t="s">
        <v>161</v>
      </c>
      <c r="C7" s="20" t="s">
        <v>162</v>
      </c>
      <c r="D7" s="20" t="s">
        <v>161</v>
      </c>
      <c r="E7" s="20" t="e">
        <f t="array" ref="E7">INDEX(C:C,SMALL(IF(ISNUMBER(FIND(CELL("contents"),$C$2:$C$4852)),ROW($C$2:$C$4852),4^8),ROW(C7)))&amp;""</f>
        <v>#N/A</v>
      </c>
    </row>
    <row r="8" ht="14.100000000000001" customHeight="1">
      <c r="B8" s="20" t="s">
        <v>163</v>
      </c>
      <c r="C8" s="20" t="s">
        <v>164</v>
      </c>
      <c r="D8" s="20" t="s">
        <v>163</v>
      </c>
      <c r="E8" s="20" t="e">
        <f t="array" ref="E8">INDEX(C:C,SMALL(IF(ISNUMBER(FIND(CELL("contents"),$C$2:$C$4852)),ROW($C$2:$C$4852),4^8),ROW(C8)))&amp;""</f>
        <v>#N/A</v>
      </c>
    </row>
    <row r="9" ht="14.100000000000001" customHeight="1">
      <c r="B9" s="20" t="s">
        <v>165</v>
      </c>
      <c r="C9" s="20" t="s">
        <v>166</v>
      </c>
      <c r="D9" s="20" t="s">
        <v>165</v>
      </c>
      <c r="E9" s="20" t="e">
        <f t="array" ref="E9">INDEX(C:C,SMALL(IF(ISNUMBER(FIND(CELL("contents"),$C$2:$C$4852)),ROW($C$2:$C$4852),4^8),ROW(C9)))&amp;""</f>
        <v>#N/A</v>
      </c>
    </row>
    <row r="10" ht="14.100000000000001" customHeight="1">
      <c r="B10" s="20" t="s">
        <v>167</v>
      </c>
      <c r="C10" s="20" t="s">
        <v>168</v>
      </c>
      <c r="D10" s="20" t="s">
        <v>167</v>
      </c>
      <c r="E10" s="20" t="e">
        <f t="array" ref="E10">INDEX(C:C,SMALL(IF(ISNUMBER(FIND(CELL("contents"),$C$2:$C$4852)),ROW($C$2:$C$4852),4^8),ROW(C10)))&amp;""</f>
        <v>#N/A</v>
      </c>
    </row>
    <row r="11" ht="14.100000000000001" customHeight="1">
      <c r="B11" s="20" t="s">
        <v>169</v>
      </c>
      <c r="C11" s="20" t="s">
        <v>170</v>
      </c>
      <c r="D11" s="20" t="s">
        <v>169</v>
      </c>
      <c r="E11" s="20" t="e">
        <f t="array" ref="E11">INDEX(C:C,SMALL(IF(ISNUMBER(FIND(CELL("contents"),$C$2:$C$4852)),ROW($C$2:$C$4852),4^8),ROW(C11)))&amp;""</f>
        <v>#N/A</v>
      </c>
    </row>
    <row r="12" ht="14.100000000000001" customHeight="1">
      <c r="B12" s="20" t="s">
        <v>171</v>
      </c>
      <c r="C12" s="20" t="s">
        <v>172</v>
      </c>
      <c r="D12" s="20" t="s">
        <v>171</v>
      </c>
      <c r="E12" s="20" t="e">
        <f t="array" ref="E12">INDEX(C:C,SMALL(IF(ISNUMBER(FIND(CELL("contents"),$C$2:$C$4852)),ROW($C$2:$C$4852),4^8),ROW(C12)))&amp;""</f>
        <v>#N/A</v>
      </c>
    </row>
    <row r="13" ht="14.100000000000001" customHeight="1">
      <c r="B13" s="20" t="s">
        <v>173</v>
      </c>
      <c r="C13" s="20" t="s">
        <v>174</v>
      </c>
      <c r="D13" s="20" t="s">
        <v>173</v>
      </c>
      <c r="E13" s="20" t="e">
        <f t="array" ref="E13">INDEX(C:C,SMALL(IF(ISNUMBER(FIND(CELL("contents"),$C$2:$C$4852)),ROW($C$2:$C$4852),4^8),ROW(C13)))&amp;""</f>
        <v>#N/A</v>
      </c>
    </row>
    <row r="14" ht="14.100000000000001" customHeight="1">
      <c r="B14" s="20" t="s">
        <v>175</v>
      </c>
      <c r="C14" s="20" t="s">
        <v>176</v>
      </c>
      <c r="D14" s="20" t="s">
        <v>175</v>
      </c>
      <c r="E14" s="20" t="e">
        <f t="array" ref="E14">INDEX(C:C,SMALL(IF(ISNUMBER(FIND(CELL("contents"),$C$2:$C$4852)),ROW($C$2:$C$4852),4^8),ROW(C14)))&amp;""</f>
        <v>#N/A</v>
      </c>
    </row>
    <row r="15" ht="14.100000000000001" customHeight="1">
      <c r="B15" s="20" t="s">
        <v>177</v>
      </c>
      <c r="C15" s="20" t="s">
        <v>178</v>
      </c>
      <c r="D15" s="20" t="s">
        <v>177</v>
      </c>
      <c r="E15" s="20" t="e">
        <f t="array" ref="E15">INDEX(C:C,SMALL(IF(ISNUMBER(FIND(CELL("contents"),$C$2:$C$4852)),ROW($C$2:$C$4852),4^8),ROW(C15)))&amp;""</f>
        <v>#N/A</v>
      </c>
    </row>
    <row r="16" ht="14.100000000000001" customHeight="1">
      <c r="B16" s="20" t="s">
        <v>179</v>
      </c>
      <c r="C16" s="20" t="s">
        <v>180</v>
      </c>
      <c r="D16" s="20" t="s">
        <v>179</v>
      </c>
      <c r="E16" s="20" t="e">
        <f t="array" ref="E16">INDEX(C:C,SMALL(IF(ISNUMBER(FIND(CELL("contents"),$C$2:$C$4852)),ROW($C$2:$C$4852),4^8),ROW(C16)))&amp;""</f>
        <v>#N/A</v>
      </c>
    </row>
    <row r="17" ht="14.100000000000001" customHeight="1">
      <c r="B17" s="20" t="s">
        <v>181</v>
      </c>
      <c r="C17" s="20" t="s">
        <v>182</v>
      </c>
      <c r="D17" s="20" t="s">
        <v>181</v>
      </c>
      <c r="E17" s="20" t="e">
        <f t="array" ref="E17">INDEX(C:C,SMALL(IF(ISNUMBER(FIND(CELL("contents"),$C$2:$C$4852)),ROW($C$2:$C$4852),4^8),ROW(C17)))&amp;""</f>
        <v>#N/A</v>
      </c>
    </row>
    <row r="18" ht="14.100000000000001" customHeight="1">
      <c r="B18" s="20" t="s">
        <v>183</v>
      </c>
      <c r="C18" s="20" t="s">
        <v>184</v>
      </c>
      <c r="D18" s="20" t="s">
        <v>183</v>
      </c>
      <c r="E18" s="20" t="e">
        <f t="array" ref="E18">INDEX(C:C,SMALL(IF(ISNUMBER(FIND(CELL("contents"),$C$2:$C$4852)),ROW($C$2:$C$4852),4^8),ROW(C18)))&amp;""</f>
        <v>#N/A</v>
      </c>
    </row>
    <row r="19" ht="14.100000000000001" customHeight="1">
      <c r="B19" s="20" t="s">
        <v>185</v>
      </c>
      <c r="C19" s="20" t="s">
        <v>186</v>
      </c>
      <c r="D19" s="20" t="s">
        <v>185</v>
      </c>
      <c r="E19" s="20" t="e">
        <f t="array" ref="E19">INDEX(C:C,SMALL(IF(ISNUMBER(FIND(CELL("contents"),$C$2:$C$4852)),ROW($C$2:$C$4852),4^8),ROW(C19)))&amp;""</f>
        <v>#N/A</v>
      </c>
    </row>
    <row r="20" ht="14.100000000000001" customHeight="1">
      <c r="B20" s="20" t="s">
        <v>187</v>
      </c>
      <c r="C20" s="20" t="s">
        <v>188</v>
      </c>
      <c r="D20" s="20" t="s">
        <v>187</v>
      </c>
      <c r="E20" s="20" t="e">
        <f t="array" ref="E20">INDEX(C:C,SMALL(IF(ISNUMBER(FIND(CELL("contents"),$C$2:$C$4852)),ROW($C$2:$C$4852),4^8),ROW(C20)))&amp;""</f>
        <v>#N/A</v>
      </c>
    </row>
    <row r="21" ht="14.100000000000001" customHeight="1">
      <c r="B21" s="20" t="s">
        <v>189</v>
      </c>
      <c r="C21" s="20" t="s">
        <v>190</v>
      </c>
      <c r="D21" s="20" t="s">
        <v>189</v>
      </c>
      <c r="E21" s="20" t="e">
        <f t="array" ref="E21">INDEX(C:C,SMALL(IF(ISNUMBER(FIND(CELL("contents"),$C$2:$C$4852)),ROW($C$2:$C$4852),4^8),ROW(C21)))&amp;""</f>
        <v>#N/A</v>
      </c>
    </row>
    <row r="22" ht="14.100000000000001" customHeight="1">
      <c r="B22" s="20" t="s">
        <v>191</v>
      </c>
      <c r="C22" s="20" t="s">
        <v>192</v>
      </c>
      <c r="D22" s="20" t="s">
        <v>191</v>
      </c>
      <c r="E22" s="20" t="e">
        <f t="array" ref="E22">INDEX(C:C,SMALL(IF(ISNUMBER(FIND(CELL("contents"),$C$2:$C$4852)),ROW($C$2:$C$4852),4^8),ROW(C22)))&amp;""</f>
        <v>#N/A</v>
      </c>
    </row>
    <row r="23" ht="14.100000000000001" customHeight="1">
      <c r="B23" s="20" t="s">
        <v>193</v>
      </c>
      <c r="C23" s="20" t="s">
        <v>194</v>
      </c>
      <c r="D23" s="20" t="s">
        <v>193</v>
      </c>
      <c r="E23" s="20" t="e">
        <f t="array" ref="E23">INDEX(C:C,SMALL(IF(ISNUMBER(FIND(CELL("contents"),$C$2:$C$4852)),ROW($C$2:$C$4852),4^8),ROW(C23)))&amp;""</f>
        <v>#N/A</v>
      </c>
    </row>
    <row r="24" ht="14.100000000000001" customHeight="1">
      <c r="B24" s="20" t="s">
        <v>195</v>
      </c>
      <c r="C24" s="20" t="s">
        <v>196</v>
      </c>
      <c r="D24" s="20" t="s">
        <v>195</v>
      </c>
      <c r="E24" s="20" t="e">
        <f t="array" ref="E24">INDEX(C:C,SMALL(IF(ISNUMBER(FIND(CELL("contents"),$C$2:$C$4852)),ROW($C$2:$C$4852),4^8),ROW(C24)))&amp;""</f>
        <v>#N/A</v>
      </c>
    </row>
    <row r="25" ht="14.100000000000001" customHeight="1">
      <c r="B25" s="20" t="s">
        <v>197</v>
      </c>
      <c r="C25" s="20" t="s">
        <v>198</v>
      </c>
      <c r="D25" s="20" t="s">
        <v>197</v>
      </c>
      <c r="E25" s="20" t="e">
        <f t="array" ref="E25">INDEX(C:C,SMALL(IF(ISNUMBER(FIND(CELL("contents"),$C$2:$C$4852)),ROW($C$2:$C$4852),4^8),ROW(C25)))&amp;""</f>
        <v>#N/A</v>
      </c>
    </row>
    <row r="26" ht="14.100000000000001" customHeight="1">
      <c r="B26" s="20" t="s">
        <v>199</v>
      </c>
      <c r="C26" s="20" t="s">
        <v>200</v>
      </c>
      <c r="D26" s="20" t="s">
        <v>199</v>
      </c>
      <c r="E26" s="20" t="e">
        <f t="array" ref="E26">INDEX(C:C,SMALL(IF(ISNUMBER(FIND(CELL("contents"),$C$2:$C$4852)),ROW($C$2:$C$4852),4^8),ROW(C26)))&amp;""</f>
        <v>#N/A</v>
      </c>
    </row>
    <row r="27" ht="14.100000000000001" customHeight="1">
      <c r="B27" s="20" t="s">
        <v>201</v>
      </c>
      <c r="C27" s="20" t="s">
        <v>202</v>
      </c>
      <c r="D27" s="20" t="s">
        <v>201</v>
      </c>
      <c r="E27" s="20" t="e">
        <f t="array" ref="E27">INDEX(C:C,SMALL(IF(ISNUMBER(FIND(CELL("contents"),$C$2:$C$4852)),ROW($C$2:$C$4852),4^8),ROW(C27)))&amp;""</f>
        <v>#N/A</v>
      </c>
    </row>
    <row r="28" ht="14.100000000000001" customHeight="1">
      <c r="B28" s="20" t="s">
        <v>203</v>
      </c>
      <c r="C28" s="20" t="s">
        <v>204</v>
      </c>
      <c r="D28" s="20" t="s">
        <v>203</v>
      </c>
      <c r="E28" s="20" t="e">
        <f t="array" ref="E28">INDEX(C:C,SMALL(IF(ISNUMBER(FIND(CELL("contents"),$C$2:$C$4852)),ROW($C$2:$C$4852),4^8),ROW(C28)))&amp;""</f>
        <v>#N/A</v>
      </c>
    </row>
    <row r="29" ht="14.100000000000001" customHeight="1">
      <c r="B29" s="20" t="s">
        <v>205</v>
      </c>
      <c r="C29" s="20" t="s">
        <v>206</v>
      </c>
      <c r="D29" s="20" t="s">
        <v>205</v>
      </c>
      <c r="E29" s="20" t="e">
        <f t="array" ref="E29">INDEX(C:C,SMALL(IF(ISNUMBER(FIND(CELL("contents"),$C$2:$C$4852)),ROW($C$2:$C$4852),4^8),ROW(C29)))&amp;""</f>
        <v>#N/A</v>
      </c>
    </row>
    <row r="30" ht="14.100000000000001" customHeight="1">
      <c r="B30" s="20" t="s">
        <v>207</v>
      </c>
      <c r="C30" s="20" t="s">
        <v>208</v>
      </c>
      <c r="D30" s="20" t="s">
        <v>207</v>
      </c>
      <c r="E30" s="20" t="e">
        <f t="array" ref="E30">INDEX(C:C,SMALL(IF(ISNUMBER(FIND(CELL("contents"),$C$2:$C$4852)),ROW($C$2:$C$4852),4^8),ROW(C30)))&amp;""</f>
        <v>#N/A</v>
      </c>
    </row>
    <row r="31" ht="14.100000000000001" customHeight="1">
      <c r="B31" s="20" t="s">
        <v>209</v>
      </c>
      <c r="C31" s="20" t="s">
        <v>210</v>
      </c>
      <c r="D31" s="20" t="s">
        <v>209</v>
      </c>
      <c r="E31" s="20" t="e">
        <f t="array" ref="E31">INDEX(C:C,SMALL(IF(ISNUMBER(FIND(CELL("contents"),$C$2:$C$4852)),ROW($C$2:$C$4852),4^8),ROW(C31)))&amp;""</f>
        <v>#N/A</v>
      </c>
    </row>
    <row r="32" ht="14.100000000000001" customHeight="1">
      <c r="B32" s="20" t="s">
        <v>211</v>
      </c>
      <c r="C32" s="20" t="s">
        <v>212</v>
      </c>
      <c r="D32" s="20" t="s">
        <v>211</v>
      </c>
      <c r="E32" s="20" t="e">
        <f t="array" ref="E32">INDEX(C:C,SMALL(IF(ISNUMBER(FIND(CELL("contents"),$C$2:$C$4852)),ROW($C$2:$C$4852),4^8),ROW(C32)))&amp;""</f>
        <v>#N/A</v>
      </c>
    </row>
    <row r="33" ht="14.100000000000001" customHeight="1">
      <c r="B33" s="20" t="s">
        <v>213</v>
      </c>
      <c r="C33" s="20" t="s">
        <v>214</v>
      </c>
      <c r="D33" s="20" t="s">
        <v>213</v>
      </c>
      <c r="E33" s="20" t="e">
        <f t="array" ref="E33">INDEX(C:C,SMALL(IF(ISNUMBER(FIND(CELL("contents"),$C$2:$C$4852)),ROW($C$2:$C$4852),4^8),ROW(C33)))&amp;""</f>
        <v>#N/A</v>
      </c>
    </row>
    <row r="34" ht="14.100000000000001" customHeight="1">
      <c r="B34" s="20" t="s">
        <v>215</v>
      </c>
      <c r="C34" s="20" t="s">
        <v>216</v>
      </c>
      <c r="D34" s="20" t="s">
        <v>215</v>
      </c>
      <c r="E34" s="20" t="e">
        <f t="array" ref="E34">INDEX(C:C,SMALL(IF(ISNUMBER(FIND(CELL("contents"),$C$2:$C$4852)),ROW($C$2:$C$4852),4^8),ROW(C34)))&amp;""</f>
        <v>#N/A</v>
      </c>
    </row>
    <row r="35" ht="14.100000000000001" customHeight="1">
      <c r="B35" s="20" t="s">
        <v>217</v>
      </c>
      <c r="C35" s="20" t="s">
        <v>218</v>
      </c>
      <c r="D35" s="20" t="s">
        <v>217</v>
      </c>
      <c r="E35" s="20" t="e">
        <f t="array" ref="E35">INDEX(C:C,SMALL(IF(ISNUMBER(FIND(CELL("contents"),$C$2:$C$4852)),ROW($C$2:$C$4852),4^8),ROW(C35)))&amp;""</f>
        <v>#N/A</v>
      </c>
    </row>
    <row r="36" ht="14.100000000000001" customHeight="1">
      <c r="B36" s="20" t="s">
        <v>219</v>
      </c>
      <c r="C36" s="20" t="s">
        <v>220</v>
      </c>
      <c r="D36" s="20" t="s">
        <v>219</v>
      </c>
      <c r="E36" s="20" t="e">
        <f t="array" ref="E36">INDEX(C:C,SMALL(IF(ISNUMBER(FIND(CELL("contents"),$C$2:$C$4852)),ROW($C$2:$C$4852),4^8),ROW(C36)))&amp;""</f>
        <v>#N/A</v>
      </c>
    </row>
    <row r="37" ht="14.100000000000001" customHeight="1">
      <c r="B37" s="20" t="s">
        <v>221</v>
      </c>
      <c r="C37" s="20" t="s">
        <v>222</v>
      </c>
      <c r="D37" s="20" t="s">
        <v>221</v>
      </c>
      <c r="E37" s="20" t="e">
        <f t="array" ref="E37">INDEX(C:C,SMALL(IF(ISNUMBER(FIND(CELL("contents"),$C$2:$C$4852)),ROW($C$2:$C$4852),4^8),ROW(C37)))&amp;""</f>
        <v>#N/A</v>
      </c>
    </row>
    <row r="38" ht="14.100000000000001" customHeight="1">
      <c r="B38" s="20" t="s">
        <v>223</v>
      </c>
      <c r="C38" s="20" t="s">
        <v>224</v>
      </c>
      <c r="D38" s="20" t="s">
        <v>223</v>
      </c>
      <c r="E38" s="20" t="e">
        <f t="array" ref="E38">INDEX(C:C,SMALL(IF(ISNUMBER(FIND(CELL("contents"),$C$2:$C$4852)),ROW($C$2:$C$4852),4^8),ROW(C38)))&amp;""</f>
        <v>#N/A</v>
      </c>
    </row>
    <row r="39" ht="14.100000000000001" customHeight="1">
      <c r="B39" s="20" t="s">
        <v>225</v>
      </c>
      <c r="C39" s="20" t="s">
        <v>226</v>
      </c>
      <c r="D39" s="20" t="s">
        <v>225</v>
      </c>
      <c r="E39" s="20" t="e">
        <f t="array" ref="E39">INDEX(C:C,SMALL(IF(ISNUMBER(FIND(CELL("contents"),$C$2:$C$4852)),ROW($C$2:$C$4852),4^8),ROW(C39)))&amp;""</f>
        <v>#N/A</v>
      </c>
    </row>
    <row r="40" ht="14.100000000000001" customHeight="1">
      <c r="B40" s="20" t="s">
        <v>227</v>
      </c>
      <c r="C40" s="20" t="s">
        <v>228</v>
      </c>
      <c r="D40" s="20" t="s">
        <v>227</v>
      </c>
      <c r="E40" s="20" t="e">
        <f t="array" ref="E40">INDEX(C:C,SMALL(IF(ISNUMBER(FIND(CELL("contents"),$C$2:$C$4852)),ROW($C$2:$C$4852),4^8),ROW(C40)))&amp;""</f>
        <v>#N/A</v>
      </c>
    </row>
    <row r="41" ht="14.100000000000001" customHeight="1">
      <c r="B41" s="20" t="s">
        <v>229</v>
      </c>
      <c r="C41" s="20" t="s">
        <v>230</v>
      </c>
      <c r="D41" s="20" t="s">
        <v>229</v>
      </c>
      <c r="E41" s="20" t="e">
        <f t="array" ref="E41">INDEX(C:C,SMALL(IF(ISNUMBER(FIND(CELL("contents"),$C$2:$C$4852)),ROW($C$2:$C$4852),4^8),ROW(C41)))&amp;""</f>
        <v>#N/A</v>
      </c>
    </row>
    <row r="42" ht="14.100000000000001" customHeight="1">
      <c r="B42" s="20" t="s">
        <v>231</v>
      </c>
      <c r="C42" s="20" t="s">
        <v>232</v>
      </c>
      <c r="D42" s="20" t="s">
        <v>231</v>
      </c>
      <c r="E42" s="20" t="e">
        <f t="array" ref="E42">INDEX(C:C,SMALL(IF(ISNUMBER(FIND(CELL("contents"),$C$2:$C$4852)),ROW($C$2:$C$4852),4^8),ROW(C42)))&amp;""</f>
        <v>#N/A</v>
      </c>
    </row>
    <row r="43" ht="14.100000000000001" customHeight="1">
      <c r="B43" s="20" t="s">
        <v>233</v>
      </c>
      <c r="C43" s="20" t="s">
        <v>234</v>
      </c>
      <c r="D43" s="20" t="s">
        <v>233</v>
      </c>
      <c r="E43" s="20" t="e">
        <f t="array" ref="E43">INDEX(C:C,SMALL(IF(ISNUMBER(FIND(CELL("contents"),$C$2:$C$4852)),ROW($C$2:$C$4852),4^8),ROW(C43)))&amp;""</f>
        <v>#N/A</v>
      </c>
    </row>
    <row r="44" ht="14.100000000000001" customHeight="1">
      <c r="B44" s="20" t="s">
        <v>235</v>
      </c>
      <c r="C44" s="20" t="s">
        <v>236</v>
      </c>
      <c r="D44" s="20" t="s">
        <v>235</v>
      </c>
      <c r="E44" s="20" t="e">
        <f t="array" ref="E44">INDEX(C:C,SMALL(IF(ISNUMBER(FIND(CELL("contents"),$C$2:$C$4852)),ROW($C$2:$C$4852),4^8),ROW(C44)))&amp;""</f>
        <v>#N/A</v>
      </c>
    </row>
    <row r="45" ht="14.100000000000001" customHeight="1">
      <c r="B45" s="20" t="s">
        <v>237</v>
      </c>
      <c r="C45" s="20" t="s">
        <v>238</v>
      </c>
      <c r="D45" s="20" t="s">
        <v>237</v>
      </c>
      <c r="E45" s="20" t="e">
        <f t="array" ref="E45">INDEX(C:C,SMALL(IF(ISNUMBER(FIND(CELL("contents"),$C$2:$C$4852)),ROW($C$2:$C$4852),4^8),ROW(C45)))&amp;""</f>
        <v>#N/A</v>
      </c>
    </row>
    <row r="46" ht="14.100000000000001" customHeight="1">
      <c r="B46" s="20" t="s">
        <v>239</v>
      </c>
      <c r="C46" s="20" t="s">
        <v>240</v>
      </c>
      <c r="D46" s="20" t="s">
        <v>239</v>
      </c>
      <c r="E46" s="20" t="e">
        <f t="array" ref="E46">INDEX(C:C,SMALL(IF(ISNUMBER(FIND(CELL("contents"),$C$2:$C$4852)),ROW($C$2:$C$4852),4^8),ROW(C46)))&amp;""</f>
        <v>#N/A</v>
      </c>
    </row>
    <row r="47" ht="14.100000000000001" customHeight="1">
      <c r="B47" s="20" t="s">
        <v>241</v>
      </c>
      <c r="C47" s="20" t="s">
        <v>242</v>
      </c>
      <c r="D47" s="20" t="s">
        <v>241</v>
      </c>
      <c r="E47" s="20" t="e">
        <f t="array" ref="E47">INDEX(C:C,SMALL(IF(ISNUMBER(FIND(CELL("contents"),$C$2:$C$4852)),ROW($C$2:$C$4852),4^8),ROW(C47)))&amp;""</f>
        <v>#N/A</v>
      </c>
    </row>
    <row r="48" ht="14.100000000000001" customHeight="1">
      <c r="B48" s="20" t="s">
        <v>243</v>
      </c>
      <c r="C48" s="20" t="s">
        <v>244</v>
      </c>
      <c r="D48" s="20" t="s">
        <v>243</v>
      </c>
      <c r="E48" s="20" t="e">
        <f t="array" ref="E48">INDEX(C:C,SMALL(IF(ISNUMBER(FIND(CELL("contents"),$C$2:$C$4852)),ROW($C$2:$C$4852),4^8),ROW(C48)))&amp;""</f>
        <v>#N/A</v>
      </c>
    </row>
    <row r="49" ht="14.100000000000001" customHeight="1">
      <c r="B49" s="20" t="s">
        <v>245</v>
      </c>
      <c r="C49" s="20" t="s">
        <v>246</v>
      </c>
      <c r="D49" s="20" t="s">
        <v>245</v>
      </c>
      <c r="E49" s="20" t="e">
        <f t="array" ref="E49">INDEX(C:C,SMALL(IF(ISNUMBER(FIND(CELL("contents"),$C$2:$C$4852)),ROW($C$2:$C$4852),4^8),ROW(C49)))&amp;""</f>
        <v>#N/A</v>
      </c>
    </row>
    <row r="50" ht="14.100000000000001" customHeight="1">
      <c r="B50" s="20" t="s">
        <v>247</v>
      </c>
      <c r="C50" s="20" t="s">
        <v>248</v>
      </c>
      <c r="D50" s="20" t="s">
        <v>247</v>
      </c>
      <c r="E50" s="20" t="e">
        <f t="array" ref="E50">INDEX(C:C,SMALL(IF(ISNUMBER(FIND(CELL("contents"),$C$2:$C$4852)),ROW($C$2:$C$4852),4^8),ROW(C50)))&amp;""</f>
        <v>#N/A</v>
      </c>
    </row>
    <row r="51" ht="14.100000000000001" customHeight="1">
      <c r="B51" s="20" t="s">
        <v>249</v>
      </c>
      <c r="C51" s="20" t="s">
        <v>250</v>
      </c>
      <c r="D51" s="20" t="s">
        <v>249</v>
      </c>
      <c r="E51" s="20" t="e">
        <f t="array" ref="E51">INDEX(C:C,SMALL(IF(ISNUMBER(FIND(CELL("contents"),$C$2:$C$4852)),ROW($C$2:$C$4852),4^8),ROW(C51)))&amp;""</f>
        <v>#N/A</v>
      </c>
    </row>
    <row r="52" ht="14.100000000000001" customHeight="1">
      <c r="B52" s="20" t="s">
        <v>251</v>
      </c>
      <c r="C52" s="20" t="s">
        <v>252</v>
      </c>
      <c r="D52" s="20" t="s">
        <v>251</v>
      </c>
      <c r="E52" s="20" t="e">
        <f t="array" ref="E52">INDEX(C:C,SMALL(IF(ISNUMBER(FIND(CELL("contents"),$C$2:$C$4852)),ROW($C$2:$C$4852),4^8),ROW(C52)))&amp;""</f>
        <v>#N/A</v>
      </c>
    </row>
    <row r="53" ht="14.100000000000001" customHeight="1">
      <c r="B53" s="20" t="s">
        <v>253</v>
      </c>
      <c r="C53" s="20" t="s">
        <v>254</v>
      </c>
      <c r="D53" s="20" t="s">
        <v>253</v>
      </c>
      <c r="E53" s="20" t="e">
        <f t="array" ref="E53">INDEX(C:C,SMALL(IF(ISNUMBER(FIND(CELL("contents"),$C$2:$C$4852)),ROW($C$2:$C$4852),4^8),ROW(C53)))&amp;""</f>
        <v>#N/A</v>
      </c>
    </row>
    <row r="54" ht="14.100000000000001" customHeight="1">
      <c r="B54" s="20" t="s">
        <v>255</v>
      </c>
      <c r="C54" s="20" t="s">
        <v>256</v>
      </c>
      <c r="D54" s="20" t="s">
        <v>255</v>
      </c>
      <c r="E54" s="20" t="e">
        <f t="array" ref="E54">INDEX(C:C,SMALL(IF(ISNUMBER(FIND(CELL("contents"),$C$2:$C$4852)),ROW($C$2:$C$4852),4^8),ROW(C54)))&amp;""</f>
        <v>#N/A</v>
      </c>
    </row>
    <row r="55" ht="14.100000000000001" customHeight="1">
      <c r="B55" s="20" t="s">
        <v>257</v>
      </c>
      <c r="C55" s="20" t="s">
        <v>258</v>
      </c>
      <c r="D55" s="20" t="s">
        <v>257</v>
      </c>
      <c r="E55" s="20" t="e">
        <f t="array" ref="E55">INDEX(C:C,SMALL(IF(ISNUMBER(FIND(CELL("contents"),$C$2:$C$4852)),ROW($C$2:$C$4852),4^8),ROW(C55)))&amp;""</f>
        <v>#N/A</v>
      </c>
    </row>
    <row r="56" ht="14.100000000000001" customHeight="1">
      <c r="B56" s="20" t="s">
        <v>259</v>
      </c>
      <c r="C56" s="20" t="s">
        <v>260</v>
      </c>
      <c r="D56" s="20" t="s">
        <v>259</v>
      </c>
      <c r="E56" s="20" t="e">
        <f t="array" ref="E56">INDEX(C:C,SMALL(IF(ISNUMBER(FIND(CELL("contents"),$C$2:$C$4852)),ROW($C$2:$C$4852),4^8),ROW(C56)))&amp;""</f>
        <v>#N/A</v>
      </c>
    </row>
    <row r="57" ht="14.100000000000001" customHeight="1">
      <c r="B57" s="20" t="s">
        <v>261</v>
      </c>
      <c r="C57" s="20" t="s">
        <v>262</v>
      </c>
      <c r="D57" s="20" t="s">
        <v>261</v>
      </c>
      <c r="E57" s="20" t="e">
        <f t="array" ref="E57">INDEX(C:C,SMALL(IF(ISNUMBER(FIND(CELL("contents"),$C$2:$C$4852)),ROW($C$2:$C$4852),4^8),ROW(C57)))&amp;""</f>
        <v>#N/A</v>
      </c>
    </row>
    <row r="58" ht="14.100000000000001" customHeight="1">
      <c r="B58" s="20" t="s">
        <v>263</v>
      </c>
      <c r="C58" s="20" t="s">
        <v>264</v>
      </c>
      <c r="D58" s="20" t="s">
        <v>263</v>
      </c>
      <c r="E58" s="20" t="e">
        <f t="array" ref="E58">INDEX(C:C,SMALL(IF(ISNUMBER(FIND(CELL("contents"),$C$2:$C$4852)),ROW($C$2:$C$4852),4^8),ROW(C58)))&amp;""</f>
        <v>#N/A</v>
      </c>
    </row>
    <row r="59" ht="14.100000000000001" customHeight="1">
      <c r="B59" s="20" t="s">
        <v>265</v>
      </c>
      <c r="C59" s="20" t="s">
        <v>266</v>
      </c>
      <c r="D59" s="20" t="s">
        <v>265</v>
      </c>
      <c r="E59" s="20" t="e">
        <f t="array" ref="E59">INDEX(C:C,SMALL(IF(ISNUMBER(FIND(CELL("contents"),$C$2:$C$4852)),ROW($C$2:$C$4852),4^8),ROW(C59)))&amp;""</f>
        <v>#N/A</v>
      </c>
    </row>
    <row r="60" ht="14.100000000000001" customHeight="1">
      <c r="B60" s="20" t="s">
        <v>267</v>
      </c>
      <c r="C60" s="20" t="s">
        <v>268</v>
      </c>
      <c r="D60" s="20" t="s">
        <v>267</v>
      </c>
      <c r="E60" s="20" t="e">
        <f t="array" ref="E60">INDEX(C:C,SMALL(IF(ISNUMBER(FIND(CELL("contents"),$C$2:$C$4852)),ROW($C$2:$C$4852),4^8),ROW(C60)))&amp;""</f>
        <v>#N/A</v>
      </c>
    </row>
    <row r="61" ht="14.100000000000001" customHeight="1">
      <c r="B61" s="20" t="s">
        <v>269</v>
      </c>
      <c r="C61" s="20" t="s">
        <v>270</v>
      </c>
      <c r="D61" s="20" t="s">
        <v>269</v>
      </c>
      <c r="E61" s="20" t="e">
        <f t="array" ref="E61">INDEX(C:C,SMALL(IF(ISNUMBER(FIND(CELL("contents"),$C$2:$C$4852)),ROW($C$2:$C$4852),4^8),ROW(C61)))&amp;""</f>
        <v>#N/A</v>
      </c>
    </row>
    <row r="62" ht="14.100000000000001" customHeight="1">
      <c r="B62" s="20" t="s">
        <v>271</v>
      </c>
      <c r="C62" s="20" t="s">
        <v>272</v>
      </c>
      <c r="D62" s="20" t="s">
        <v>271</v>
      </c>
      <c r="E62" s="20" t="e">
        <f t="array" ref="E62">INDEX(C:C,SMALL(IF(ISNUMBER(FIND(CELL("contents"),$C$2:$C$4852)),ROW($C$2:$C$4852),4^8),ROW(C62)))&amp;""</f>
        <v>#N/A</v>
      </c>
    </row>
    <row r="63" ht="14.100000000000001" customHeight="1">
      <c r="B63" s="20" t="s">
        <v>273</v>
      </c>
      <c r="C63" s="20" t="s">
        <v>274</v>
      </c>
      <c r="D63" s="20" t="s">
        <v>273</v>
      </c>
      <c r="E63" s="20" t="e">
        <f t="array" ref="E63">INDEX(C:C,SMALL(IF(ISNUMBER(FIND(CELL("contents"),$C$2:$C$4852)),ROW($C$2:$C$4852),4^8),ROW(C63)))&amp;""</f>
        <v>#N/A</v>
      </c>
    </row>
    <row r="64" ht="14.100000000000001" customHeight="1">
      <c r="B64" s="20" t="s">
        <v>275</v>
      </c>
      <c r="C64" s="20" t="s">
        <v>276</v>
      </c>
      <c r="D64" s="20" t="s">
        <v>275</v>
      </c>
      <c r="E64" s="20" t="e">
        <f t="array" ref="E64">INDEX(C:C,SMALL(IF(ISNUMBER(FIND(CELL("contents"),$C$2:$C$4852)),ROW($C$2:$C$4852),4^8),ROW(C64)))&amp;""</f>
        <v>#N/A</v>
      </c>
    </row>
    <row r="65" ht="14.100000000000001" customHeight="1">
      <c r="B65" s="20" t="s">
        <v>277</v>
      </c>
      <c r="C65" s="20" t="s">
        <v>278</v>
      </c>
      <c r="D65" s="20" t="s">
        <v>277</v>
      </c>
      <c r="E65" s="20" t="e">
        <f t="array" ref="E65">INDEX(C:C,SMALL(IF(ISNUMBER(FIND(CELL("contents"),$C$2:$C$4852)),ROW($C$2:$C$4852),4^8),ROW(C65)))&amp;""</f>
        <v>#N/A</v>
      </c>
    </row>
    <row r="66" ht="14.100000000000001" customHeight="1">
      <c r="B66" s="20" t="s">
        <v>279</v>
      </c>
      <c r="C66" s="20" t="s">
        <v>280</v>
      </c>
      <c r="D66" s="20" t="s">
        <v>279</v>
      </c>
      <c r="E66" s="20" t="e">
        <f t="array" ref="E66">INDEX(C:C,SMALL(IF(ISNUMBER(FIND(CELL("contents"),$C$2:$C$4852)),ROW($C$2:$C$4852),4^8),ROW(C66)))&amp;""</f>
        <v>#N/A</v>
      </c>
    </row>
    <row r="67" ht="14.100000000000001" customHeight="1">
      <c r="B67" s="20" t="s">
        <v>281</v>
      </c>
      <c r="C67" s="20" t="s">
        <v>282</v>
      </c>
      <c r="D67" s="20" t="s">
        <v>281</v>
      </c>
      <c r="E67" s="20" t="e">
        <f t="array" ref="E67">INDEX(C:C,SMALL(IF(ISNUMBER(FIND(CELL("contents"),$C$2:$C$4852)),ROW($C$2:$C$4852),4^8),ROW(C67)))&amp;""</f>
        <v>#N/A</v>
      </c>
    </row>
    <row r="68" ht="14.100000000000001" customHeight="1">
      <c r="B68" s="20" t="s">
        <v>283</v>
      </c>
      <c r="C68" s="20" t="s">
        <v>284</v>
      </c>
      <c r="D68" s="20" t="s">
        <v>283</v>
      </c>
      <c r="E68" s="20" t="e">
        <f t="array" ref="E68">INDEX(C:C,SMALL(IF(ISNUMBER(FIND(CELL("contents"),$C$2:$C$4852)),ROW($C$2:$C$4852),4^8),ROW(C68)))&amp;""</f>
        <v>#N/A</v>
      </c>
    </row>
    <row r="69" ht="14.100000000000001" customHeight="1">
      <c r="B69" s="20" t="s">
        <v>285</v>
      </c>
      <c r="C69" s="20" t="s">
        <v>286</v>
      </c>
      <c r="D69" s="20" t="s">
        <v>285</v>
      </c>
      <c r="E69" s="20" t="e">
        <f t="array" ref="E69">INDEX(C:C,SMALL(IF(ISNUMBER(FIND(CELL("contents"),$C$2:$C$4852)),ROW($C$2:$C$4852),4^8),ROW(C69)))&amp;""</f>
        <v>#N/A</v>
      </c>
    </row>
    <row r="70" ht="14.100000000000001" customHeight="1">
      <c r="B70" s="20" t="s">
        <v>287</v>
      </c>
      <c r="C70" s="20" t="s">
        <v>288</v>
      </c>
      <c r="D70" s="20" t="s">
        <v>287</v>
      </c>
      <c r="E70" s="20" t="e">
        <f t="array" ref="E70">INDEX(C:C,SMALL(IF(ISNUMBER(FIND(CELL("contents"),$C$2:$C$4852)),ROW($C$2:$C$4852),4^8),ROW(C70)))&amp;""</f>
        <v>#N/A</v>
      </c>
    </row>
    <row r="71" ht="14.100000000000001" customHeight="1">
      <c r="B71" s="20" t="s">
        <v>289</v>
      </c>
      <c r="C71" s="20" t="s">
        <v>290</v>
      </c>
      <c r="D71" s="20" t="s">
        <v>289</v>
      </c>
      <c r="E71" s="20" t="e">
        <f t="array" ref="E71">INDEX(C:C,SMALL(IF(ISNUMBER(FIND(CELL("contents"),$C$2:$C$4852)),ROW($C$2:$C$4852),4^8),ROW(C71)))&amp;""</f>
        <v>#N/A</v>
      </c>
    </row>
    <row r="72" ht="14.100000000000001" customHeight="1">
      <c r="B72" s="20" t="s">
        <v>291</v>
      </c>
      <c r="C72" s="20" t="s">
        <v>292</v>
      </c>
      <c r="D72" s="20" t="s">
        <v>291</v>
      </c>
      <c r="E72" s="20" t="e">
        <f t="array" ref="E72">INDEX(C:C,SMALL(IF(ISNUMBER(FIND(CELL("contents"),$C$2:$C$4852)),ROW($C$2:$C$4852),4^8),ROW(C72)))&amp;""</f>
        <v>#N/A</v>
      </c>
    </row>
    <row r="73" ht="14.100000000000001" customHeight="1">
      <c r="B73" s="20" t="s">
        <v>293</v>
      </c>
      <c r="C73" s="20" t="s">
        <v>294</v>
      </c>
      <c r="D73" s="20" t="s">
        <v>293</v>
      </c>
      <c r="E73" s="20" t="e">
        <f t="array" ref="E73">INDEX(C:C,SMALL(IF(ISNUMBER(FIND(CELL("contents"),$C$2:$C$4852)),ROW($C$2:$C$4852),4^8),ROW(C73)))&amp;""</f>
        <v>#N/A</v>
      </c>
    </row>
    <row r="74" ht="14.100000000000001" customHeight="1">
      <c r="B74" s="20" t="s">
        <v>295</v>
      </c>
      <c r="C74" s="20" t="s">
        <v>296</v>
      </c>
      <c r="D74" s="20" t="s">
        <v>295</v>
      </c>
      <c r="E74" s="20" t="e">
        <f t="array" ref="E74">INDEX(C:C,SMALL(IF(ISNUMBER(FIND(CELL("contents"),$C$2:$C$4852)),ROW($C$2:$C$4852),4^8),ROW(C74)))&amp;""</f>
        <v>#N/A</v>
      </c>
    </row>
    <row r="75" ht="14.100000000000001" customHeight="1">
      <c r="B75" s="20" t="s">
        <v>297</v>
      </c>
      <c r="C75" s="20" t="s">
        <v>298</v>
      </c>
      <c r="D75" s="20" t="s">
        <v>297</v>
      </c>
      <c r="E75" s="20" t="e">
        <f t="array" ref="E75">INDEX(C:C,SMALL(IF(ISNUMBER(FIND(CELL("contents"),$C$2:$C$4852)),ROW($C$2:$C$4852),4^8),ROW(C75)))&amp;""</f>
        <v>#N/A</v>
      </c>
    </row>
    <row r="76" ht="14.100000000000001" customHeight="1">
      <c r="B76" s="20" t="s">
        <v>299</v>
      </c>
      <c r="C76" s="20" t="s">
        <v>300</v>
      </c>
      <c r="D76" s="20" t="s">
        <v>299</v>
      </c>
      <c r="E76" s="20" t="e">
        <f t="array" ref="E76">INDEX(C:C,SMALL(IF(ISNUMBER(FIND(CELL("contents"),$C$2:$C$4852)),ROW($C$2:$C$4852),4^8),ROW(C76)))&amp;""</f>
        <v>#N/A</v>
      </c>
    </row>
    <row r="77" ht="14.100000000000001" customHeight="1">
      <c r="B77" s="20" t="s">
        <v>301</v>
      </c>
      <c r="C77" s="20" t="s">
        <v>302</v>
      </c>
      <c r="D77" s="20" t="s">
        <v>301</v>
      </c>
      <c r="E77" s="20" t="e">
        <f t="array" ref="E77">INDEX(C:C,SMALL(IF(ISNUMBER(FIND(CELL("contents"),$C$2:$C$4852)),ROW($C$2:$C$4852),4^8),ROW(C77)))&amp;""</f>
        <v>#N/A</v>
      </c>
    </row>
    <row r="78" ht="14.100000000000001" customHeight="1">
      <c r="B78" s="20" t="s">
        <v>303</v>
      </c>
      <c r="C78" s="20" t="s">
        <v>304</v>
      </c>
      <c r="D78" s="20" t="s">
        <v>303</v>
      </c>
      <c r="E78" s="20" t="e">
        <f t="array" ref="E78">INDEX(C:C,SMALL(IF(ISNUMBER(FIND(CELL("contents"),$C$2:$C$4852)),ROW($C$2:$C$4852),4^8),ROW(C78)))&amp;""</f>
        <v>#N/A</v>
      </c>
    </row>
    <row r="79" ht="14.100000000000001" customHeight="1">
      <c r="B79" s="20" t="s">
        <v>305</v>
      </c>
      <c r="C79" s="20" t="s">
        <v>306</v>
      </c>
      <c r="D79" s="20" t="s">
        <v>305</v>
      </c>
      <c r="E79" s="20" t="e">
        <f t="array" ref="E79">INDEX(C:C,SMALL(IF(ISNUMBER(FIND(CELL("contents"),$C$2:$C$4852)),ROW($C$2:$C$4852),4^8),ROW(C79)))&amp;""</f>
        <v>#N/A</v>
      </c>
    </row>
    <row r="80" ht="14.100000000000001" customHeight="1">
      <c r="B80" s="20" t="s">
        <v>307</v>
      </c>
      <c r="C80" s="20" t="s">
        <v>308</v>
      </c>
      <c r="D80" s="20" t="s">
        <v>307</v>
      </c>
      <c r="E80" s="20" t="e">
        <f t="array" ref="E80">INDEX(C:C,SMALL(IF(ISNUMBER(FIND(CELL("contents"),$C$2:$C$4852)),ROW($C$2:$C$4852),4^8),ROW(C80)))&amp;""</f>
        <v>#N/A</v>
      </c>
    </row>
    <row r="81" ht="14.100000000000001" customHeight="1">
      <c r="B81" s="20" t="s">
        <v>309</v>
      </c>
      <c r="C81" s="20" t="s">
        <v>310</v>
      </c>
      <c r="D81" s="20" t="s">
        <v>309</v>
      </c>
      <c r="E81" s="20" t="e">
        <f t="array" ref="E81">INDEX(C:C,SMALL(IF(ISNUMBER(FIND(CELL("contents"),$C$2:$C$4852)),ROW($C$2:$C$4852),4^8),ROW(C81)))&amp;""</f>
        <v>#N/A</v>
      </c>
    </row>
    <row r="82" ht="14.100000000000001" customHeight="1">
      <c r="B82" s="20" t="s">
        <v>311</v>
      </c>
      <c r="C82" s="20" t="s">
        <v>312</v>
      </c>
      <c r="D82" s="20" t="s">
        <v>311</v>
      </c>
      <c r="E82" s="20" t="e">
        <f t="array" ref="E82">INDEX(C:C,SMALL(IF(ISNUMBER(FIND(CELL("contents"),$C$2:$C$4852)),ROW($C$2:$C$4852),4^8),ROW(C82)))&amp;""</f>
        <v>#N/A</v>
      </c>
    </row>
    <row r="83" ht="14.100000000000001" customHeight="1">
      <c r="B83" s="20" t="s">
        <v>313</v>
      </c>
      <c r="C83" s="20" t="s">
        <v>314</v>
      </c>
      <c r="D83" s="20" t="s">
        <v>313</v>
      </c>
      <c r="E83" s="20" t="e">
        <f t="array" ref="E83">INDEX(C:C,SMALL(IF(ISNUMBER(FIND(CELL("contents"),$C$2:$C$4852)),ROW($C$2:$C$4852),4^8),ROW(C83)))&amp;""</f>
        <v>#N/A</v>
      </c>
    </row>
    <row r="84" ht="14.100000000000001" customHeight="1">
      <c r="B84" s="20" t="s">
        <v>315</v>
      </c>
      <c r="C84" s="20" t="s">
        <v>316</v>
      </c>
      <c r="D84" s="20" t="s">
        <v>315</v>
      </c>
      <c r="E84" s="20" t="e">
        <f t="array" ref="E84">INDEX(C:C,SMALL(IF(ISNUMBER(FIND(CELL("contents"),$C$2:$C$4852)),ROW($C$2:$C$4852),4^8),ROW(C84)))&amp;""</f>
        <v>#N/A</v>
      </c>
    </row>
    <row r="85" ht="14.100000000000001" customHeight="1">
      <c r="B85" s="20" t="s">
        <v>317</v>
      </c>
      <c r="C85" s="20" t="s">
        <v>318</v>
      </c>
      <c r="D85" s="20" t="s">
        <v>317</v>
      </c>
      <c r="E85" s="20" t="e">
        <f t="array" ref="E85">INDEX(C:C,SMALL(IF(ISNUMBER(FIND(CELL("contents"),$C$2:$C$4852)),ROW($C$2:$C$4852),4^8),ROW(C85)))&amp;""</f>
        <v>#N/A</v>
      </c>
    </row>
    <row r="86" ht="14.100000000000001" customHeight="1">
      <c r="B86" s="20" t="s">
        <v>319</v>
      </c>
      <c r="C86" s="20" t="s">
        <v>320</v>
      </c>
      <c r="D86" s="20" t="s">
        <v>319</v>
      </c>
      <c r="E86" s="20" t="e">
        <f t="array" ref="E86">INDEX(C:C,SMALL(IF(ISNUMBER(FIND(CELL("contents"),$C$2:$C$4852)),ROW($C$2:$C$4852),4^8),ROW(C86)))&amp;""</f>
        <v>#N/A</v>
      </c>
    </row>
    <row r="87" ht="14.100000000000001" customHeight="1">
      <c r="B87" s="20" t="s">
        <v>321</v>
      </c>
      <c r="C87" s="20" t="s">
        <v>322</v>
      </c>
      <c r="D87" s="20" t="s">
        <v>321</v>
      </c>
      <c r="E87" s="20" t="e">
        <f t="array" ref="E87">INDEX(C:C,SMALL(IF(ISNUMBER(FIND(CELL("contents"),$C$2:$C$4852)),ROW($C$2:$C$4852),4^8),ROW(C87)))&amp;""</f>
        <v>#N/A</v>
      </c>
    </row>
    <row r="88" ht="14.100000000000001" customHeight="1">
      <c r="B88" s="20" t="s">
        <v>323</v>
      </c>
      <c r="C88" s="20" t="s">
        <v>324</v>
      </c>
      <c r="D88" s="20" t="s">
        <v>323</v>
      </c>
      <c r="E88" s="20" t="e">
        <f t="array" ref="E88">INDEX(C:C,SMALL(IF(ISNUMBER(FIND(CELL("contents"),$C$2:$C$4852)),ROW($C$2:$C$4852),4^8),ROW(C88)))&amp;""</f>
        <v>#N/A</v>
      </c>
    </row>
    <row r="89" ht="14.100000000000001" customHeight="1">
      <c r="B89" s="20" t="s">
        <v>325</v>
      </c>
      <c r="C89" s="20" t="s">
        <v>326</v>
      </c>
      <c r="D89" s="20" t="s">
        <v>325</v>
      </c>
      <c r="E89" s="20" t="e">
        <f t="array" ref="E89">INDEX(C:C,SMALL(IF(ISNUMBER(FIND(CELL("contents"),$C$2:$C$4852)),ROW($C$2:$C$4852),4^8),ROW(C89)))&amp;""</f>
        <v>#N/A</v>
      </c>
    </row>
    <row r="90" ht="14.100000000000001" customHeight="1">
      <c r="B90" s="20" t="s">
        <v>327</v>
      </c>
      <c r="C90" s="20" t="s">
        <v>328</v>
      </c>
      <c r="D90" s="20" t="s">
        <v>327</v>
      </c>
      <c r="E90" s="20" t="e">
        <f t="array" ref="E90">INDEX(C:C,SMALL(IF(ISNUMBER(FIND(CELL("contents"),$C$2:$C$4852)),ROW($C$2:$C$4852),4^8),ROW(C90)))&amp;""</f>
        <v>#N/A</v>
      </c>
    </row>
    <row r="91" ht="14.100000000000001" customHeight="1">
      <c r="B91" s="20" t="s">
        <v>329</v>
      </c>
      <c r="C91" s="20" t="s">
        <v>330</v>
      </c>
      <c r="D91" s="20" t="s">
        <v>329</v>
      </c>
      <c r="E91" s="20" t="e">
        <f t="array" ref="E91">INDEX(C:C,SMALL(IF(ISNUMBER(FIND(CELL("contents"),$C$2:$C$4852)),ROW($C$2:$C$4852),4^8),ROW(C91)))&amp;""</f>
        <v>#N/A</v>
      </c>
    </row>
    <row r="92" ht="14.100000000000001" customHeight="1">
      <c r="B92" s="20" t="s">
        <v>331</v>
      </c>
      <c r="C92" s="20" t="s">
        <v>332</v>
      </c>
      <c r="D92" s="20" t="s">
        <v>331</v>
      </c>
      <c r="E92" s="20" t="e">
        <f t="array" ref="E92">INDEX(C:C,SMALL(IF(ISNUMBER(FIND(CELL("contents"),$C$2:$C$4852)),ROW($C$2:$C$4852),4^8),ROW(C92)))&amp;""</f>
        <v>#N/A</v>
      </c>
    </row>
    <row r="93" ht="14.100000000000001" customHeight="1">
      <c r="B93" s="20" t="s">
        <v>333</v>
      </c>
      <c r="C93" s="20" t="s">
        <v>334</v>
      </c>
      <c r="D93" s="20" t="s">
        <v>333</v>
      </c>
      <c r="E93" s="20" t="e">
        <f t="array" ref="E93">INDEX(C:C,SMALL(IF(ISNUMBER(FIND(CELL("contents"),$C$2:$C$4852)),ROW($C$2:$C$4852),4^8),ROW(C93)))&amp;""</f>
        <v>#N/A</v>
      </c>
    </row>
    <row r="94" ht="14.100000000000001" customHeight="1">
      <c r="B94" s="20" t="s">
        <v>335</v>
      </c>
      <c r="C94" s="20" t="s">
        <v>336</v>
      </c>
      <c r="D94" s="20" t="s">
        <v>335</v>
      </c>
      <c r="E94" s="20" t="e">
        <f t="array" ref="E94">INDEX(C:C,SMALL(IF(ISNUMBER(FIND(CELL("contents"),$C$2:$C$4852)),ROW($C$2:$C$4852),4^8),ROW(C94)))&amp;""</f>
        <v>#N/A</v>
      </c>
    </row>
    <row r="95" ht="14.100000000000001" customHeight="1">
      <c r="B95" s="20" t="s">
        <v>337</v>
      </c>
      <c r="C95" s="20" t="s">
        <v>338</v>
      </c>
      <c r="D95" s="20" t="s">
        <v>337</v>
      </c>
      <c r="E95" s="20" t="e">
        <f t="array" ref="E95">INDEX(C:C,SMALL(IF(ISNUMBER(FIND(CELL("contents"),$C$2:$C$4852)),ROW($C$2:$C$4852),4^8),ROW(C95)))&amp;""</f>
        <v>#N/A</v>
      </c>
    </row>
    <row r="96" ht="14.100000000000001" customHeight="1">
      <c r="B96" s="20" t="s">
        <v>339</v>
      </c>
      <c r="C96" s="20" t="s">
        <v>340</v>
      </c>
      <c r="D96" s="20" t="s">
        <v>339</v>
      </c>
      <c r="E96" s="20" t="e">
        <f t="array" ref="E96">INDEX(C:C,SMALL(IF(ISNUMBER(FIND(CELL("contents"),$C$2:$C$4852)),ROW($C$2:$C$4852),4^8),ROW(C96)))&amp;""</f>
        <v>#N/A</v>
      </c>
    </row>
    <row r="97" ht="14.100000000000001" customHeight="1">
      <c r="B97" s="20" t="s">
        <v>341</v>
      </c>
      <c r="C97" s="20" t="s">
        <v>342</v>
      </c>
      <c r="D97" s="20" t="s">
        <v>341</v>
      </c>
      <c r="E97" s="20" t="e">
        <f t="array" ref="E97">INDEX(C:C,SMALL(IF(ISNUMBER(FIND(CELL("contents"),$C$2:$C$4852)),ROW($C$2:$C$4852),4^8),ROW(C97)))&amp;""</f>
        <v>#N/A</v>
      </c>
    </row>
    <row r="98" ht="14.100000000000001" customHeight="1">
      <c r="B98" s="20" t="s">
        <v>343</v>
      </c>
      <c r="C98" s="20" t="s">
        <v>344</v>
      </c>
      <c r="D98" s="20" t="s">
        <v>343</v>
      </c>
      <c r="E98" s="20" t="e">
        <f t="array" ref="E98">INDEX(C:C,SMALL(IF(ISNUMBER(FIND(CELL("contents"),$C$2:$C$4852)),ROW($C$2:$C$4852),4^8),ROW(C98)))&amp;""</f>
        <v>#N/A</v>
      </c>
    </row>
    <row r="99" ht="14.100000000000001" customHeight="1">
      <c r="B99" s="20" t="s">
        <v>345</v>
      </c>
      <c r="C99" s="20" t="s">
        <v>346</v>
      </c>
      <c r="D99" s="20" t="s">
        <v>345</v>
      </c>
      <c r="E99" s="20" t="e">
        <f t="array" ref="E99">INDEX(C:C,SMALL(IF(ISNUMBER(FIND(CELL("contents"),$C$2:$C$4852)),ROW($C$2:$C$4852),4^8),ROW(C99)))&amp;""</f>
        <v>#N/A</v>
      </c>
    </row>
    <row r="100" ht="14.100000000000001" customHeight="1">
      <c r="B100" s="20" t="s">
        <v>347</v>
      </c>
      <c r="C100" s="20" t="s">
        <v>348</v>
      </c>
      <c r="D100" s="20" t="s">
        <v>347</v>
      </c>
      <c r="E100" s="20" t="e">
        <f t="array" ref="E100">INDEX(C:C,SMALL(IF(ISNUMBER(FIND(CELL("contents"),$C$2:$C$4852)),ROW($C$2:$C$4852),4^8),ROW(C100)))&amp;""</f>
        <v>#N/A</v>
      </c>
    </row>
    <row r="101" ht="14.100000000000001" customHeight="1">
      <c r="B101" s="20" t="s">
        <v>349</v>
      </c>
      <c r="C101" s="20" t="s">
        <v>350</v>
      </c>
      <c r="D101" s="20" t="s">
        <v>349</v>
      </c>
      <c r="E101" s="20" t="e">
        <f t="array" ref="E101">INDEX(C:C,SMALL(IF(ISNUMBER(FIND(CELL("contents"),$C$2:$C$4852)),ROW($C$2:$C$4852),4^8),ROW(C101)))&amp;""</f>
        <v>#N/A</v>
      </c>
    </row>
    <row r="102" ht="14.100000000000001" customHeight="1">
      <c r="B102" s="20" t="s">
        <v>351</v>
      </c>
      <c r="C102" s="20" t="s">
        <v>352</v>
      </c>
      <c r="D102" s="20" t="s">
        <v>351</v>
      </c>
      <c r="E102" s="20" t="e">
        <f t="array" ref="E102">INDEX(C:C,SMALL(IF(ISNUMBER(FIND(CELL("contents"),$C$2:$C$4852)),ROW($C$2:$C$4852),4^8),ROW(C102)))&amp;""</f>
        <v>#N/A</v>
      </c>
    </row>
    <row r="103" ht="14.100000000000001" customHeight="1">
      <c r="B103" s="20" t="s">
        <v>353</v>
      </c>
      <c r="C103" s="20" t="s">
        <v>354</v>
      </c>
      <c r="D103" s="20" t="s">
        <v>353</v>
      </c>
      <c r="E103" s="20" t="e">
        <f t="array" ref="E103">INDEX(C:C,SMALL(IF(ISNUMBER(FIND(CELL("contents"),$C$2:$C$4852)),ROW($C$2:$C$4852),4^8),ROW(C103)))&amp;""</f>
        <v>#N/A</v>
      </c>
    </row>
    <row r="104" ht="14.100000000000001" customHeight="1">
      <c r="B104" s="20" t="s">
        <v>355</v>
      </c>
      <c r="C104" s="20" t="s">
        <v>356</v>
      </c>
      <c r="D104" s="20" t="s">
        <v>355</v>
      </c>
      <c r="E104" s="20" t="e">
        <f t="array" ref="E104">INDEX(C:C,SMALL(IF(ISNUMBER(FIND(CELL("contents"),$C$2:$C$4852)),ROW($C$2:$C$4852),4^8),ROW(C104)))&amp;""</f>
        <v>#N/A</v>
      </c>
    </row>
    <row r="105" ht="14.100000000000001" customHeight="1">
      <c r="B105" s="20" t="s">
        <v>357</v>
      </c>
      <c r="C105" s="20" t="s">
        <v>358</v>
      </c>
      <c r="D105" s="20" t="s">
        <v>357</v>
      </c>
      <c r="E105" s="20" t="e">
        <f t="array" ref="E105">INDEX(C:C,SMALL(IF(ISNUMBER(FIND(CELL("contents"),$C$2:$C$4852)),ROW($C$2:$C$4852),4^8),ROW(C105)))&amp;""</f>
        <v>#N/A</v>
      </c>
    </row>
    <row r="106" ht="14.100000000000001" customHeight="1">
      <c r="B106" s="20" t="s">
        <v>359</v>
      </c>
      <c r="C106" s="20" t="s">
        <v>360</v>
      </c>
      <c r="D106" s="20" t="s">
        <v>359</v>
      </c>
      <c r="E106" s="20" t="e">
        <f t="array" ref="E106">INDEX(C:C,SMALL(IF(ISNUMBER(FIND(CELL("contents"),$C$2:$C$4852)),ROW($C$2:$C$4852),4^8),ROW(C106)))&amp;""</f>
        <v>#N/A</v>
      </c>
    </row>
    <row r="107" ht="14.100000000000001" customHeight="1">
      <c r="B107" s="20" t="s">
        <v>361</v>
      </c>
      <c r="C107" s="20" t="s">
        <v>362</v>
      </c>
      <c r="D107" s="20" t="s">
        <v>361</v>
      </c>
      <c r="E107" s="20" t="e">
        <f t="array" ref="E107">INDEX(C:C,SMALL(IF(ISNUMBER(FIND(CELL("contents"),$C$2:$C$4852)),ROW($C$2:$C$4852),4^8),ROW(C107)))&amp;""</f>
        <v>#N/A</v>
      </c>
    </row>
    <row r="108" ht="14.100000000000001" customHeight="1">
      <c r="B108" s="20" t="s">
        <v>363</v>
      </c>
      <c r="C108" s="20" t="s">
        <v>364</v>
      </c>
      <c r="D108" s="20" t="s">
        <v>363</v>
      </c>
      <c r="E108" s="20" t="e">
        <f t="array" ref="E108">INDEX(C:C,SMALL(IF(ISNUMBER(FIND(CELL("contents"),$C$2:$C$4852)),ROW($C$2:$C$4852),4^8),ROW(C108)))&amp;""</f>
        <v>#N/A</v>
      </c>
    </row>
    <row r="109" ht="14.100000000000001" customHeight="1">
      <c r="B109" s="20" t="s">
        <v>365</v>
      </c>
      <c r="C109" s="20" t="s">
        <v>366</v>
      </c>
      <c r="D109" s="20" t="s">
        <v>365</v>
      </c>
      <c r="E109" s="20" t="e">
        <f t="array" ref="E109">INDEX(C:C,SMALL(IF(ISNUMBER(FIND(CELL("contents"),$C$2:$C$4852)),ROW($C$2:$C$4852),4^8),ROW(C109)))&amp;""</f>
        <v>#N/A</v>
      </c>
    </row>
    <row r="110" ht="14.100000000000001" customHeight="1">
      <c r="B110" s="20" t="s">
        <v>367</v>
      </c>
      <c r="C110" s="20" t="s">
        <v>368</v>
      </c>
      <c r="D110" s="20" t="s">
        <v>367</v>
      </c>
      <c r="E110" s="20" t="e">
        <f t="array" ref="E110">INDEX(C:C,SMALL(IF(ISNUMBER(FIND(CELL("contents"),$C$2:$C$4852)),ROW($C$2:$C$4852),4^8),ROW(C110)))&amp;""</f>
        <v>#N/A</v>
      </c>
    </row>
    <row r="111" ht="14.100000000000001" customHeight="1">
      <c r="B111" s="20" t="s">
        <v>369</v>
      </c>
      <c r="C111" s="20" t="s">
        <v>370</v>
      </c>
      <c r="D111" s="20" t="s">
        <v>369</v>
      </c>
      <c r="E111" s="20" t="e">
        <f t="array" ref="E111">INDEX(C:C,SMALL(IF(ISNUMBER(FIND(CELL("contents"),$C$2:$C$4852)),ROW($C$2:$C$4852),4^8),ROW(C111)))&amp;""</f>
        <v>#N/A</v>
      </c>
    </row>
    <row r="112" ht="14.100000000000001" customHeight="1">
      <c r="B112" s="20" t="s">
        <v>371</v>
      </c>
      <c r="C112" s="20" t="s">
        <v>372</v>
      </c>
      <c r="D112" s="20" t="s">
        <v>371</v>
      </c>
      <c r="E112" s="20" t="e">
        <f t="array" ref="E112">INDEX(C:C,SMALL(IF(ISNUMBER(FIND(CELL("contents"),$C$2:$C$4852)),ROW($C$2:$C$4852),4^8),ROW(C112)))&amp;""</f>
        <v>#N/A</v>
      </c>
    </row>
    <row r="113" ht="14.100000000000001" customHeight="1">
      <c r="B113" s="20" t="s">
        <v>373</v>
      </c>
      <c r="C113" s="20" t="s">
        <v>374</v>
      </c>
      <c r="D113" s="20" t="s">
        <v>373</v>
      </c>
      <c r="E113" s="20" t="e">
        <f t="array" ref="E113">INDEX(C:C,SMALL(IF(ISNUMBER(FIND(CELL("contents"),$C$2:$C$4852)),ROW($C$2:$C$4852),4^8),ROW(C113)))&amp;""</f>
        <v>#N/A</v>
      </c>
    </row>
    <row r="114" ht="14.100000000000001" customHeight="1">
      <c r="B114" s="20" t="s">
        <v>375</v>
      </c>
      <c r="C114" s="20" t="s">
        <v>376</v>
      </c>
      <c r="D114" s="20" t="s">
        <v>375</v>
      </c>
      <c r="E114" s="20" t="e">
        <f t="array" ref="E114">INDEX(C:C,SMALL(IF(ISNUMBER(FIND(CELL("contents"),$C$2:$C$4852)),ROW($C$2:$C$4852),4^8),ROW(C114)))&amp;""</f>
        <v>#N/A</v>
      </c>
    </row>
    <row r="115" ht="14.100000000000001" customHeight="1">
      <c r="B115" s="20" t="s">
        <v>377</v>
      </c>
      <c r="C115" s="20" t="s">
        <v>378</v>
      </c>
      <c r="D115" s="20" t="s">
        <v>377</v>
      </c>
      <c r="E115" s="20" t="e">
        <f t="array" ref="E115">INDEX(C:C,SMALL(IF(ISNUMBER(FIND(CELL("contents"),$C$2:$C$4852)),ROW($C$2:$C$4852),4^8),ROW(C115)))&amp;""</f>
        <v>#N/A</v>
      </c>
    </row>
    <row r="116" ht="14.100000000000001" customHeight="1">
      <c r="B116" s="20" t="s">
        <v>379</v>
      </c>
      <c r="C116" s="20" t="s">
        <v>380</v>
      </c>
      <c r="D116" s="20" t="s">
        <v>379</v>
      </c>
      <c r="E116" s="20" t="e">
        <f t="array" ref="E116">INDEX(C:C,SMALL(IF(ISNUMBER(FIND(CELL("contents"),$C$2:$C$4852)),ROW($C$2:$C$4852),4^8),ROW(C116)))&amp;""</f>
        <v>#N/A</v>
      </c>
    </row>
    <row r="117" ht="14.100000000000001" customHeight="1">
      <c r="B117" s="20" t="s">
        <v>381</v>
      </c>
      <c r="C117" s="20" t="s">
        <v>382</v>
      </c>
      <c r="D117" s="20" t="s">
        <v>381</v>
      </c>
      <c r="E117" s="20" t="e">
        <f t="array" ref="E117">INDEX(C:C,SMALL(IF(ISNUMBER(FIND(CELL("contents"),$C$2:$C$4852)),ROW($C$2:$C$4852),4^8),ROW(C117)))&amp;""</f>
        <v>#N/A</v>
      </c>
    </row>
    <row r="118" ht="14.100000000000001" customHeight="1">
      <c r="B118" s="20" t="s">
        <v>383</v>
      </c>
      <c r="C118" s="20" t="s">
        <v>384</v>
      </c>
      <c r="D118" s="20" t="s">
        <v>383</v>
      </c>
      <c r="E118" s="20" t="e">
        <f t="array" ref="E118">INDEX(C:C,SMALL(IF(ISNUMBER(FIND(CELL("contents"),$C$2:$C$4852)),ROW($C$2:$C$4852),4^8),ROW(C118)))&amp;""</f>
        <v>#N/A</v>
      </c>
    </row>
    <row r="119" ht="14.100000000000001" customHeight="1">
      <c r="B119" s="20" t="s">
        <v>385</v>
      </c>
      <c r="C119" s="20" t="s">
        <v>386</v>
      </c>
      <c r="D119" s="20" t="s">
        <v>385</v>
      </c>
      <c r="E119" s="20" t="e">
        <f t="array" ref="E119">INDEX(C:C,SMALL(IF(ISNUMBER(FIND(CELL("contents"),$C$2:$C$4852)),ROW($C$2:$C$4852),4^8),ROW(C119)))&amp;""</f>
        <v>#N/A</v>
      </c>
    </row>
    <row r="120" ht="14.100000000000001" customHeight="1">
      <c r="B120" s="20" t="s">
        <v>387</v>
      </c>
      <c r="C120" s="20" t="s">
        <v>388</v>
      </c>
      <c r="D120" s="20" t="s">
        <v>387</v>
      </c>
      <c r="E120" s="20" t="e">
        <f t="array" ref="E120">INDEX(C:C,SMALL(IF(ISNUMBER(FIND(CELL("contents"),$C$2:$C$4852)),ROW($C$2:$C$4852),4^8),ROW(C120)))&amp;""</f>
        <v>#N/A</v>
      </c>
    </row>
    <row r="121" ht="14.100000000000001" customHeight="1">
      <c r="B121" s="20" t="s">
        <v>389</v>
      </c>
      <c r="C121" s="20" t="s">
        <v>390</v>
      </c>
      <c r="D121" s="20" t="s">
        <v>389</v>
      </c>
      <c r="E121" s="20" t="e">
        <f t="array" ref="E121">INDEX(C:C,SMALL(IF(ISNUMBER(FIND(CELL("contents"),$C$2:$C$4852)),ROW($C$2:$C$4852),4^8),ROW(C121)))&amp;""</f>
        <v>#N/A</v>
      </c>
    </row>
    <row r="122" ht="14.100000000000001" customHeight="1">
      <c r="B122" s="20" t="s">
        <v>391</v>
      </c>
      <c r="C122" s="20" t="s">
        <v>392</v>
      </c>
      <c r="D122" s="20" t="s">
        <v>391</v>
      </c>
      <c r="E122" s="20" t="e">
        <f t="array" ref="E122">INDEX(C:C,SMALL(IF(ISNUMBER(FIND(CELL("contents"),$C$2:$C$4852)),ROW($C$2:$C$4852),4^8),ROW(C122)))&amp;""</f>
        <v>#N/A</v>
      </c>
    </row>
    <row r="123" ht="14.100000000000001" customHeight="1">
      <c r="B123" s="20" t="s">
        <v>393</v>
      </c>
      <c r="C123" s="20" t="s">
        <v>394</v>
      </c>
      <c r="D123" s="20" t="s">
        <v>393</v>
      </c>
      <c r="E123" s="20" t="e">
        <f t="array" ref="E123">INDEX(C:C,SMALL(IF(ISNUMBER(FIND(CELL("contents"),$C$2:$C$4852)),ROW($C$2:$C$4852),4^8),ROW(C123)))&amp;""</f>
        <v>#N/A</v>
      </c>
    </row>
    <row r="124" ht="14.100000000000001" customHeight="1">
      <c r="B124" s="20" t="s">
        <v>395</v>
      </c>
      <c r="C124" s="20" t="s">
        <v>396</v>
      </c>
      <c r="D124" s="20" t="s">
        <v>395</v>
      </c>
      <c r="E124" s="20" t="e">
        <f t="array" ref="E124">INDEX(C:C,SMALL(IF(ISNUMBER(FIND(CELL("contents"),$C$2:$C$4852)),ROW($C$2:$C$4852),4^8),ROW(C124)))&amp;""</f>
        <v>#N/A</v>
      </c>
    </row>
    <row r="125" ht="14.100000000000001" customHeight="1">
      <c r="B125" s="20" t="s">
        <v>397</v>
      </c>
      <c r="C125" s="20" t="s">
        <v>398</v>
      </c>
      <c r="D125" s="20" t="s">
        <v>397</v>
      </c>
      <c r="E125" s="20" t="e">
        <f t="array" ref="E125">INDEX(C:C,SMALL(IF(ISNUMBER(FIND(CELL("contents"),$C$2:$C$4852)),ROW($C$2:$C$4852),4^8),ROW(C125)))&amp;""</f>
        <v>#N/A</v>
      </c>
    </row>
    <row r="126" ht="14.100000000000001" customHeight="1">
      <c r="B126" s="20" t="s">
        <v>399</v>
      </c>
      <c r="C126" s="20" t="s">
        <v>400</v>
      </c>
      <c r="D126" s="20" t="s">
        <v>399</v>
      </c>
      <c r="E126" s="20" t="e">
        <f t="array" ref="E126">INDEX(C:C,SMALL(IF(ISNUMBER(FIND(CELL("contents"),$C$2:$C$4852)),ROW($C$2:$C$4852),4^8),ROW(C126)))&amp;""</f>
        <v>#N/A</v>
      </c>
    </row>
    <row r="127" ht="14.100000000000001" customHeight="1">
      <c r="B127" s="20" t="s">
        <v>401</v>
      </c>
      <c r="C127" s="20" t="s">
        <v>402</v>
      </c>
      <c r="D127" s="20" t="s">
        <v>401</v>
      </c>
      <c r="E127" s="20" t="e">
        <f t="array" ref="E127">INDEX(C:C,SMALL(IF(ISNUMBER(FIND(CELL("contents"),$C$2:$C$4852)),ROW($C$2:$C$4852),4^8),ROW(C127)))&amp;""</f>
        <v>#N/A</v>
      </c>
    </row>
    <row r="128" ht="14.100000000000001" customHeight="1">
      <c r="B128" s="20" t="s">
        <v>403</v>
      </c>
      <c r="C128" s="20" t="s">
        <v>404</v>
      </c>
      <c r="D128" s="20" t="s">
        <v>403</v>
      </c>
      <c r="E128" s="20" t="e">
        <f t="array" ref="E128">INDEX(C:C,SMALL(IF(ISNUMBER(FIND(CELL("contents"),$C$2:$C$4852)),ROW($C$2:$C$4852),4^8),ROW(C128)))&amp;""</f>
        <v>#N/A</v>
      </c>
    </row>
    <row r="129" ht="14.100000000000001" customHeight="1">
      <c r="B129" s="20" t="s">
        <v>405</v>
      </c>
      <c r="C129" s="20" t="s">
        <v>406</v>
      </c>
      <c r="D129" s="20" t="s">
        <v>405</v>
      </c>
      <c r="E129" s="20" t="e">
        <f t="array" ref="E129">INDEX(C:C,SMALL(IF(ISNUMBER(FIND(CELL("contents"),$C$2:$C$4852)),ROW($C$2:$C$4852),4^8),ROW(C129)))&amp;""</f>
        <v>#N/A</v>
      </c>
    </row>
    <row r="130" ht="14.100000000000001" customHeight="1">
      <c r="B130" s="20" t="s">
        <v>407</v>
      </c>
      <c r="C130" s="20" t="s">
        <v>408</v>
      </c>
      <c r="D130" s="20" t="s">
        <v>407</v>
      </c>
      <c r="E130" s="20" t="e">
        <f t="array" ref="E130">INDEX(C:C,SMALL(IF(ISNUMBER(FIND(CELL("contents"),$C$2:$C$4852)),ROW($C$2:$C$4852),4^8),ROW(C130)))&amp;""</f>
        <v>#N/A</v>
      </c>
    </row>
    <row r="131" ht="14.100000000000001" customHeight="1">
      <c r="B131" s="20" t="s">
        <v>409</v>
      </c>
      <c r="C131" s="20" t="s">
        <v>410</v>
      </c>
      <c r="D131" s="20" t="s">
        <v>409</v>
      </c>
      <c r="E131" s="20" t="e">
        <f t="array" ref="E131">INDEX(C:C,SMALL(IF(ISNUMBER(FIND(CELL("contents"),$C$2:$C$4852)),ROW($C$2:$C$4852),4^8),ROW(C131)))&amp;""</f>
        <v>#N/A</v>
      </c>
    </row>
    <row r="132" ht="14.100000000000001" customHeight="1">
      <c r="B132" s="20" t="s">
        <v>411</v>
      </c>
      <c r="C132" s="20" t="s">
        <v>412</v>
      </c>
      <c r="D132" s="20" t="s">
        <v>411</v>
      </c>
      <c r="E132" s="20" t="e">
        <f t="array" ref="E132">INDEX(C:C,SMALL(IF(ISNUMBER(FIND(CELL("contents"),$C$2:$C$4852)),ROW($C$2:$C$4852),4^8),ROW(C132)))&amp;""</f>
        <v>#N/A</v>
      </c>
    </row>
    <row r="133" ht="14.100000000000001" customHeight="1">
      <c r="B133" s="20" t="s">
        <v>413</v>
      </c>
      <c r="C133" s="20" t="s">
        <v>414</v>
      </c>
      <c r="D133" s="20" t="s">
        <v>413</v>
      </c>
      <c r="E133" s="20" t="e">
        <f t="array" ref="E133">INDEX(C:C,SMALL(IF(ISNUMBER(FIND(CELL("contents"),$C$2:$C$4852)),ROW($C$2:$C$4852),4^8),ROW(C133)))&amp;""</f>
        <v>#N/A</v>
      </c>
    </row>
    <row r="134" ht="14.100000000000001" customHeight="1">
      <c r="B134" s="20" t="s">
        <v>415</v>
      </c>
      <c r="C134" s="20" t="s">
        <v>416</v>
      </c>
      <c r="D134" s="20" t="s">
        <v>415</v>
      </c>
      <c r="E134" s="20" t="e">
        <f t="array" ref="E134">INDEX(C:C,SMALL(IF(ISNUMBER(FIND(CELL("contents"),$C$2:$C$4852)),ROW($C$2:$C$4852),4^8),ROW(C134)))&amp;""</f>
        <v>#N/A</v>
      </c>
    </row>
    <row r="135" ht="14.100000000000001" customHeight="1">
      <c r="B135" s="20" t="s">
        <v>417</v>
      </c>
      <c r="C135" s="20" t="s">
        <v>418</v>
      </c>
      <c r="D135" s="20" t="s">
        <v>417</v>
      </c>
      <c r="E135" s="20" t="e">
        <f t="array" ref="E135">INDEX(C:C,SMALL(IF(ISNUMBER(FIND(CELL("contents"),$C$2:$C$4852)),ROW($C$2:$C$4852),4^8),ROW(C135)))&amp;""</f>
        <v>#N/A</v>
      </c>
    </row>
    <row r="136" ht="14.100000000000001" customHeight="1">
      <c r="B136" s="20" t="s">
        <v>419</v>
      </c>
      <c r="C136" s="20" t="s">
        <v>420</v>
      </c>
      <c r="D136" s="20" t="s">
        <v>419</v>
      </c>
      <c r="E136" s="20" t="e">
        <f t="array" ref="E136">INDEX(C:C,SMALL(IF(ISNUMBER(FIND(CELL("contents"),$C$2:$C$4852)),ROW($C$2:$C$4852),4^8),ROW(C136)))&amp;""</f>
        <v>#N/A</v>
      </c>
    </row>
    <row r="137" ht="14.100000000000001" customHeight="1">
      <c r="B137" s="20" t="s">
        <v>421</v>
      </c>
      <c r="C137" s="20" t="s">
        <v>422</v>
      </c>
      <c r="D137" s="20" t="s">
        <v>421</v>
      </c>
      <c r="E137" s="20" t="e">
        <f t="array" ref="E137">INDEX(C:C,SMALL(IF(ISNUMBER(FIND(CELL("contents"),$C$2:$C$4852)),ROW($C$2:$C$4852),4^8),ROW(C137)))&amp;""</f>
        <v>#N/A</v>
      </c>
    </row>
    <row r="138" ht="14.100000000000001" customHeight="1">
      <c r="B138" s="20" t="s">
        <v>423</v>
      </c>
      <c r="C138" s="20" t="s">
        <v>424</v>
      </c>
      <c r="D138" s="20" t="s">
        <v>423</v>
      </c>
      <c r="E138" s="20" t="e">
        <f t="array" ref="E138">INDEX(C:C,SMALL(IF(ISNUMBER(FIND(CELL("contents"),$C$2:$C$4852)),ROW($C$2:$C$4852),4^8),ROW(C138)))&amp;""</f>
        <v>#N/A</v>
      </c>
    </row>
    <row r="139" ht="14.100000000000001" customHeight="1">
      <c r="B139" s="20" t="s">
        <v>425</v>
      </c>
      <c r="C139" s="20" t="s">
        <v>426</v>
      </c>
      <c r="D139" s="20" t="s">
        <v>425</v>
      </c>
      <c r="E139" s="20" t="e">
        <f t="array" ref="E139">INDEX(C:C,SMALL(IF(ISNUMBER(FIND(CELL("contents"),$C$2:$C$4852)),ROW($C$2:$C$4852),4^8),ROW(C139)))&amp;""</f>
        <v>#N/A</v>
      </c>
    </row>
    <row r="140" ht="14.100000000000001" customHeight="1">
      <c r="B140" s="20" t="s">
        <v>427</v>
      </c>
      <c r="C140" s="20" t="s">
        <v>428</v>
      </c>
      <c r="D140" s="20" t="s">
        <v>427</v>
      </c>
      <c r="E140" s="20" t="e">
        <f t="array" ref="E140">INDEX(C:C,SMALL(IF(ISNUMBER(FIND(CELL("contents"),$C$2:$C$4852)),ROW($C$2:$C$4852),4^8),ROW(C140)))&amp;""</f>
        <v>#N/A</v>
      </c>
    </row>
    <row r="141" ht="14.100000000000001" customHeight="1">
      <c r="B141" s="20" t="s">
        <v>429</v>
      </c>
      <c r="C141" s="20" t="s">
        <v>430</v>
      </c>
      <c r="D141" s="20" t="s">
        <v>429</v>
      </c>
      <c r="E141" s="20" t="e">
        <f t="array" ref="E141">INDEX(C:C,SMALL(IF(ISNUMBER(FIND(CELL("contents"),$C$2:$C$4852)),ROW($C$2:$C$4852),4^8),ROW(C141)))&amp;""</f>
        <v>#N/A</v>
      </c>
    </row>
    <row r="142" ht="14.100000000000001" customHeight="1">
      <c r="B142" s="20" t="s">
        <v>431</v>
      </c>
      <c r="C142" s="20" t="s">
        <v>432</v>
      </c>
      <c r="D142" s="20" t="s">
        <v>431</v>
      </c>
      <c r="E142" s="20" t="e">
        <f t="array" ref="E142">INDEX(C:C,SMALL(IF(ISNUMBER(FIND(CELL("contents"),$C$2:$C$4852)),ROW($C$2:$C$4852),4^8),ROW(C142)))&amp;""</f>
        <v>#N/A</v>
      </c>
    </row>
    <row r="143" ht="14.100000000000001" customHeight="1">
      <c r="B143" s="20" t="s">
        <v>433</v>
      </c>
      <c r="C143" s="20" t="s">
        <v>434</v>
      </c>
      <c r="D143" s="20" t="s">
        <v>433</v>
      </c>
      <c r="E143" s="20" t="e">
        <f t="array" ref="E143">INDEX(C:C,SMALL(IF(ISNUMBER(FIND(CELL("contents"),$C$2:$C$4852)),ROW($C$2:$C$4852),4^8),ROW(C143)))&amp;""</f>
        <v>#N/A</v>
      </c>
    </row>
    <row r="144" ht="14.100000000000001" customHeight="1">
      <c r="B144" s="20" t="s">
        <v>435</v>
      </c>
      <c r="C144" s="20" t="s">
        <v>436</v>
      </c>
      <c r="D144" s="20" t="s">
        <v>435</v>
      </c>
      <c r="E144" s="20" t="e">
        <f t="array" ref="E144">INDEX(C:C,SMALL(IF(ISNUMBER(FIND(CELL("contents"),$C$2:$C$4852)),ROW($C$2:$C$4852),4^8),ROW(C144)))&amp;""</f>
        <v>#N/A</v>
      </c>
    </row>
    <row r="145" ht="14.100000000000001" customHeight="1">
      <c r="B145" s="20" t="s">
        <v>437</v>
      </c>
      <c r="C145" s="20" t="s">
        <v>438</v>
      </c>
      <c r="D145" s="20" t="s">
        <v>437</v>
      </c>
      <c r="E145" s="20" t="e">
        <f t="array" ref="E145">INDEX(C:C,SMALL(IF(ISNUMBER(FIND(CELL("contents"),$C$2:$C$4852)),ROW($C$2:$C$4852),4^8),ROW(C145)))&amp;""</f>
        <v>#N/A</v>
      </c>
    </row>
    <row r="146" ht="14.100000000000001" customHeight="1">
      <c r="B146" s="20" t="s">
        <v>439</v>
      </c>
      <c r="C146" s="20" t="s">
        <v>440</v>
      </c>
      <c r="D146" s="20" t="s">
        <v>439</v>
      </c>
      <c r="E146" s="20" t="e">
        <f t="array" ref="E146">INDEX(C:C,SMALL(IF(ISNUMBER(FIND(CELL("contents"),$C$2:$C$4852)),ROW($C$2:$C$4852),4^8),ROW(C146)))&amp;""</f>
        <v>#N/A</v>
      </c>
    </row>
    <row r="147" ht="14.100000000000001" customHeight="1">
      <c r="B147" s="20" t="s">
        <v>441</v>
      </c>
      <c r="C147" s="20" t="s">
        <v>442</v>
      </c>
      <c r="D147" s="20" t="s">
        <v>441</v>
      </c>
      <c r="E147" s="20" t="e">
        <f t="array" ref="E147">INDEX(C:C,SMALL(IF(ISNUMBER(FIND(CELL("contents"),$C$2:$C$4852)),ROW($C$2:$C$4852),4^8),ROW(C147)))&amp;""</f>
        <v>#N/A</v>
      </c>
    </row>
    <row r="148" ht="14.100000000000001" customHeight="1">
      <c r="B148" s="20" t="s">
        <v>443</v>
      </c>
      <c r="C148" s="20" t="s">
        <v>444</v>
      </c>
      <c r="D148" s="20" t="s">
        <v>443</v>
      </c>
      <c r="E148" s="20" t="e">
        <f t="array" ref="E148">INDEX(C:C,SMALL(IF(ISNUMBER(FIND(CELL("contents"),$C$2:$C$4852)),ROW($C$2:$C$4852),4^8),ROW(C148)))&amp;""</f>
        <v>#N/A</v>
      </c>
    </row>
    <row r="149" ht="14.100000000000001" customHeight="1">
      <c r="B149" s="20" t="s">
        <v>445</v>
      </c>
      <c r="C149" s="20" t="s">
        <v>446</v>
      </c>
      <c r="D149" s="20" t="s">
        <v>445</v>
      </c>
      <c r="E149" s="20" t="e">
        <f t="array" ref="E149">INDEX(C:C,SMALL(IF(ISNUMBER(FIND(CELL("contents"),$C$2:$C$4852)),ROW($C$2:$C$4852),4^8),ROW(C149)))&amp;""</f>
        <v>#N/A</v>
      </c>
    </row>
    <row r="150" ht="14.100000000000001" customHeight="1">
      <c r="B150" s="20" t="s">
        <v>447</v>
      </c>
      <c r="C150" s="20" t="s">
        <v>448</v>
      </c>
      <c r="D150" s="20" t="s">
        <v>447</v>
      </c>
      <c r="E150" s="20" t="e">
        <f t="array" ref="E150">INDEX(C:C,SMALL(IF(ISNUMBER(FIND(CELL("contents"),$C$2:$C$4852)),ROW($C$2:$C$4852),4^8),ROW(C150)))&amp;""</f>
        <v>#N/A</v>
      </c>
    </row>
    <row r="151" ht="14.100000000000001" customHeight="1">
      <c r="B151" s="20" t="s">
        <v>449</v>
      </c>
      <c r="C151" s="20" t="s">
        <v>450</v>
      </c>
      <c r="D151" s="20" t="s">
        <v>449</v>
      </c>
      <c r="E151" s="20" t="e">
        <f t="array" ref="E151">INDEX(C:C,SMALL(IF(ISNUMBER(FIND(CELL("contents"),$C$2:$C$4852)),ROW($C$2:$C$4852),4^8),ROW(C151)))&amp;""</f>
        <v>#N/A</v>
      </c>
    </row>
    <row r="152" ht="14.100000000000001" customHeight="1">
      <c r="B152" s="20" t="s">
        <v>451</v>
      </c>
      <c r="C152" s="20" t="s">
        <v>452</v>
      </c>
      <c r="D152" s="20" t="s">
        <v>451</v>
      </c>
      <c r="E152" s="20" t="e">
        <f t="array" ref="E152">INDEX(C:C,SMALL(IF(ISNUMBER(FIND(CELL("contents"),$C$2:$C$4852)),ROW($C$2:$C$4852),4^8),ROW(C152)))&amp;""</f>
        <v>#N/A</v>
      </c>
    </row>
    <row r="153" ht="14.100000000000001" customHeight="1">
      <c r="B153" s="20" t="s">
        <v>453</v>
      </c>
      <c r="C153" s="20" t="s">
        <v>454</v>
      </c>
      <c r="D153" s="20" t="s">
        <v>453</v>
      </c>
      <c r="E153" s="20" t="e">
        <f t="array" ref="E153">INDEX(C:C,SMALL(IF(ISNUMBER(FIND(CELL("contents"),$C$2:$C$4852)),ROW($C$2:$C$4852),4^8),ROW(C153)))&amp;""</f>
        <v>#N/A</v>
      </c>
    </row>
    <row r="154" ht="14.100000000000001" customHeight="1">
      <c r="B154" s="20" t="s">
        <v>455</v>
      </c>
      <c r="C154" s="20" t="s">
        <v>456</v>
      </c>
      <c r="D154" s="20" t="s">
        <v>455</v>
      </c>
      <c r="E154" s="20" t="e">
        <f t="array" ref="E154">INDEX(C:C,SMALL(IF(ISNUMBER(FIND(CELL("contents"),$C$2:$C$4852)),ROW($C$2:$C$4852),4^8),ROW(C154)))&amp;""</f>
        <v>#N/A</v>
      </c>
    </row>
    <row r="155" ht="14.100000000000001" customHeight="1">
      <c r="B155" s="20" t="s">
        <v>457</v>
      </c>
      <c r="C155" s="20" t="s">
        <v>458</v>
      </c>
      <c r="D155" s="20" t="s">
        <v>457</v>
      </c>
      <c r="E155" s="20" t="e">
        <f t="array" ref="E155">INDEX(C:C,SMALL(IF(ISNUMBER(FIND(CELL("contents"),$C$2:$C$4852)),ROW($C$2:$C$4852),4^8),ROW(C155)))&amp;""</f>
        <v>#N/A</v>
      </c>
    </row>
    <row r="156" ht="14.100000000000001" customHeight="1">
      <c r="B156" s="20" t="s">
        <v>459</v>
      </c>
      <c r="C156" s="20" t="s">
        <v>460</v>
      </c>
      <c r="D156" s="20" t="s">
        <v>459</v>
      </c>
      <c r="E156" s="20" t="e">
        <f t="array" ref="E156">INDEX(C:C,SMALL(IF(ISNUMBER(FIND(CELL("contents"),$C$2:$C$4852)),ROW($C$2:$C$4852),4^8),ROW(C156)))&amp;""</f>
        <v>#N/A</v>
      </c>
    </row>
    <row r="157" ht="14.100000000000001" customHeight="1">
      <c r="B157" s="20" t="s">
        <v>461</v>
      </c>
      <c r="C157" s="20" t="s">
        <v>462</v>
      </c>
      <c r="D157" s="20" t="s">
        <v>461</v>
      </c>
      <c r="E157" s="20" t="e">
        <f t="array" ref="E157">INDEX(C:C,SMALL(IF(ISNUMBER(FIND(CELL("contents"),$C$2:$C$4852)),ROW($C$2:$C$4852),4^8),ROW(C157)))&amp;""</f>
        <v>#N/A</v>
      </c>
    </row>
    <row r="158" ht="14.100000000000001" customHeight="1">
      <c r="B158" s="20" t="s">
        <v>463</v>
      </c>
      <c r="C158" s="20" t="s">
        <v>464</v>
      </c>
      <c r="D158" s="20" t="s">
        <v>463</v>
      </c>
      <c r="E158" s="20" t="e">
        <f t="array" ref="E158">INDEX(C:C,SMALL(IF(ISNUMBER(FIND(CELL("contents"),$C$2:$C$4852)),ROW($C$2:$C$4852),4^8),ROW(C158)))&amp;""</f>
        <v>#N/A</v>
      </c>
    </row>
    <row r="159" ht="14.100000000000001" customHeight="1">
      <c r="B159" s="20" t="s">
        <v>465</v>
      </c>
      <c r="C159" s="20" t="s">
        <v>466</v>
      </c>
      <c r="D159" s="20" t="s">
        <v>465</v>
      </c>
      <c r="E159" s="20" t="e">
        <f t="array" ref="E159">INDEX(C:C,SMALL(IF(ISNUMBER(FIND(CELL("contents"),$C$2:$C$4852)),ROW($C$2:$C$4852),4^8),ROW(C159)))&amp;""</f>
        <v>#N/A</v>
      </c>
    </row>
    <row r="160" ht="14.100000000000001" customHeight="1">
      <c r="B160" s="20" t="s">
        <v>467</v>
      </c>
      <c r="C160" s="20" t="s">
        <v>468</v>
      </c>
      <c r="D160" s="20" t="s">
        <v>467</v>
      </c>
      <c r="E160" s="20" t="e">
        <f t="array" ref="E160">INDEX(C:C,SMALL(IF(ISNUMBER(FIND(CELL("contents"),$C$2:$C$4852)),ROW($C$2:$C$4852),4^8),ROW(C160)))&amp;""</f>
        <v>#N/A</v>
      </c>
    </row>
    <row r="161" ht="14.100000000000001" customHeight="1">
      <c r="B161" s="20" t="s">
        <v>469</v>
      </c>
      <c r="C161" s="20" t="s">
        <v>470</v>
      </c>
      <c r="D161" s="20" t="s">
        <v>469</v>
      </c>
      <c r="E161" s="20" t="e">
        <f t="array" ref="E161">INDEX(C:C,SMALL(IF(ISNUMBER(FIND(CELL("contents"),$C$2:$C$4852)),ROW($C$2:$C$4852),4^8),ROW(C161)))&amp;""</f>
        <v>#N/A</v>
      </c>
    </row>
    <row r="162" ht="14.100000000000001" customHeight="1">
      <c r="B162" s="20" t="s">
        <v>471</v>
      </c>
      <c r="C162" s="20" t="s">
        <v>472</v>
      </c>
      <c r="D162" s="20" t="s">
        <v>471</v>
      </c>
      <c r="E162" s="20" t="e">
        <f t="array" ref="E162">INDEX(C:C,SMALL(IF(ISNUMBER(FIND(CELL("contents"),$C$2:$C$4852)),ROW($C$2:$C$4852),4^8),ROW(C162)))&amp;""</f>
        <v>#N/A</v>
      </c>
    </row>
    <row r="163" ht="14.100000000000001" customHeight="1">
      <c r="B163" s="20" t="s">
        <v>473</v>
      </c>
      <c r="C163" s="20" t="s">
        <v>474</v>
      </c>
      <c r="D163" s="20" t="s">
        <v>473</v>
      </c>
      <c r="E163" s="20" t="e">
        <f t="array" ref="E163">INDEX(C:C,SMALL(IF(ISNUMBER(FIND(CELL("contents"),$C$2:$C$4852)),ROW($C$2:$C$4852),4^8),ROW(C163)))&amp;""</f>
        <v>#N/A</v>
      </c>
    </row>
    <row r="164" ht="14.100000000000001" customHeight="1">
      <c r="B164" s="20" t="s">
        <v>475</v>
      </c>
      <c r="C164" s="20" t="s">
        <v>476</v>
      </c>
      <c r="D164" s="20" t="s">
        <v>475</v>
      </c>
      <c r="E164" s="20" t="e">
        <f t="array" ref="E164">INDEX(C:C,SMALL(IF(ISNUMBER(FIND(CELL("contents"),$C$2:$C$4852)),ROW($C$2:$C$4852),4^8),ROW(C164)))&amp;""</f>
        <v>#N/A</v>
      </c>
    </row>
    <row r="165" ht="14.100000000000001" customHeight="1">
      <c r="B165" s="20" t="s">
        <v>477</v>
      </c>
      <c r="C165" s="20" t="s">
        <v>478</v>
      </c>
      <c r="D165" s="20" t="s">
        <v>477</v>
      </c>
      <c r="E165" s="20" t="e">
        <f t="array" ref="E165">INDEX(C:C,SMALL(IF(ISNUMBER(FIND(CELL("contents"),$C$2:$C$4852)),ROW($C$2:$C$4852),4^8),ROW(C165)))&amp;""</f>
        <v>#N/A</v>
      </c>
    </row>
    <row r="166" ht="14.100000000000001" customHeight="1">
      <c r="B166" s="20" t="s">
        <v>479</v>
      </c>
      <c r="C166" s="20" t="s">
        <v>480</v>
      </c>
      <c r="D166" s="20" t="s">
        <v>479</v>
      </c>
      <c r="E166" s="20" t="e">
        <f t="array" ref="E166">INDEX(C:C,SMALL(IF(ISNUMBER(FIND(CELL("contents"),$C$2:$C$4852)),ROW($C$2:$C$4852),4^8),ROW(C166)))&amp;""</f>
        <v>#N/A</v>
      </c>
    </row>
    <row r="167" ht="14.100000000000001" customHeight="1">
      <c r="B167" s="20" t="s">
        <v>481</v>
      </c>
      <c r="C167" s="20" t="s">
        <v>482</v>
      </c>
      <c r="D167" s="20" t="s">
        <v>481</v>
      </c>
      <c r="E167" s="20" t="e">
        <f t="array" ref="E167">INDEX(C:C,SMALL(IF(ISNUMBER(FIND(CELL("contents"),$C$2:$C$4852)),ROW($C$2:$C$4852),4^8),ROW(C167)))&amp;""</f>
        <v>#N/A</v>
      </c>
    </row>
    <row r="168" ht="14.100000000000001" customHeight="1">
      <c r="B168" s="20" t="s">
        <v>483</v>
      </c>
      <c r="C168" s="20" t="s">
        <v>484</v>
      </c>
      <c r="D168" s="20" t="s">
        <v>483</v>
      </c>
      <c r="E168" s="20" t="e">
        <f t="array" ref="E168">INDEX(C:C,SMALL(IF(ISNUMBER(FIND(CELL("contents"),$C$2:$C$4852)),ROW($C$2:$C$4852),4^8),ROW(C168)))&amp;""</f>
        <v>#N/A</v>
      </c>
    </row>
    <row r="169" ht="14.100000000000001" customHeight="1">
      <c r="B169" s="20" t="s">
        <v>485</v>
      </c>
      <c r="C169" s="20" t="s">
        <v>486</v>
      </c>
      <c r="D169" s="20" t="s">
        <v>485</v>
      </c>
      <c r="E169" s="20" t="e">
        <f t="array" ref="E169">INDEX(C:C,SMALL(IF(ISNUMBER(FIND(CELL("contents"),$C$2:$C$4852)),ROW($C$2:$C$4852),4^8),ROW(C169)))&amp;""</f>
        <v>#N/A</v>
      </c>
    </row>
    <row r="170" ht="14.100000000000001" customHeight="1">
      <c r="B170" s="20" t="s">
        <v>487</v>
      </c>
      <c r="C170" s="20" t="s">
        <v>488</v>
      </c>
      <c r="D170" s="20" t="s">
        <v>487</v>
      </c>
      <c r="E170" s="20" t="e">
        <f t="array" ref="E170">INDEX(C:C,SMALL(IF(ISNUMBER(FIND(CELL("contents"),$C$2:$C$4852)),ROW($C$2:$C$4852),4^8),ROW(C170)))&amp;""</f>
        <v>#N/A</v>
      </c>
    </row>
    <row r="171" ht="14.100000000000001" customHeight="1">
      <c r="B171" s="20" t="s">
        <v>489</v>
      </c>
      <c r="C171" s="20" t="s">
        <v>490</v>
      </c>
      <c r="D171" s="20" t="s">
        <v>489</v>
      </c>
      <c r="E171" s="20" t="e">
        <f t="array" ref="E171">INDEX(C:C,SMALL(IF(ISNUMBER(FIND(CELL("contents"),$C$2:$C$4852)),ROW($C$2:$C$4852),4^8),ROW(C171)))&amp;""</f>
        <v>#N/A</v>
      </c>
    </row>
    <row r="172" ht="14.100000000000001" customHeight="1">
      <c r="B172" s="20" t="s">
        <v>491</v>
      </c>
      <c r="C172" s="20" t="s">
        <v>492</v>
      </c>
      <c r="D172" s="20" t="s">
        <v>491</v>
      </c>
      <c r="E172" s="20" t="e">
        <f t="array" ref="E172">INDEX(C:C,SMALL(IF(ISNUMBER(FIND(CELL("contents"),$C$2:$C$4852)),ROW($C$2:$C$4852),4^8),ROW(C172)))&amp;""</f>
        <v>#N/A</v>
      </c>
    </row>
    <row r="173" ht="14.100000000000001" customHeight="1">
      <c r="B173" s="20" t="s">
        <v>493</v>
      </c>
      <c r="C173" s="20" t="s">
        <v>494</v>
      </c>
      <c r="D173" s="20" t="s">
        <v>493</v>
      </c>
      <c r="E173" s="20" t="e">
        <f t="array" ref="E173">INDEX(C:C,SMALL(IF(ISNUMBER(FIND(CELL("contents"),$C$2:$C$4852)),ROW($C$2:$C$4852),4^8),ROW(C173)))&amp;""</f>
        <v>#N/A</v>
      </c>
    </row>
    <row r="174" ht="14.100000000000001" customHeight="1">
      <c r="B174" s="20" t="s">
        <v>495</v>
      </c>
      <c r="C174" s="20" t="s">
        <v>496</v>
      </c>
      <c r="D174" s="20" t="s">
        <v>495</v>
      </c>
      <c r="E174" s="20" t="e">
        <f t="array" ref="E174">INDEX(C:C,SMALL(IF(ISNUMBER(FIND(CELL("contents"),$C$2:$C$4852)),ROW($C$2:$C$4852),4^8),ROW(C174)))&amp;""</f>
        <v>#N/A</v>
      </c>
    </row>
    <row r="175" ht="14.100000000000001" customHeight="1">
      <c r="B175" s="20" t="s">
        <v>497</v>
      </c>
      <c r="C175" s="20" t="s">
        <v>498</v>
      </c>
      <c r="D175" s="20" t="s">
        <v>497</v>
      </c>
      <c r="E175" s="20" t="e">
        <f t="array" ref="E175">INDEX(C:C,SMALL(IF(ISNUMBER(FIND(CELL("contents"),$C$2:$C$4852)),ROW($C$2:$C$4852),4^8),ROW(C175)))&amp;""</f>
        <v>#N/A</v>
      </c>
    </row>
    <row r="176" ht="14.100000000000001" customHeight="1">
      <c r="B176" s="20" t="s">
        <v>499</v>
      </c>
      <c r="C176" s="20" t="s">
        <v>500</v>
      </c>
      <c r="D176" s="20" t="s">
        <v>499</v>
      </c>
      <c r="E176" s="20" t="e">
        <f t="array" ref="E176">INDEX(C:C,SMALL(IF(ISNUMBER(FIND(CELL("contents"),$C$2:$C$4852)),ROW($C$2:$C$4852),4^8),ROW(C176)))&amp;""</f>
        <v>#N/A</v>
      </c>
    </row>
    <row r="177" ht="14.100000000000001" customHeight="1">
      <c r="B177" s="20" t="s">
        <v>501</v>
      </c>
      <c r="C177" s="20" t="s">
        <v>502</v>
      </c>
      <c r="D177" s="20" t="s">
        <v>501</v>
      </c>
      <c r="E177" s="20" t="e">
        <f t="array" ref="E177">INDEX(C:C,SMALL(IF(ISNUMBER(FIND(CELL("contents"),$C$2:$C$4852)),ROW($C$2:$C$4852),4^8),ROW(C177)))&amp;""</f>
        <v>#N/A</v>
      </c>
    </row>
    <row r="178" ht="14.100000000000001" customHeight="1">
      <c r="B178" s="20" t="s">
        <v>503</v>
      </c>
      <c r="C178" s="20" t="s">
        <v>504</v>
      </c>
      <c r="D178" s="20" t="s">
        <v>503</v>
      </c>
      <c r="E178" s="20" t="e">
        <f t="array" ref="E178">INDEX(C:C,SMALL(IF(ISNUMBER(FIND(CELL("contents"),$C$2:$C$4852)),ROW($C$2:$C$4852),4^8),ROW(C178)))&amp;""</f>
        <v>#N/A</v>
      </c>
    </row>
    <row r="179" ht="14.100000000000001" customHeight="1">
      <c r="B179" s="20" t="s">
        <v>505</v>
      </c>
      <c r="C179" s="20" t="s">
        <v>506</v>
      </c>
      <c r="D179" s="20" t="s">
        <v>505</v>
      </c>
      <c r="E179" s="20" t="e">
        <f t="array" ref="E179">INDEX(C:C,SMALL(IF(ISNUMBER(FIND(CELL("contents"),$C$2:$C$4852)),ROW($C$2:$C$4852),4^8),ROW(C179)))&amp;""</f>
        <v>#N/A</v>
      </c>
    </row>
    <row r="180" ht="14.100000000000001" customHeight="1">
      <c r="B180" s="20" t="s">
        <v>507</v>
      </c>
      <c r="C180" s="20" t="s">
        <v>508</v>
      </c>
      <c r="D180" s="20" t="s">
        <v>507</v>
      </c>
      <c r="E180" s="20" t="e">
        <f t="array" ref="E180">INDEX(C:C,SMALL(IF(ISNUMBER(FIND(CELL("contents"),$C$2:$C$4852)),ROW($C$2:$C$4852),4^8),ROW(C180)))&amp;""</f>
        <v>#N/A</v>
      </c>
    </row>
    <row r="181" ht="14.100000000000001" customHeight="1">
      <c r="B181" s="20" t="s">
        <v>509</v>
      </c>
      <c r="C181" s="20" t="s">
        <v>510</v>
      </c>
      <c r="D181" s="20" t="s">
        <v>509</v>
      </c>
      <c r="E181" s="20" t="e">
        <f t="array" ref="E181">INDEX(C:C,SMALL(IF(ISNUMBER(FIND(CELL("contents"),$C$2:$C$4852)),ROW($C$2:$C$4852),4^8),ROW(C181)))&amp;""</f>
        <v>#N/A</v>
      </c>
    </row>
    <row r="182" ht="14.100000000000001" customHeight="1">
      <c r="B182" s="20" t="s">
        <v>511</v>
      </c>
      <c r="C182" s="20" t="s">
        <v>512</v>
      </c>
      <c r="D182" s="20" t="s">
        <v>511</v>
      </c>
      <c r="E182" s="20" t="e">
        <f t="array" ref="E182">INDEX(C:C,SMALL(IF(ISNUMBER(FIND(CELL("contents"),$C$2:$C$4852)),ROW($C$2:$C$4852),4^8),ROW(C182)))&amp;""</f>
        <v>#N/A</v>
      </c>
    </row>
    <row r="183" ht="14.100000000000001" customHeight="1">
      <c r="B183" s="20" t="s">
        <v>513</v>
      </c>
      <c r="C183" s="20" t="s">
        <v>514</v>
      </c>
      <c r="D183" s="20" t="s">
        <v>513</v>
      </c>
      <c r="E183" s="20" t="e">
        <f t="array" ref="E183">INDEX(C:C,SMALL(IF(ISNUMBER(FIND(CELL("contents"),$C$2:$C$4852)),ROW($C$2:$C$4852),4^8),ROW(C183)))&amp;""</f>
        <v>#N/A</v>
      </c>
    </row>
    <row r="184" ht="14.100000000000001" customHeight="1">
      <c r="B184" s="20" t="s">
        <v>515</v>
      </c>
      <c r="C184" s="20" t="s">
        <v>516</v>
      </c>
      <c r="D184" s="20" t="s">
        <v>515</v>
      </c>
      <c r="E184" s="20" t="e">
        <f t="array" ref="E184">INDEX(C:C,SMALL(IF(ISNUMBER(FIND(CELL("contents"),$C$2:$C$4852)),ROW($C$2:$C$4852),4^8),ROW(C184)))&amp;""</f>
        <v>#N/A</v>
      </c>
    </row>
    <row r="185" ht="14.100000000000001" customHeight="1">
      <c r="B185" s="20" t="s">
        <v>517</v>
      </c>
      <c r="C185" s="20" t="s">
        <v>518</v>
      </c>
      <c r="D185" s="20" t="s">
        <v>517</v>
      </c>
      <c r="E185" s="20" t="e">
        <f t="array" ref="E185">INDEX(C:C,SMALL(IF(ISNUMBER(FIND(CELL("contents"),$C$2:$C$4852)),ROW($C$2:$C$4852),4^8),ROW(C185)))&amp;""</f>
        <v>#N/A</v>
      </c>
    </row>
    <row r="186" ht="14.100000000000001" customHeight="1">
      <c r="B186" s="20" t="s">
        <v>519</v>
      </c>
      <c r="C186" s="20" t="s">
        <v>520</v>
      </c>
      <c r="D186" s="20" t="s">
        <v>519</v>
      </c>
      <c r="E186" s="20" t="e">
        <f t="array" ref="E186">INDEX(C:C,SMALL(IF(ISNUMBER(FIND(CELL("contents"),$C$2:$C$4852)),ROW($C$2:$C$4852),4^8),ROW(C186)))&amp;""</f>
        <v>#N/A</v>
      </c>
    </row>
    <row r="187" ht="14.100000000000001" customHeight="1">
      <c r="B187" s="20" t="s">
        <v>521</v>
      </c>
      <c r="C187" s="20" t="s">
        <v>522</v>
      </c>
      <c r="D187" s="20" t="s">
        <v>521</v>
      </c>
      <c r="E187" s="20" t="e">
        <f t="array" ref="E187">INDEX(C:C,SMALL(IF(ISNUMBER(FIND(CELL("contents"),$C$2:$C$4852)),ROW($C$2:$C$4852),4^8),ROW(C187)))&amp;""</f>
        <v>#N/A</v>
      </c>
    </row>
    <row r="188" ht="14.100000000000001" customHeight="1">
      <c r="B188" s="20" t="s">
        <v>523</v>
      </c>
      <c r="C188" s="20" t="s">
        <v>524</v>
      </c>
      <c r="D188" s="20" t="s">
        <v>523</v>
      </c>
      <c r="E188" s="20" t="e">
        <f t="array" ref="E188">INDEX(C:C,SMALL(IF(ISNUMBER(FIND(CELL("contents"),$C$2:$C$4852)),ROW($C$2:$C$4852),4^8),ROW(C188)))&amp;""</f>
        <v>#N/A</v>
      </c>
    </row>
    <row r="189" ht="14.100000000000001" customHeight="1">
      <c r="B189" s="20" t="s">
        <v>525</v>
      </c>
      <c r="C189" s="20" t="s">
        <v>526</v>
      </c>
      <c r="D189" s="20" t="s">
        <v>525</v>
      </c>
      <c r="E189" s="20" t="e">
        <f t="array" ref="E189">INDEX(C:C,SMALL(IF(ISNUMBER(FIND(CELL("contents"),$C$2:$C$4852)),ROW($C$2:$C$4852),4^8),ROW(C189)))&amp;""</f>
        <v>#N/A</v>
      </c>
    </row>
    <row r="190" ht="14.100000000000001" customHeight="1">
      <c r="B190" s="20" t="s">
        <v>527</v>
      </c>
      <c r="C190" s="20" t="s">
        <v>528</v>
      </c>
      <c r="D190" s="20" t="s">
        <v>527</v>
      </c>
      <c r="E190" s="20" t="e">
        <f t="array" ref="E190">INDEX(C:C,SMALL(IF(ISNUMBER(FIND(CELL("contents"),$C$2:$C$4852)),ROW($C$2:$C$4852),4^8),ROW(C190)))&amp;""</f>
        <v>#N/A</v>
      </c>
    </row>
    <row r="191" ht="14.100000000000001" customHeight="1">
      <c r="B191" s="20" t="s">
        <v>529</v>
      </c>
      <c r="C191" s="20" t="s">
        <v>530</v>
      </c>
      <c r="D191" s="20" t="s">
        <v>529</v>
      </c>
      <c r="E191" s="20" t="e">
        <f t="array" ref="E191">INDEX(C:C,SMALL(IF(ISNUMBER(FIND(CELL("contents"),$C$2:$C$4852)),ROW($C$2:$C$4852),4^8),ROW(C191)))&amp;""</f>
        <v>#N/A</v>
      </c>
    </row>
    <row r="192" ht="14.100000000000001" customHeight="1">
      <c r="B192" s="20" t="s">
        <v>531</v>
      </c>
      <c r="C192" s="20" t="s">
        <v>532</v>
      </c>
      <c r="D192" s="20" t="s">
        <v>531</v>
      </c>
      <c r="E192" s="20" t="e">
        <f t="array" ref="E192">INDEX(C:C,SMALL(IF(ISNUMBER(FIND(CELL("contents"),$C$2:$C$4852)),ROW($C$2:$C$4852),4^8),ROW(C192)))&amp;""</f>
        <v>#N/A</v>
      </c>
    </row>
    <row r="193" ht="14.100000000000001" customHeight="1">
      <c r="B193" s="20" t="s">
        <v>533</v>
      </c>
      <c r="C193" s="20" t="s">
        <v>534</v>
      </c>
      <c r="D193" s="20" t="s">
        <v>533</v>
      </c>
      <c r="E193" s="20" t="e">
        <f t="array" ref="E193">INDEX(C:C,SMALL(IF(ISNUMBER(FIND(CELL("contents"),$C$2:$C$4852)),ROW($C$2:$C$4852),4^8),ROW(C193)))&amp;""</f>
        <v>#N/A</v>
      </c>
    </row>
    <row r="194" ht="14.100000000000001" customHeight="1">
      <c r="B194" s="20" t="s">
        <v>535</v>
      </c>
      <c r="C194" s="20" t="s">
        <v>536</v>
      </c>
      <c r="D194" s="20" t="s">
        <v>535</v>
      </c>
      <c r="E194" s="20" t="e">
        <f t="array" ref="E194">INDEX(C:C,SMALL(IF(ISNUMBER(FIND(CELL("contents"),$C$2:$C$4852)),ROW($C$2:$C$4852),4^8),ROW(C194)))&amp;""</f>
        <v>#N/A</v>
      </c>
    </row>
    <row r="195" ht="14.100000000000001" customHeight="1">
      <c r="B195" s="20" t="s">
        <v>537</v>
      </c>
      <c r="C195" s="20" t="s">
        <v>538</v>
      </c>
      <c r="D195" s="20" t="s">
        <v>537</v>
      </c>
      <c r="E195" s="20" t="e">
        <f t="array" ref="E195">INDEX(C:C,SMALL(IF(ISNUMBER(FIND(CELL("contents"),$C$2:$C$4852)),ROW($C$2:$C$4852),4^8),ROW(C195)))&amp;""</f>
        <v>#N/A</v>
      </c>
    </row>
    <row r="196" ht="14.100000000000001" customHeight="1">
      <c r="B196" s="20" t="s">
        <v>539</v>
      </c>
      <c r="C196" s="20" t="s">
        <v>540</v>
      </c>
      <c r="D196" s="20" t="s">
        <v>539</v>
      </c>
      <c r="E196" s="20" t="e">
        <f t="array" ref="E196">INDEX(C:C,SMALL(IF(ISNUMBER(FIND(CELL("contents"),$C$2:$C$4852)),ROW($C$2:$C$4852),4^8),ROW(C196)))&amp;""</f>
        <v>#N/A</v>
      </c>
    </row>
    <row r="197" ht="14.100000000000001" customHeight="1">
      <c r="B197" s="20" t="s">
        <v>541</v>
      </c>
      <c r="C197" s="20" t="s">
        <v>542</v>
      </c>
      <c r="D197" s="20" t="s">
        <v>541</v>
      </c>
      <c r="E197" s="20" t="e">
        <f t="array" ref="E197">INDEX(C:C,SMALL(IF(ISNUMBER(FIND(CELL("contents"),$C$2:$C$4852)),ROW($C$2:$C$4852),4^8),ROW(C197)))&amp;""</f>
        <v>#N/A</v>
      </c>
    </row>
    <row r="198" ht="14.100000000000001" customHeight="1">
      <c r="B198" s="20" t="s">
        <v>543</v>
      </c>
      <c r="C198" s="20" t="s">
        <v>544</v>
      </c>
      <c r="D198" s="20" t="s">
        <v>543</v>
      </c>
      <c r="E198" s="20" t="e">
        <f t="array" ref="E198">INDEX(C:C,SMALL(IF(ISNUMBER(FIND(CELL("contents"),$C$2:$C$4852)),ROW($C$2:$C$4852),4^8),ROW(C198)))&amp;""</f>
        <v>#N/A</v>
      </c>
    </row>
    <row r="199" ht="14.100000000000001" customHeight="1">
      <c r="B199" s="20" t="s">
        <v>545</v>
      </c>
      <c r="C199" s="20" t="s">
        <v>546</v>
      </c>
      <c r="D199" s="20" t="s">
        <v>545</v>
      </c>
      <c r="E199" s="20" t="e">
        <f t="array" ref="E199">INDEX(C:C,SMALL(IF(ISNUMBER(FIND(CELL("contents"),$C$2:$C$4852)),ROW($C$2:$C$4852),4^8),ROW(C199)))&amp;""</f>
        <v>#N/A</v>
      </c>
    </row>
    <row r="200" ht="14.100000000000001" customHeight="1">
      <c r="B200" s="20" t="s">
        <v>547</v>
      </c>
      <c r="C200" s="20" t="s">
        <v>548</v>
      </c>
      <c r="D200" s="20" t="s">
        <v>547</v>
      </c>
      <c r="E200" s="20" t="e">
        <f t="array" ref="E200">INDEX(C:C,SMALL(IF(ISNUMBER(FIND(CELL("contents"),$C$2:$C$4852)),ROW($C$2:$C$4852),4^8),ROW(C200)))&amp;""</f>
        <v>#N/A</v>
      </c>
    </row>
    <row r="201" ht="14.100000000000001" customHeight="1">
      <c r="B201" s="20" t="s">
        <v>549</v>
      </c>
      <c r="C201" s="20" t="s">
        <v>550</v>
      </c>
      <c r="D201" s="20" t="s">
        <v>549</v>
      </c>
      <c r="E201" s="20" t="e">
        <f t="array" ref="E201">INDEX(C:C,SMALL(IF(ISNUMBER(FIND(CELL("contents"),$C$2:$C$4852)),ROW($C$2:$C$4852),4^8),ROW(C201)))&amp;""</f>
        <v>#N/A</v>
      </c>
    </row>
    <row r="202" ht="14.100000000000001" customHeight="1">
      <c r="B202" s="20" t="s">
        <v>551</v>
      </c>
      <c r="C202" s="20" t="s">
        <v>552</v>
      </c>
      <c r="D202" s="20" t="s">
        <v>551</v>
      </c>
      <c r="E202" s="20" t="e">
        <f t="array" ref="E202">INDEX(C:C,SMALL(IF(ISNUMBER(FIND(CELL("contents"),$C$2:$C$4852)),ROW($C$2:$C$4852),4^8),ROW(C202)))&amp;""</f>
        <v>#N/A</v>
      </c>
    </row>
    <row r="203" ht="14.100000000000001" customHeight="1">
      <c r="B203" s="20" t="s">
        <v>553</v>
      </c>
      <c r="C203" s="20" t="s">
        <v>554</v>
      </c>
      <c r="D203" s="20" t="s">
        <v>553</v>
      </c>
      <c r="E203" s="20" t="e">
        <f t="array" ref="E203">INDEX(C:C,SMALL(IF(ISNUMBER(FIND(CELL("contents"),$C$2:$C$4852)),ROW($C$2:$C$4852),4^8),ROW(C203)))&amp;""</f>
        <v>#N/A</v>
      </c>
    </row>
    <row r="204" ht="14.100000000000001" customHeight="1">
      <c r="B204" s="20" t="s">
        <v>555</v>
      </c>
      <c r="C204" s="20" t="s">
        <v>556</v>
      </c>
      <c r="D204" s="20" t="s">
        <v>555</v>
      </c>
      <c r="E204" s="20" t="e">
        <f t="array" ref="E204">INDEX(C:C,SMALL(IF(ISNUMBER(FIND(CELL("contents"),$C$2:$C$4852)),ROW($C$2:$C$4852),4^8),ROW(C204)))&amp;""</f>
        <v>#N/A</v>
      </c>
    </row>
    <row r="205" ht="14.100000000000001" customHeight="1">
      <c r="B205" s="20" t="s">
        <v>557</v>
      </c>
      <c r="C205" s="20" t="s">
        <v>558</v>
      </c>
      <c r="D205" s="20" t="s">
        <v>557</v>
      </c>
      <c r="E205" s="20" t="e">
        <f t="array" ref="E205">INDEX(C:C,SMALL(IF(ISNUMBER(FIND(CELL("contents"),$C$2:$C$4852)),ROW($C$2:$C$4852),4^8),ROW(C205)))&amp;""</f>
        <v>#N/A</v>
      </c>
    </row>
    <row r="206" ht="14.100000000000001" customHeight="1">
      <c r="B206" s="20" t="s">
        <v>559</v>
      </c>
      <c r="C206" s="20" t="s">
        <v>560</v>
      </c>
      <c r="D206" s="20" t="s">
        <v>559</v>
      </c>
      <c r="E206" s="20" t="e">
        <f t="array" ref="E206">INDEX(C:C,SMALL(IF(ISNUMBER(FIND(CELL("contents"),$C$2:$C$4852)),ROW($C$2:$C$4852),4^8),ROW(C206)))&amp;""</f>
        <v>#N/A</v>
      </c>
    </row>
    <row r="207" ht="14.100000000000001" customHeight="1">
      <c r="B207" s="20" t="s">
        <v>561</v>
      </c>
      <c r="C207" s="20" t="s">
        <v>562</v>
      </c>
      <c r="D207" s="20" t="s">
        <v>561</v>
      </c>
      <c r="E207" s="20" t="e">
        <f t="array" ref="E207">INDEX(C:C,SMALL(IF(ISNUMBER(FIND(CELL("contents"),$C$2:$C$4852)),ROW($C$2:$C$4852),4^8),ROW(C207)))&amp;""</f>
        <v>#N/A</v>
      </c>
    </row>
    <row r="208" ht="14.100000000000001" customHeight="1">
      <c r="B208" s="20" t="s">
        <v>563</v>
      </c>
      <c r="C208" s="20" t="s">
        <v>564</v>
      </c>
      <c r="D208" s="20" t="s">
        <v>563</v>
      </c>
      <c r="E208" s="20" t="e">
        <f t="array" ref="E208">INDEX(C:C,SMALL(IF(ISNUMBER(FIND(CELL("contents"),$C$2:$C$4852)),ROW($C$2:$C$4852),4^8),ROW(C208)))&amp;""</f>
        <v>#N/A</v>
      </c>
    </row>
    <row r="209" ht="14.100000000000001" customHeight="1">
      <c r="B209" s="20" t="s">
        <v>565</v>
      </c>
      <c r="C209" s="20" t="s">
        <v>566</v>
      </c>
      <c r="D209" s="20" t="s">
        <v>565</v>
      </c>
      <c r="E209" s="20" t="e">
        <f t="array" ref="E209">INDEX(C:C,SMALL(IF(ISNUMBER(FIND(CELL("contents"),$C$2:$C$4852)),ROW($C$2:$C$4852),4^8),ROW(C209)))&amp;""</f>
        <v>#N/A</v>
      </c>
    </row>
    <row r="210" ht="14.100000000000001" customHeight="1">
      <c r="B210" s="20" t="s">
        <v>567</v>
      </c>
      <c r="C210" s="20" t="s">
        <v>568</v>
      </c>
      <c r="D210" s="20" t="s">
        <v>567</v>
      </c>
      <c r="E210" s="20" t="e">
        <f t="array" ref="E210">INDEX(C:C,SMALL(IF(ISNUMBER(FIND(CELL("contents"),$C$2:$C$4852)),ROW($C$2:$C$4852),4^8),ROW(C210)))&amp;""</f>
        <v>#N/A</v>
      </c>
    </row>
    <row r="211" ht="14.100000000000001" customHeight="1">
      <c r="B211" s="20" t="s">
        <v>569</v>
      </c>
      <c r="C211" s="20" t="s">
        <v>570</v>
      </c>
      <c r="D211" s="20" t="s">
        <v>569</v>
      </c>
      <c r="E211" s="20" t="e">
        <f t="array" ref="E211">INDEX(C:C,SMALL(IF(ISNUMBER(FIND(CELL("contents"),$C$2:$C$4852)),ROW($C$2:$C$4852),4^8),ROW(C211)))&amp;""</f>
        <v>#N/A</v>
      </c>
    </row>
    <row r="212" ht="14.100000000000001" customHeight="1">
      <c r="B212" s="20" t="s">
        <v>571</v>
      </c>
      <c r="C212" s="20" t="s">
        <v>572</v>
      </c>
      <c r="D212" s="20" t="s">
        <v>571</v>
      </c>
      <c r="E212" s="20" t="e">
        <f t="array" ref="E212">INDEX(C:C,SMALL(IF(ISNUMBER(FIND(CELL("contents"),$C$2:$C$4852)),ROW($C$2:$C$4852),4^8),ROW(C212)))&amp;""</f>
        <v>#N/A</v>
      </c>
    </row>
    <row r="213" ht="14.100000000000001" customHeight="1">
      <c r="B213" s="20" t="s">
        <v>573</v>
      </c>
      <c r="C213" s="20" t="s">
        <v>574</v>
      </c>
      <c r="D213" s="20" t="s">
        <v>573</v>
      </c>
      <c r="E213" s="20" t="e">
        <f t="array" ref="E213">INDEX(C:C,SMALL(IF(ISNUMBER(FIND(CELL("contents"),$C$2:$C$4852)),ROW($C$2:$C$4852),4^8),ROW(C213)))&amp;""</f>
        <v>#N/A</v>
      </c>
    </row>
    <row r="214" ht="14.100000000000001" customHeight="1">
      <c r="B214" s="20" t="s">
        <v>575</v>
      </c>
      <c r="C214" s="20" t="s">
        <v>576</v>
      </c>
      <c r="D214" s="20" t="s">
        <v>575</v>
      </c>
      <c r="E214" s="20" t="e">
        <f t="array" ref="E214">INDEX(C:C,SMALL(IF(ISNUMBER(FIND(CELL("contents"),$C$2:$C$4852)),ROW($C$2:$C$4852),4^8),ROW(C214)))&amp;""</f>
        <v>#N/A</v>
      </c>
    </row>
    <row r="215" ht="14.100000000000001" customHeight="1">
      <c r="B215" s="20" t="s">
        <v>577</v>
      </c>
      <c r="C215" s="20" t="s">
        <v>578</v>
      </c>
      <c r="D215" s="20" t="s">
        <v>577</v>
      </c>
      <c r="E215" s="20" t="e">
        <f t="array" ref="E215">INDEX(C:C,SMALL(IF(ISNUMBER(FIND(CELL("contents"),$C$2:$C$4852)),ROW($C$2:$C$4852),4^8),ROW(C215)))&amp;""</f>
        <v>#N/A</v>
      </c>
    </row>
    <row r="216" ht="14.100000000000001" customHeight="1">
      <c r="B216" s="20" t="s">
        <v>579</v>
      </c>
      <c r="C216" s="20" t="s">
        <v>580</v>
      </c>
      <c r="D216" s="20" t="s">
        <v>579</v>
      </c>
      <c r="E216" s="20" t="e">
        <f t="array" ref="E216">INDEX(C:C,SMALL(IF(ISNUMBER(FIND(CELL("contents"),$C$2:$C$4852)),ROW($C$2:$C$4852),4^8),ROW(C216)))&amp;""</f>
        <v>#N/A</v>
      </c>
    </row>
    <row r="217" ht="14.100000000000001" customHeight="1">
      <c r="B217" s="20" t="s">
        <v>581</v>
      </c>
      <c r="C217" s="20" t="s">
        <v>582</v>
      </c>
      <c r="D217" s="20" t="s">
        <v>581</v>
      </c>
      <c r="E217" s="20" t="e">
        <f t="array" ref="E217">INDEX(C:C,SMALL(IF(ISNUMBER(FIND(CELL("contents"),$C$2:$C$4852)),ROW($C$2:$C$4852),4^8),ROW(C217)))&amp;""</f>
        <v>#N/A</v>
      </c>
    </row>
    <row r="218" ht="14.100000000000001" customHeight="1">
      <c r="B218" s="20" t="s">
        <v>583</v>
      </c>
      <c r="C218" s="20" t="s">
        <v>584</v>
      </c>
      <c r="D218" s="20" t="s">
        <v>583</v>
      </c>
      <c r="E218" s="20" t="e">
        <f t="array" ref="E218">INDEX(C:C,SMALL(IF(ISNUMBER(FIND(CELL("contents"),$C$2:$C$4852)),ROW($C$2:$C$4852),4^8),ROW(C218)))&amp;""</f>
        <v>#N/A</v>
      </c>
    </row>
    <row r="219" ht="14.100000000000001" customHeight="1">
      <c r="B219" s="20" t="s">
        <v>585</v>
      </c>
      <c r="C219" s="20" t="s">
        <v>586</v>
      </c>
      <c r="D219" s="20" t="s">
        <v>585</v>
      </c>
      <c r="E219" s="20" t="e">
        <f t="array" ref="E219">INDEX(C:C,SMALL(IF(ISNUMBER(FIND(CELL("contents"),$C$2:$C$4852)),ROW($C$2:$C$4852),4^8),ROW(C219)))&amp;""</f>
        <v>#N/A</v>
      </c>
    </row>
    <row r="220" ht="14.100000000000001" customHeight="1">
      <c r="B220" s="20" t="s">
        <v>587</v>
      </c>
      <c r="C220" s="20" t="s">
        <v>588</v>
      </c>
      <c r="D220" s="20" t="s">
        <v>587</v>
      </c>
      <c r="E220" s="20" t="e">
        <f t="array" ref="E220">INDEX(C:C,SMALL(IF(ISNUMBER(FIND(CELL("contents"),$C$2:$C$4852)),ROW($C$2:$C$4852),4^8),ROW(C220)))&amp;""</f>
        <v>#N/A</v>
      </c>
    </row>
    <row r="221" ht="14.100000000000001" customHeight="1">
      <c r="B221" s="20" t="s">
        <v>589</v>
      </c>
      <c r="C221" s="20" t="s">
        <v>590</v>
      </c>
      <c r="D221" s="20" t="s">
        <v>589</v>
      </c>
      <c r="E221" s="20" t="e">
        <f t="array" ref="E221">INDEX(C:C,SMALL(IF(ISNUMBER(FIND(CELL("contents"),$C$2:$C$4852)),ROW($C$2:$C$4852),4^8),ROW(C221)))&amp;""</f>
        <v>#N/A</v>
      </c>
    </row>
    <row r="222" ht="14.100000000000001" customHeight="1">
      <c r="B222" s="20" t="s">
        <v>591</v>
      </c>
      <c r="C222" s="20" t="s">
        <v>592</v>
      </c>
      <c r="D222" s="20" t="s">
        <v>591</v>
      </c>
      <c r="E222" s="20" t="e">
        <f t="array" ref="E222">INDEX(C:C,SMALL(IF(ISNUMBER(FIND(CELL("contents"),$C$2:$C$4852)),ROW($C$2:$C$4852),4^8),ROW(C222)))&amp;""</f>
        <v>#N/A</v>
      </c>
    </row>
    <row r="223" ht="14.100000000000001" customHeight="1">
      <c r="B223" s="20" t="s">
        <v>593</v>
      </c>
      <c r="C223" s="20" t="s">
        <v>594</v>
      </c>
      <c r="D223" s="20" t="s">
        <v>593</v>
      </c>
      <c r="E223" s="20" t="e">
        <f t="array" ref="E223">INDEX(C:C,SMALL(IF(ISNUMBER(FIND(CELL("contents"),$C$2:$C$4852)),ROW($C$2:$C$4852),4^8),ROW(C223)))&amp;""</f>
        <v>#N/A</v>
      </c>
    </row>
    <row r="224" ht="14.100000000000001" customHeight="1">
      <c r="B224" s="20" t="s">
        <v>595</v>
      </c>
      <c r="C224" s="20" t="s">
        <v>596</v>
      </c>
      <c r="D224" s="20" t="s">
        <v>595</v>
      </c>
      <c r="E224" s="20" t="e">
        <f t="array" ref="E224">INDEX(C:C,SMALL(IF(ISNUMBER(FIND(CELL("contents"),$C$2:$C$4852)),ROW($C$2:$C$4852),4^8),ROW(C224)))&amp;""</f>
        <v>#N/A</v>
      </c>
    </row>
    <row r="225" ht="14.100000000000001" customHeight="1">
      <c r="B225" s="20" t="s">
        <v>597</v>
      </c>
      <c r="C225" s="20" t="s">
        <v>598</v>
      </c>
      <c r="D225" s="20" t="s">
        <v>597</v>
      </c>
      <c r="E225" s="20" t="e">
        <f t="array" ref="E225">INDEX(C:C,SMALL(IF(ISNUMBER(FIND(CELL("contents"),$C$2:$C$4852)),ROW($C$2:$C$4852),4^8),ROW(C225)))&amp;""</f>
        <v>#N/A</v>
      </c>
    </row>
    <row r="226" ht="14.100000000000001" customHeight="1">
      <c r="B226" s="20" t="s">
        <v>599</v>
      </c>
      <c r="C226" s="20" t="s">
        <v>600</v>
      </c>
      <c r="D226" s="20" t="s">
        <v>599</v>
      </c>
      <c r="E226" s="20" t="e">
        <f t="array" ref="E226">INDEX(C:C,SMALL(IF(ISNUMBER(FIND(CELL("contents"),$C$2:$C$4852)),ROW($C$2:$C$4852),4^8),ROW(C226)))&amp;""</f>
        <v>#N/A</v>
      </c>
    </row>
    <row r="227" ht="14.100000000000001" customHeight="1">
      <c r="B227" s="20" t="s">
        <v>601</v>
      </c>
      <c r="C227" s="20" t="s">
        <v>602</v>
      </c>
      <c r="D227" s="20" t="s">
        <v>601</v>
      </c>
      <c r="E227" s="20" t="e">
        <f t="array" ref="E227">INDEX(C:C,SMALL(IF(ISNUMBER(FIND(CELL("contents"),$C$2:$C$4852)),ROW($C$2:$C$4852),4^8),ROW(C227)))&amp;""</f>
        <v>#N/A</v>
      </c>
    </row>
    <row r="228" ht="14.100000000000001" customHeight="1">
      <c r="B228" s="20" t="s">
        <v>603</v>
      </c>
      <c r="C228" s="20" t="s">
        <v>604</v>
      </c>
      <c r="D228" s="20" t="s">
        <v>603</v>
      </c>
      <c r="E228" s="20" t="e">
        <f t="array" ref="E228">INDEX(C:C,SMALL(IF(ISNUMBER(FIND(CELL("contents"),$C$2:$C$4852)),ROW($C$2:$C$4852),4^8),ROW(C228)))&amp;""</f>
        <v>#N/A</v>
      </c>
    </row>
    <row r="229" ht="14.100000000000001" customHeight="1">
      <c r="B229" s="20" t="s">
        <v>605</v>
      </c>
      <c r="C229" s="20" t="s">
        <v>606</v>
      </c>
      <c r="D229" s="20" t="s">
        <v>605</v>
      </c>
      <c r="E229" s="20" t="e">
        <f t="array" ref="E229">INDEX(C:C,SMALL(IF(ISNUMBER(FIND(CELL("contents"),$C$2:$C$4852)),ROW($C$2:$C$4852),4^8),ROW(C229)))&amp;""</f>
        <v>#N/A</v>
      </c>
    </row>
    <row r="230" ht="14.100000000000001" customHeight="1">
      <c r="B230" s="20" t="s">
        <v>607</v>
      </c>
      <c r="C230" s="20" t="s">
        <v>608</v>
      </c>
      <c r="D230" s="20" t="s">
        <v>607</v>
      </c>
      <c r="E230" s="20" t="e">
        <f t="array" ref="E230">INDEX(C:C,SMALL(IF(ISNUMBER(FIND(CELL("contents"),$C$2:$C$4852)),ROW($C$2:$C$4852),4^8),ROW(C230)))&amp;""</f>
        <v>#N/A</v>
      </c>
    </row>
    <row r="231" ht="14.100000000000001" customHeight="1">
      <c r="B231" s="20" t="s">
        <v>609</v>
      </c>
      <c r="C231" s="20" t="s">
        <v>610</v>
      </c>
      <c r="D231" s="20" t="s">
        <v>609</v>
      </c>
      <c r="E231" s="20" t="e">
        <f t="array" ref="E231">INDEX(C:C,SMALL(IF(ISNUMBER(FIND(CELL("contents"),$C$2:$C$4852)),ROW($C$2:$C$4852),4^8),ROW(C231)))&amp;""</f>
        <v>#N/A</v>
      </c>
    </row>
    <row r="232" ht="14.100000000000001" customHeight="1">
      <c r="B232" s="20" t="s">
        <v>611</v>
      </c>
      <c r="C232" s="20" t="s">
        <v>612</v>
      </c>
      <c r="D232" s="20" t="s">
        <v>611</v>
      </c>
      <c r="E232" s="20" t="e">
        <f t="array" ref="E232">INDEX(C:C,SMALL(IF(ISNUMBER(FIND(CELL("contents"),$C$2:$C$4852)),ROW($C$2:$C$4852),4^8),ROW(C232)))&amp;""</f>
        <v>#N/A</v>
      </c>
    </row>
    <row r="233" ht="14.100000000000001" customHeight="1">
      <c r="B233" s="20" t="s">
        <v>613</v>
      </c>
      <c r="C233" s="20" t="s">
        <v>614</v>
      </c>
      <c r="D233" s="20" t="s">
        <v>613</v>
      </c>
      <c r="E233" s="20" t="e">
        <f t="array" ref="E233">INDEX(C:C,SMALL(IF(ISNUMBER(FIND(CELL("contents"),$C$2:$C$4852)),ROW($C$2:$C$4852),4^8),ROW(C233)))&amp;""</f>
        <v>#N/A</v>
      </c>
    </row>
    <row r="234" ht="14.100000000000001" customHeight="1">
      <c r="B234" s="20" t="s">
        <v>615</v>
      </c>
      <c r="C234" s="20" t="s">
        <v>616</v>
      </c>
      <c r="D234" s="20" t="s">
        <v>615</v>
      </c>
      <c r="E234" s="20" t="e">
        <f t="array" ref="E234">INDEX(C:C,SMALL(IF(ISNUMBER(FIND(CELL("contents"),$C$2:$C$4852)),ROW($C$2:$C$4852),4^8),ROW(C234)))&amp;""</f>
        <v>#N/A</v>
      </c>
    </row>
    <row r="235" ht="14.100000000000001" customHeight="1">
      <c r="B235" s="20" t="s">
        <v>617</v>
      </c>
      <c r="C235" s="20" t="s">
        <v>618</v>
      </c>
      <c r="D235" s="20" t="s">
        <v>617</v>
      </c>
      <c r="E235" s="20" t="e">
        <f t="array" ref="E235">INDEX(C:C,SMALL(IF(ISNUMBER(FIND(CELL("contents"),$C$2:$C$4852)),ROW($C$2:$C$4852),4^8),ROW(C235)))&amp;""</f>
        <v>#N/A</v>
      </c>
    </row>
    <row r="236" ht="14.100000000000001" customHeight="1">
      <c r="B236" s="20" t="s">
        <v>619</v>
      </c>
      <c r="C236" s="20" t="s">
        <v>620</v>
      </c>
      <c r="D236" s="20" t="s">
        <v>619</v>
      </c>
      <c r="E236" s="20" t="e">
        <f t="array" ref="E236">INDEX(C:C,SMALL(IF(ISNUMBER(FIND(CELL("contents"),$C$2:$C$4852)),ROW($C$2:$C$4852),4^8),ROW(C236)))&amp;""</f>
        <v>#N/A</v>
      </c>
    </row>
    <row r="237" ht="14.100000000000001" customHeight="1">
      <c r="B237" s="20" t="s">
        <v>621</v>
      </c>
      <c r="C237" s="20" t="s">
        <v>622</v>
      </c>
      <c r="D237" s="20" t="s">
        <v>621</v>
      </c>
      <c r="E237" s="20" t="e">
        <f t="array" ref="E237">INDEX(C:C,SMALL(IF(ISNUMBER(FIND(CELL("contents"),$C$2:$C$4852)),ROW($C$2:$C$4852),4^8),ROW(C237)))&amp;""</f>
        <v>#N/A</v>
      </c>
    </row>
    <row r="238" ht="14.100000000000001" customHeight="1">
      <c r="B238" s="20" t="s">
        <v>623</v>
      </c>
      <c r="C238" s="20" t="s">
        <v>624</v>
      </c>
      <c r="D238" s="20" t="s">
        <v>623</v>
      </c>
      <c r="E238" s="20" t="e">
        <f t="array" ref="E238">INDEX(C:C,SMALL(IF(ISNUMBER(FIND(CELL("contents"),$C$2:$C$4852)),ROW($C$2:$C$4852),4^8),ROW(C238)))&amp;""</f>
        <v>#N/A</v>
      </c>
    </row>
    <row r="239" ht="14.100000000000001" customHeight="1">
      <c r="B239" s="20" t="s">
        <v>625</v>
      </c>
      <c r="C239" s="20" t="s">
        <v>626</v>
      </c>
      <c r="D239" s="20" t="s">
        <v>625</v>
      </c>
      <c r="E239" s="20" t="e">
        <f t="array" ref="E239">INDEX(C:C,SMALL(IF(ISNUMBER(FIND(CELL("contents"),$C$2:$C$4852)),ROW($C$2:$C$4852),4^8),ROW(C239)))&amp;""</f>
        <v>#N/A</v>
      </c>
    </row>
    <row r="240" ht="14.100000000000001" customHeight="1">
      <c r="B240" s="20" t="s">
        <v>627</v>
      </c>
      <c r="C240" s="20" t="s">
        <v>628</v>
      </c>
      <c r="D240" s="20" t="s">
        <v>627</v>
      </c>
      <c r="E240" s="20" t="e">
        <f t="array" ref="E240">INDEX(C:C,SMALL(IF(ISNUMBER(FIND(CELL("contents"),$C$2:$C$4852)),ROW($C$2:$C$4852),4^8),ROW(C240)))&amp;""</f>
        <v>#N/A</v>
      </c>
    </row>
    <row r="241" ht="14.100000000000001" customHeight="1">
      <c r="B241" s="20" t="s">
        <v>629</v>
      </c>
      <c r="C241" s="20" t="s">
        <v>630</v>
      </c>
      <c r="D241" s="20" t="s">
        <v>629</v>
      </c>
      <c r="E241" s="20" t="e">
        <f t="array" ref="E241">INDEX(C:C,SMALL(IF(ISNUMBER(FIND(CELL("contents"),$C$2:$C$4852)),ROW($C$2:$C$4852),4^8),ROW(C241)))&amp;""</f>
        <v>#N/A</v>
      </c>
    </row>
    <row r="242" ht="14.100000000000001" customHeight="1">
      <c r="B242" s="20" t="s">
        <v>631</v>
      </c>
      <c r="C242" s="20" t="s">
        <v>632</v>
      </c>
      <c r="D242" s="20" t="s">
        <v>631</v>
      </c>
      <c r="E242" s="20" t="e">
        <f t="array" ref="E242">INDEX(C:C,SMALL(IF(ISNUMBER(FIND(CELL("contents"),$C$2:$C$4852)),ROW($C$2:$C$4852),4^8),ROW(C242)))&amp;""</f>
        <v>#N/A</v>
      </c>
    </row>
    <row r="243" ht="14.100000000000001" customHeight="1">
      <c r="B243" s="20" t="s">
        <v>633</v>
      </c>
      <c r="C243" s="20" t="s">
        <v>634</v>
      </c>
      <c r="D243" s="20" t="s">
        <v>633</v>
      </c>
      <c r="E243" s="20" t="e">
        <f t="array" ref="E243">INDEX(C:C,SMALL(IF(ISNUMBER(FIND(CELL("contents"),$C$2:$C$4852)),ROW($C$2:$C$4852),4^8),ROW(C243)))&amp;""</f>
        <v>#N/A</v>
      </c>
    </row>
    <row r="244" ht="14.100000000000001" customHeight="1">
      <c r="B244" s="20" t="s">
        <v>635</v>
      </c>
      <c r="C244" s="20" t="s">
        <v>636</v>
      </c>
      <c r="D244" s="20" t="s">
        <v>635</v>
      </c>
      <c r="E244" s="20" t="e">
        <f t="array" ref="E244">INDEX(C:C,SMALL(IF(ISNUMBER(FIND(CELL("contents"),$C$2:$C$4852)),ROW($C$2:$C$4852),4^8),ROW(C244)))&amp;""</f>
        <v>#N/A</v>
      </c>
    </row>
    <row r="245" ht="14.100000000000001" customHeight="1">
      <c r="B245" s="20" t="s">
        <v>637</v>
      </c>
      <c r="C245" s="20" t="s">
        <v>638</v>
      </c>
      <c r="D245" s="20" t="s">
        <v>637</v>
      </c>
      <c r="E245" s="20" t="e">
        <f t="array" ref="E245">INDEX(C:C,SMALL(IF(ISNUMBER(FIND(CELL("contents"),$C$2:$C$4852)),ROW($C$2:$C$4852),4^8),ROW(C245)))&amp;""</f>
        <v>#N/A</v>
      </c>
    </row>
    <row r="246" ht="14.100000000000001" customHeight="1">
      <c r="B246" s="20" t="s">
        <v>639</v>
      </c>
      <c r="C246" s="20" t="s">
        <v>640</v>
      </c>
      <c r="D246" s="20" t="s">
        <v>639</v>
      </c>
      <c r="E246" s="20" t="e">
        <f t="array" ref="E246">INDEX(C:C,SMALL(IF(ISNUMBER(FIND(CELL("contents"),$C$2:$C$4852)),ROW($C$2:$C$4852),4^8),ROW(C246)))&amp;""</f>
        <v>#N/A</v>
      </c>
    </row>
    <row r="247" ht="14.100000000000001" customHeight="1">
      <c r="B247" s="20" t="s">
        <v>641</v>
      </c>
      <c r="C247" s="20" t="s">
        <v>642</v>
      </c>
      <c r="D247" s="20" t="s">
        <v>641</v>
      </c>
      <c r="E247" s="20" t="e">
        <f t="array" ref="E247">INDEX(C:C,SMALL(IF(ISNUMBER(FIND(CELL("contents"),$C$2:$C$4852)),ROW($C$2:$C$4852),4^8),ROW(C247)))&amp;""</f>
        <v>#N/A</v>
      </c>
    </row>
    <row r="248" ht="14.100000000000001" customHeight="1">
      <c r="B248" s="20" t="s">
        <v>643</v>
      </c>
      <c r="C248" s="20" t="s">
        <v>644</v>
      </c>
      <c r="D248" s="20" t="s">
        <v>643</v>
      </c>
      <c r="E248" s="20" t="e">
        <f t="array" ref="E248">INDEX(C:C,SMALL(IF(ISNUMBER(FIND(CELL("contents"),$C$2:$C$4852)),ROW($C$2:$C$4852),4^8),ROW(C248)))&amp;""</f>
        <v>#N/A</v>
      </c>
    </row>
    <row r="249" ht="14.100000000000001" customHeight="1">
      <c r="B249" s="20" t="s">
        <v>645</v>
      </c>
      <c r="C249" s="20" t="s">
        <v>646</v>
      </c>
      <c r="D249" s="20" t="s">
        <v>645</v>
      </c>
      <c r="E249" s="20" t="e">
        <f t="array" ref="E249">INDEX(C:C,SMALL(IF(ISNUMBER(FIND(CELL("contents"),$C$2:$C$4852)),ROW($C$2:$C$4852),4^8),ROW(C249)))&amp;""</f>
        <v>#N/A</v>
      </c>
    </row>
    <row r="250" ht="14.100000000000001" customHeight="1">
      <c r="B250" s="20" t="s">
        <v>647</v>
      </c>
      <c r="C250" s="20" t="s">
        <v>648</v>
      </c>
      <c r="D250" s="20" t="s">
        <v>647</v>
      </c>
      <c r="E250" s="20" t="e">
        <f t="array" ref="E250">INDEX(C:C,SMALL(IF(ISNUMBER(FIND(CELL("contents"),$C$2:$C$4852)),ROW($C$2:$C$4852),4^8),ROW(C250)))&amp;""</f>
        <v>#N/A</v>
      </c>
    </row>
    <row r="251" ht="14.100000000000001" customHeight="1">
      <c r="B251" s="20" t="s">
        <v>649</v>
      </c>
      <c r="C251" s="20" t="s">
        <v>650</v>
      </c>
      <c r="D251" s="20" t="s">
        <v>649</v>
      </c>
      <c r="E251" s="20" t="e">
        <f t="array" ref="E251">INDEX(C:C,SMALL(IF(ISNUMBER(FIND(CELL("contents"),$C$2:$C$4852)),ROW($C$2:$C$4852),4^8),ROW(C251)))&amp;""</f>
        <v>#N/A</v>
      </c>
    </row>
    <row r="252" ht="14.100000000000001" customHeight="1">
      <c r="B252" s="20" t="s">
        <v>651</v>
      </c>
      <c r="C252" s="20" t="s">
        <v>652</v>
      </c>
      <c r="D252" s="20" t="s">
        <v>651</v>
      </c>
      <c r="E252" s="20" t="e">
        <f t="array" ref="E252">INDEX(C:C,SMALL(IF(ISNUMBER(FIND(CELL("contents"),$C$2:$C$4852)),ROW($C$2:$C$4852),4^8),ROW(C252)))&amp;""</f>
        <v>#N/A</v>
      </c>
    </row>
    <row r="253" ht="14.100000000000001" customHeight="1">
      <c r="B253" s="20" t="s">
        <v>653</v>
      </c>
      <c r="C253" s="20" t="s">
        <v>654</v>
      </c>
      <c r="D253" s="20" t="s">
        <v>653</v>
      </c>
      <c r="E253" s="20" t="e">
        <f t="array" ref="E253">INDEX(C:C,SMALL(IF(ISNUMBER(FIND(CELL("contents"),$C$2:$C$4852)),ROW($C$2:$C$4852),4^8),ROW(C253)))&amp;""</f>
        <v>#N/A</v>
      </c>
    </row>
    <row r="254" ht="14.100000000000001" customHeight="1">
      <c r="B254" s="20" t="s">
        <v>655</v>
      </c>
      <c r="C254" s="20" t="s">
        <v>656</v>
      </c>
      <c r="D254" s="20" t="s">
        <v>655</v>
      </c>
      <c r="E254" s="20" t="e">
        <f t="array" ref="E254">INDEX(C:C,SMALL(IF(ISNUMBER(FIND(CELL("contents"),$C$2:$C$4852)),ROW($C$2:$C$4852),4^8),ROW(C254)))&amp;""</f>
        <v>#N/A</v>
      </c>
    </row>
    <row r="255" ht="14.100000000000001" customHeight="1">
      <c r="B255" s="20" t="s">
        <v>657</v>
      </c>
      <c r="C255" s="20" t="s">
        <v>658</v>
      </c>
      <c r="D255" s="20" t="s">
        <v>657</v>
      </c>
      <c r="E255" s="20" t="e">
        <f t="array" ref="E255">INDEX(C:C,SMALL(IF(ISNUMBER(FIND(CELL("contents"),$C$2:$C$4852)),ROW($C$2:$C$4852),4^8),ROW(C255)))&amp;""</f>
        <v>#N/A</v>
      </c>
    </row>
    <row r="256" ht="14.100000000000001" customHeight="1">
      <c r="B256" s="20" t="s">
        <v>659</v>
      </c>
      <c r="C256" s="20" t="s">
        <v>660</v>
      </c>
      <c r="D256" s="20" t="s">
        <v>659</v>
      </c>
      <c r="E256" s="20" t="e">
        <f t="array" ref="E256">INDEX(C:C,SMALL(IF(ISNUMBER(FIND(CELL("contents"),$C$2:$C$4852)),ROW($C$2:$C$4852),4^8),ROW(C256)))&amp;""</f>
        <v>#N/A</v>
      </c>
    </row>
    <row r="257" ht="14.100000000000001" customHeight="1">
      <c r="B257" s="20" t="s">
        <v>661</v>
      </c>
      <c r="C257" s="20" t="s">
        <v>662</v>
      </c>
      <c r="D257" s="20" t="s">
        <v>661</v>
      </c>
      <c r="E257" s="20" t="e">
        <f t="array" ref="E257">INDEX(C:C,SMALL(IF(ISNUMBER(FIND(CELL("contents"),$C$2:$C$4852)),ROW($C$2:$C$4852),4^8),ROW(C257)))&amp;""</f>
        <v>#N/A</v>
      </c>
    </row>
    <row r="258" ht="14.100000000000001" customHeight="1">
      <c r="B258" s="20" t="s">
        <v>663</v>
      </c>
      <c r="C258" s="20" t="s">
        <v>664</v>
      </c>
      <c r="D258" s="20" t="s">
        <v>663</v>
      </c>
      <c r="E258" s="20" t="e">
        <f t="array" ref="E258">INDEX(C:C,SMALL(IF(ISNUMBER(FIND(CELL("contents"),$C$2:$C$4852)),ROW($C$2:$C$4852),4^8),ROW(C258)))&amp;""</f>
        <v>#N/A</v>
      </c>
    </row>
    <row r="259" ht="14.100000000000001" customHeight="1">
      <c r="B259" s="20" t="s">
        <v>665</v>
      </c>
      <c r="C259" s="20" t="s">
        <v>666</v>
      </c>
      <c r="D259" s="20" t="s">
        <v>665</v>
      </c>
      <c r="E259" s="20" t="e">
        <f t="array" ref="E259">INDEX(C:C,SMALL(IF(ISNUMBER(FIND(CELL("contents"),$C$2:$C$4852)),ROW($C$2:$C$4852),4^8),ROW(C259)))&amp;""</f>
        <v>#N/A</v>
      </c>
    </row>
    <row r="260" ht="14.100000000000001" customHeight="1">
      <c r="B260" s="20" t="s">
        <v>667</v>
      </c>
      <c r="C260" s="20" t="s">
        <v>668</v>
      </c>
      <c r="D260" s="20" t="s">
        <v>667</v>
      </c>
      <c r="E260" s="20" t="e">
        <f t="array" ref="E260">INDEX(C:C,SMALL(IF(ISNUMBER(FIND(CELL("contents"),$C$2:$C$4852)),ROW($C$2:$C$4852),4^8),ROW(C260)))&amp;""</f>
        <v>#N/A</v>
      </c>
    </row>
    <row r="261" ht="14.100000000000001" customHeight="1">
      <c r="B261" s="20" t="s">
        <v>669</v>
      </c>
      <c r="C261" s="20" t="s">
        <v>670</v>
      </c>
      <c r="D261" s="20" t="s">
        <v>669</v>
      </c>
      <c r="E261" s="20" t="e">
        <f t="array" ref="E261">INDEX(C:C,SMALL(IF(ISNUMBER(FIND(CELL("contents"),$C$2:$C$4852)),ROW($C$2:$C$4852),4^8),ROW(C261)))&amp;""</f>
        <v>#N/A</v>
      </c>
    </row>
    <row r="262" ht="14.100000000000001" customHeight="1">
      <c r="B262" s="20" t="s">
        <v>671</v>
      </c>
      <c r="C262" s="20" t="s">
        <v>672</v>
      </c>
      <c r="D262" s="20" t="s">
        <v>671</v>
      </c>
      <c r="E262" s="20" t="e">
        <f t="array" ref="E262">INDEX(C:C,SMALL(IF(ISNUMBER(FIND(CELL("contents"),$C$2:$C$4852)),ROW($C$2:$C$4852),4^8),ROW(C262)))&amp;""</f>
        <v>#N/A</v>
      </c>
    </row>
    <row r="263" ht="14.100000000000001" customHeight="1">
      <c r="B263" s="20" t="s">
        <v>673</v>
      </c>
      <c r="C263" s="20" t="s">
        <v>674</v>
      </c>
      <c r="D263" s="20" t="s">
        <v>673</v>
      </c>
      <c r="E263" s="20" t="e">
        <f t="array" ref="E263">INDEX(C:C,SMALL(IF(ISNUMBER(FIND(CELL("contents"),$C$2:$C$4852)),ROW($C$2:$C$4852),4^8),ROW(C263)))&amp;""</f>
        <v>#N/A</v>
      </c>
    </row>
    <row r="264" ht="14.100000000000001" customHeight="1">
      <c r="B264" s="20" t="s">
        <v>675</v>
      </c>
      <c r="C264" s="20" t="s">
        <v>676</v>
      </c>
      <c r="D264" s="20" t="s">
        <v>675</v>
      </c>
      <c r="E264" s="20" t="e">
        <f t="array" ref="E264">INDEX(C:C,SMALL(IF(ISNUMBER(FIND(CELL("contents"),$C$2:$C$4852)),ROW($C$2:$C$4852),4^8),ROW(C264)))&amp;""</f>
        <v>#N/A</v>
      </c>
    </row>
    <row r="265" ht="14.100000000000001" customHeight="1">
      <c r="B265" s="20" t="s">
        <v>677</v>
      </c>
      <c r="C265" s="20" t="s">
        <v>678</v>
      </c>
      <c r="D265" s="20" t="s">
        <v>677</v>
      </c>
      <c r="E265" s="20" t="e">
        <f t="array" ref="E265">INDEX(C:C,SMALL(IF(ISNUMBER(FIND(CELL("contents"),$C$2:$C$4852)),ROW($C$2:$C$4852),4^8),ROW(C265)))&amp;""</f>
        <v>#N/A</v>
      </c>
    </row>
    <row r="266" ht="14.100000000000001" customHeight="1">
      <c r="B266" s="20" t="s">
        <v>679</v>
      </c>
      <c r="C266" s="20" t="s">
        <v>680</v>
      </c>
      <c r="D266" s="20" t="s">
        <v>679</v>
      </c>
      <c r="E266" s="20" t="e">
        <f t="array" ref="E266">INDEX(C:C,SMALL(IF(ISNUMBER(FIND(CELL("contents"),$C$2:$C$4852)),ROW($C$2:$C$4852),4^8),ROW(C266)))&amp;""</f>
        <v>#N/A</v>
      </c>
    </row>
    <row r="267" ht="14.100000000000001" customHeight="1">
      <c r="B267" s="20" t="s">
        <v>681</v>
      </c>
      <c r="C267" s="20" t="s">
        <v>682</v>
      </c>
      <c r="D267" s="20" t="s">
        <v>681</v>
      </c>
      <c r="E267" s="20" t="e">
        <f t="array" ref="E267">INDEX(C:C,SMALL(IF(ISNUMBER(FIND(CELL("contents"),$C$2:$C$4852)),ROW($C$2:$C$4852),4^8),ROW(C267)))&amp;""</f>
        <v>#N/A</v>
      </c>
    </row>
    <row r="268" ht="14.100000000000001" customHeight="1">
      <c r="B268" s="20" t="s">
        <v>683</v>
      </c>
      <c r="C268" s="20" t="s">
        <v>684</v>
      </c>
      <c r="D268" s="20" t="s">
        <v>683</v>
      </c>
      <c r="E268" s="20" t="e">
        <f t="array" ref="E268">INDEX(C:C,SMALL(IF(ISNUMBER(FIND(CELL("contents"),$C$2:$C$4852)),ROW($C$2:$C$4852),4^8),ROW(C268)))&amp;""</f>
        <v>#N/A</v>
      </c>
    </row>
    <row r="269" ht="14.100000000000001" customHeight="1">
      <c r="B269" s="20" t="s">
        <v>685</v>
      </c>
      <c r="C269" s="20" t="s">
        <v>686</v>
      </c>
      <c r="D269" s="20" t="s">
        <v>685</v>
      </c>
      <c r="E269" s="20" t="e">
        <f t="array" ref="E269">INDEX(C:C,SMALL(IF(ISNUMBER(FIND(CELL("contents"),$C$2:$C$4852)),ROW($C$2:$C$4852),4^8),ROW(C269)))&amp;""</f>
        <v>#N/A</v>
      </c>
    </row>
    <row r="270" ht="14.100000000000001" customHeight="1">
      <c r="B270" s="20" t="s">
        <v>687</v>
      </c>
      <c r="C270" s="20" t="s">
        <v>688</v>
      </c>
      <c r="D270" s="20" t="s">
        <v>687</v>
      </c>
      <c r="E270" s="20" t="e">
        <f t="array" ref="E270">INDEX(C:C,SMALL(IF(ISNUMBER(FIND(CELL("contents"),$C$2:$C$4852)),ROW($C$2:$C$4852),4^8),ROW(C270)))&amp;""</f>
        <v>#N/A</v>
      </c>
    </row>
    <row r="271" ht="14.100000000000001" customHeight="1">
      <c r="B271" s="20" t="s">
        <v>689</v>
      </c>
      <c r="C271" s="20" t="s">
        <v>690</v>
      </c>
      <c r="D271" s="20" t="s">
        <v>689</v>
      </c>
      <c r="E271" s="20" t="e">
        <f t="array" ref="E271">INDEX(C:C,SMALL(IF(ISNUMBER(FIND(CELL("contents"),$C$2:$C$4852)),ROW($C$2:$C$4852),4^8),ROW(C271)))&amp;""</f>
        <v>#N/A</v>
      </c>
    </row>
    <row r="272" ht="14.100000000000001" customHeight="1">
      <c r="B272" s="20" t="s">
        <v>691</v>
      </c>
      <c r="C272" s="20" t="s">
        <v>692</v>
      </c>
      <c r="D272" s="20" t="s">
        <v>691</v>
      </c>
      <c r="E272" s="20" t="e">
        <f t="array" ref="E272">INDEX(C:C,SMALL(IF(ISNUMBER(FIND(CELL("contents"),$C$2:$C$4852)),ROW($C$2:$C$4852),4^8),ROW(C272)))&amp;""</f>
        <v>#N/A</v>
      </c>
    </row>
    <row r="273" ht="14.100000000000001" customHeight="1">
      <c r="B273" s="20" t="s">
        <v>693</v>
      </c>
      <c r="C273" s="20" t="s">
        <v>694</v>
      </c>
      <c r="D273" s="20" t="s">
        <v>693</v>
      </c>
      <c r="E273" s="20" t="e">
        <f t="array" ref="E273">INDEX(C:C,SMALL(IF(ISNUMBER(FIND(CELL("contents"),$C$2:$C$4852)),ROW($C$2:$C$4852),4^8),ROW(C273)))&amp;""</f>
        <v>#N/A</v>
      </c>
    </row>
    <row r="274" ht="14.100000000000001" customHeight="1">
      <c r="B274" s="20" t="s">
        <v>695</v>
      </c>
      <c r="C274" s="20" t="s">
        <v>696</v>
      </c>
      <c r="D274" s="20" t="s">
        <v>695</v>
      </c>
      <c r="E274" s="20" t="e">
        <f t="array" ref="E274">INDEX(C:C,SMALL(IF(ISNUMBER(FIND(CELL("contents"),$C$2:$C$4852)),ROW($C$2:$C$4852),4^8),ROW(C274)))&amp;""</f>
        <v>#N/A</v>
      </c>
    </row>
    <row r="275" ht="14.100000000000001" customHeight="1">
      <c r="B275" s="20" t="s">
        <v>697</v>
      </c>
      <c r="C275" s="20" t="s">
        <v>698</v>
      </c>
      <c r="D275" s="20" t="s">
        <v>697</v>
      </c>
      <c r="E275" s="20" t="e">
        <f t="array" ref="E275">INDEX(C:C,SMALL(IF(ISNUMBER(FIND(CELL("contents"),$C$2:$C$4852)),ROW($C$2:$C$4852),4^8),ROW(C275)))&amp;""</f>
        <v>#N/A</v>
      </c>
    </row>
    <row r="276" ht="14.100000000000001" customHeight="1">
      <c r="B276" s="20" t="s">
        <v>699</v>
      </c>
      <c r="C276" s="20" t="s">
        <v>700</v>
      </c>
      <c r="D276" s="20" t="s">
        <v>699</v>
      </c>
      <c r="E276" s="20" t="e">
        <f t="array" ref="E276">INDEX(C:C,SMALL(IF(ISNUMBER(FIND(CELL("contents"),$C$2:$C$4852)),ROW($C$2:$C$4852),4^8),ROW(C276)))&amp;""</f>
        <v>#N/A</v>
      </c>
    </row>
    <row r="277" ht="14.100000000000001" customHeight="1">
      <c r="B277" s="20" t="s">
        <v>701</v>
      </c>
      <c r="C277" s="20" t="s">
        <v>702</v>
      </c>
      <c r="D277" s="20" t="s">
        <v>701</v>
      </c>
      <c r="E277" s="20" t="e">
        <f t="array" ref="E277">INDEX(C:C,SMALL(IF(ISNUMBER(FIND(CELL("contents"),$C$2:$C$4852)),ROW($C$2:$C$4852),4^8),ROW(C277)))&amp;""</f>
        <v>#N/A</v>
      </c>
    </row>
    <row r="278" ht="14.100000000000001" customHeight="1">
      <c r="B278" s="20" t="s">
        <v>703</v>
      </c>
      <c r="C278" s="20" t="s">
        <v>704</v>
      </c>
      <c r="D278" s="20" t="s">
        <v>703</v>
      </c>
      <c r="E278" s="20" t="e">
        <f t="array" ref="E278">INDEX(C:C,SMALL(IF(ISNUMBER(FIND(CELL("contents"),$C$2:$C$4852)),ROW($C$2:$C$4852),4^8),ROW(C278)))&amp;""</f>
        <v>#N/A</v>
      </c>
    </row>
    <row r="279" ht="14.100000000000001" customHeight="1">
      <c r="B279" s="20" t="s">
        <v>705</v>
      </c>
      <c r="C279" s="20" t="s">
        <v>706</v>
      </c>
      <c r="D279" s="20" t="s">
        <v>705</v>
      </c>
      <c r="E279" s="20" t="e">
        <f t="array" ref="E279">INDEX(C:C,SMALL(IF(ISNUMBER(FIND(CELL("contents"),$C$2:$C$4852)),ROW($C$2:$C$4852),4^8),ROW(C279)))&amp;""</f>
        <v>#N/A</v>
      </c>
    </row>
    <row r="280" ht="14.100000000000001" customHeight="1">
      <c r="B280" s="20" t="s">
        <v>707</v>
      </c>
      <c r="C280" s="20" t="s">
        <v>708</v>
      </c>
      <c r="D280" s="20" t="s">
        <v>707</v>
      </c>
      <c r="E280" s="20" t="e">
        <f t="array" ref="E280">INDEX(C:C,SMALL(IF(ISNUMBER(FIND(CELL("contents"),$C$2:$C$4852)),ROW($C$2:$C$4852),4^8),ROW(C280)))&amp;""</f>
        <v>#N/A</v>
      </c>
    </row>
    <row r="281" ht="14.100000000000001" customHeight="1">
      <c r="B281" s="20" t="s">
        <v>709</v>
      </c>
      <c r="C281" s="20" t="s">
        <v>710</v>
      </c>
      <c r="D281" s="20" t="s">
        <v>709</v>
      </c>
      <c r="E281" s="20" t="e">
        <f t="array" ref="E281">INDEX(C:C,SMALL(IF(ISNUMBER(FIND(CELL("contents"),$C$2:$C$4852)),ROW($C$2:$C$4852),4^8),ROW(C281)))&amp;""</f>
        <v>#N/A</v>
      </c>
    </row>
    <row r="282" ht="14.100000000000001" customHeight="1">
      <c r="B282" s="20" t="s">
        <v>711</v>
      </c>
      <c r="C282" s="20" t="s">
        <v>712</v>
      </c>
      <c r="D282" s="20" t="s">
        <v>711</v>
      </c>
      <c r="E282" s="20" t="e">
        <f t="array" ref="E282">INDEX(C:C,SMALL(IF(ISNUMBER(FIND(CELL("contents"),$C$2:$C$4852)),ROW($C$2:$C$4852),4^8),ROW(C282)))&amp;""</f>
        <v>#N/A</v>
      </c>
    </row>
    <row r="283" ht="14.100000000000001" customHeight="1">
      <c r="B283" s="20" t="s">
        <v>713</v>
      </c>
      <c r="C283" s="20" t="s">
        <v>714</v>
      </c>
      <c r="D283" s="20" t="s">
        <v>713</v>
      </c>
      <c r="E283" s="20" t="e">
        <f t="array" ref="E283">INDEX(C:C,SMALL(IF(ISNUMBER(FIND(CELL("contents"),$C$2:$C$4852)),ROW($C$2:$C$4852),4^8),ROW(C283)))&amp;""</f>
        <v>#N/A</v>
      </c>
    </row>
    <row r="284" ht="14.100000000000001" customHeight="1">
      <c r="B284" s="20" t="s">
        <v>715</v>
      </c>
      <c r="C284" s="20" t="s">
        <v>716</v>
      </c>
      <c r="D284" s="20" t="s">
        <v>715</v>
      </c>
      <c r="E284" s="20" t="e">
        <f t="array" ref="E284">INDEX(C:C,SMALL(IF(ISNUMBER(FIND(CELL("contents"),$C$2:$C$4852)),ROW($C$2:$C$4852),4^8),ROW(C284)))&amp;""</f>
        <v>#N/A</v>
      </c>
    </row>
    <row r="285" ht="14.100000000000001" customHeight="1">
      <c r="B285" s="20" t="s">
        <v>717</v>
      </c>
      <c r="C285" s="20" t="s">
        <v>718</v>
      </c>
      <c r="D285" s="20" t="s">
        <v>717</v>
      </c>
      <c r="E285" s="20" t="e">
        <f t="array" ref="E285">INDEX(C:C,SMALL(IF(ISNUMBER(FIND(CELL("contents"),$C$2:$C$4852)),ROW($C$2:$C$4852),4^8),ROW(C285)))&amp;""</f>
        <v>#N/A</v>
      </c>
    </row>
    <row r="286" ht="14.100000000000001" customHeight="1">
      <c r="B286" s="20" t="s">
        <v>719</v>
      </c>
      <c r="C286" s="20" t="s">
        <v>720</v>
      </c>
      <c r="D286" s="20" t="s">
        <v>719</v>
      </c>
      <c r="E286" s="20" t="e">
        <f t="array" ref="E286">INDEX(C:C,SMALL(IF(ISNUMBER(FIND(CELL("contents"),$C$2:$C$4852)),ROW($C$2:$C$4852),4^8),ROW(C286)))&amp;""</f>
        <v>#N/A</v>
      </c>
    </row>
    <row r="287" ht="14.100000000000001" customHeight="1">
      <c r="B287" s="20" t="s">
        <v>721</v>
      </c>
      <c r="C287" s="20" t="s">
        <v>722</v>
      </c>
      <c r="D287" s="20" t="s">
        <v>721</v>
      </c>
      <c r="E287" s="20" t="e">
        <f t="array" ref="E287">INDEX(C:C,SMALL(IF(ISNUMBER(FIND(CELL("contents"),$C$2:$C$4852)),ROW($C$2:$C$4852),4^8),ROW(C287)))&amp;""</f>
        <v>#N/A</v>
      </c>
    </row>
    <row r="288" ht="14.100000000000001" customHeight="1">
      <c r="B288" s="20" t="s">
        <v>723</v>
      </c>
      <c r="C288" s="20" t="s">
        <v>724</v>
      </c>
      <c r="D288" s="20" t="s">
        <v>723</v>
      </c>
      <c r="E288" s="20" t="e">
        <f t="array" ref="E288">INDEX(C:C,SMALL(IF(ISNUMBER(FIND(CELL("contents"),$C$2:$C$4852)),ROW($C$2:$C$4852),4^8),ROW(C288)))&amp;""</f>
        <v>#N/A</v>
      </c>
    </row>
    <row r="289" ht="14.100000000000001" customHeight="1">
      <c r="B289" s="20" t="s">
        <v>725</v>
      </c>
      <c r="C289" s="20" t="s">
        <v>726</v>
      </c>
      <c r="D289" s="20" t="s">
        <v>725</v>
      </c>
      <c r="E289" s="20" t="e">
        <f t="array" ref="E289">INDEX(C:C,SMALL(IF(ISNUMBER(FIND(CELL("contents"),$C$2:$C$4852)),ROW($C$2:$C$4852),4^8),ROW(C289)))&amp;""</f>
        <v>#N/A</v>
      </c>
    </row>
    <row r="290" ht="14.100000000000001" customHeight="1">
      <c r="B290" s="20" t="s">
        <v>727</v>
      </c>
      <c r="C290" s="20" t="s">
        <v>728</v>
      </c>
      <c r="D290" s="20" t="s">
        <v>727</v>
      </c>
      <c r="E290" s="20" t="e">
        <f t="array" ref="E290">INDEX(C:C,SMALL(IF(ISNUMBER(FIND(CELL("contents"),$C$2:$C$4852)),ROW($C$2:$C$4852),4^8),ROW(C290)))&amp;""</f>
        <v>#N/A</v>
      </c>
    </row>
    <row r="291" ht="14.100000000000001" customHeight="1">
      <c r="B291" s="20" t="s">
        <v>729</v>
      </c>
      <c r="C291" s="20" t="s">
        <v>730</v>
      </c>
      <c r="D291" s="20" t="s">
        <v>729</v>
      </c>
      <c r="E291" s="20" t="e">
        <f t="array" ref="E291">INDEX(C:C,SMALL(IF(ISNUMBER(FIND(CELL("contents"),$C$2:$C$4852)),ROW($C$2:$C$4852),4^8),ROW(C291)))&amp;""</f>
        <v>#N/A</v>
      </c>
    </row>
    <row r="292" ht="14.100000000000001" customHeight="1">
      <c r="B292" s="20" t="s">
        <v>731</v>
      </c>
      <c r="C292" s="20" t="s">
        <v>732</v>
      </c>
      <c r="D292" s="20" t="s">
        <v>731</v>
      </c>
      <c r="E292" s="20" t="e">
        <f t="array" ref="E292">INDEX(C:C,SMALL(IF(ISNUMBER(FIND(CELL("contents"),$C$2:$C$4852)),ROW($C$2:$C$4852),4^8),ROW(C292)))&amp;""</f>
        <v>#N/A</v>
      </c>
    </row>
    <row r="293" ht="14.100000000000001" customHeight="1">
      <c r="B293" s="20" t="s">
        <v>733</v>
      </c>
      <c r="C293" s="20" t="s">
        <v>734</v>
      </c>
      <c r="D293" s="20" t="s">
        <v>733</v>
      </c>
      <c r="E293" s="20" t="e">
        <f t="array" ref="E293">INDEX(C:C,SMALL(IF(ISNUMBER(FIND(CELL("contents"),$C$2:$C$4852)),ROW($C$2:$C$4852),4^8),ROW(C293)))&amp;""</f>
        <v>#N/A</v>
      </c>
    </row>
    <row r="294" ht="14.100000000000001" customHeight="1">
      <c r="B294" s="20" t="s">
        <v>735</v>
      </c>
      <c r="C294" s="20" t="s">
        <v>736</v>
      </c>
      <c r="D294" s="20" t="s">
        <v>735</v>
      </c>
      <c r="E294" s="20" t="e">
        <f t="array" ref="E294">INDEX(C:C,SMALL(IF(ISNUMBER(FIND(CELL("contents"),$C$2:$C$4852)),ROW($C$2:$C$4852),4^8),ROW(C294)))&amp;""</f>
        <v>#N/A</v>
      </c>
    </row>
    <row r="295" ht="14.100000000000001" customHeight="1">
      <c r="B295" s="20" t="s">
        <v>737</v>
      </c>
      <c r="C295" s="20" t="s">
        <v>738</v>
      </c>
      <c r="D295" s="20" t="s">
        <v>737</v>
      </c>
      <c r="E295" s="20" t="e">
        <f t="array" ref="E295">INDEX(C:C,SMALL(IF(ISNUMBER(FIND(CELL("contents"),$C$2:$C$4852)),ROW($C$2:$C$4852),4^8),ROW(C295)))&amp;""</f>
        <v>#N/A</v>
      </c>
    </row>
    <row r="296" ht="14.100000000000001" customHeight="1">
      <c r="B296" s="20" t="s">
        <v>739</v>
      </c>
      <c r="C296" s="20" t="s">
        <v>740</v>
      </c>
      <c r="D296" s="20" t="s">
        <v>739</v>
      </c>
      <c r="E296" s="20" t="e">
        <f t="array" ref="E296">INDEX(C:C,SMALL(IF(ISNUMBER(FIND(CELL("contents"),$C$2:$C$4852)),ROW($C$2:$C$4852),4^8),ROW(C296)))&amp;""</f>
        <v>#N/A</v>
      </c>
    </row>
    <row r="297" ht="14.100000000000001" customHeight="1">
      <c r="B297" s="20" t="s">
        <v>741</v>
      </c>
      <c r="C297" s="20" t="s">
        <v>742</v>
      </c>
      <c r="D297" s="20" t="s">
        <v>741</v>
      </c>
      <c r="E297" s="20" t="e">
        <f t="array" ref="E297">INDEX(C:C,SMALL(IF(ISNUMBER(FIND(CELL("contents"),$C$2:$C$4852)),ROW($C$2:$C$4852),4^8),ROW(C297)))&amp;""</f>
        <v>#N/A</v>
      </c>
    </row>
    <row r="298" ht="14.100000000000001" customHeight="1">
      <c r="B298" s="20" t="s">
        <v>743</v>
      </c>
      <c r="C298" s="20" t="s">
        <v>744</v>
      </c>
      <c r="D298" s="20" t="s">
        <v>743</v>
      </c>
      <c r="E298" s="20" t="e">
        <f t="array" ref="E298">INDEX(C:C,SMALL(IF(ISNUMBER(FIND(CELL("contents"),$C$2:$C$4852)),ROW($C$2:$C$4852),4^8),ROW(C298)))&amp;""</f>
        <v>#N/A</v>
      </c>
    </row>
    <row r="299" ht="14.100000000000001" customHeight="1">
      <c r="B299" s="20" t="s">
        <v>745</v>
      </c>
      <c r="C299" s="20" t="s">
        <v>746</v>
      </c>
      <c r="D299" s="20" t="s">
        <v>745</v>
      </c>
      <c r="E299" s="20" t="e">
        <f t="array" ref="E299">INDEX(C:C,SMALL(IF(ISNUMBER(FIND(CELL("contents"),$C$2:$C$4852)),ROW($C$2:$C$4852),4^8),ROW(C299)))&amp;""</f>
        <v>#N/A</v>
      </c>
    </row>
    <row r="300" ht="14.100000000000001" customHeight="1">
      <c r="B300" s="20" t="s">
        <v>747</v>
      </c>
      <c r="C300" s="20" t="s">
        <v>748</v>
      </c>
      <c r="D300" s="20" t="s">
        <v>747</v>
      </c>
      <c r="E300" s="20" t="e">
        <f t="array" ref="E300">INDEX(C:C,SMALL(IF(ISNUMBER(FIND(CELL("contents"),$C$2:$C$4852)),ROW($C$2:$C$4852),4^8),ROW(C300)))&amp;""</f>
        <v>#N/A</v>
      </c>
    </row>
    <row r="301" ht="14.100000000000001" customHeight="1">
      <c r="B301" s="20" t="s">
        <v>749</v>
      </c>
      <c r="C301" s="20" t="s">
        <v>750</v>
      </c>
      <c r="D301" s="20" t="s">
        <v>749</v>
      </c>
      <c r="E301" s="20" t="e">
        <f t="array" ref="E301">INDEX(C:C,SMALL(IF(ISNUMBER(FIND(CELL("contents"),$C$2:$C$4852)),ROW($C$2:$C$4852),4^8),ROW(C301)))&amp;""</f>
        <v>#N/A</v>
      </c>
    </row>
    <row r="302" ht="14.100000000000001" customHeight="1">
      <c r="B302" s="20" t="s">
        <v>751</v>
      </c>
      <c r="C302" s="20" t="s">
        <v>752</v>
      </c>
      <c r="D302" s="20" t="s">
        <v>751</v>
      </c>
      <c r="E302" s="20" t="e">
        <f t="array" ref="E302">INDEX(C:C,SMALL(IF(ISNUMBER(FIND(CELL("contents"),$C$2:$C$4852)),ROW($C$2:$C$4852),4^8),ROW(C302)))&amp;""</f>
        <v>#N/A</v>
      </c>
    </row>
    <row r="303" ht="14.100000000000001" customHeight="1">
      <c r="B303" s="20" t="s">
        <v>753</v>
      </c>
      <c r="C303" s="20" t="s">
        <v>754</v>
      </c>
      <c r="D303" s="20" t="s">
        <v>753</v>
      </c>
      <c r="E303" s="20" t="e">
        <f t="array" ref="E303">INDEX(C:C,SMALL(IF(ISNUMBER(FIND(CELL("contents"),$C$2:$C$4852)),ROW($C$2:$C$4852),4^8),ROW(C303)))&amp;""</f>
        <v>#N/A</v>
      </c>
    </row>
    <row r="304" ht="14.100000000000001" customHeight="1">
      <c r="B304" s="20" t="s">
        <v>755</v>
      </c>
      <c r="C304" s="20" t="s">
        <v>756</v>
      </c>
      <c r="D304" s="20" t="s">
        <v>755</v>
      </c>
      <c r="E304" s="20" t="e">
        <f t="array" ref="E304">INDEX(C:C,SMALL(IF(ISNUMBER(FIND(CELL("contents"),$C$2:$C$4852)),ROW($C$2:$C$4852),4^8),ROW(C304)))&amp;""</f>
        <v>#N/A</v>
      </c>
    </row>
    <row r="305" ht="14.100000000000001" customHeight="1">
      <c r="B305" s="20" t="s">
        <v>757</v>
      </c>
      <c r="C305" s="20" t="s">
        <v>758</v>
      </c>
      <c r="D305" s="20" t="s">
        <v>757</v>
      </c>
      <c r="E305" s="20" t="e">
        <f t="array" ref="E305">INDEX(C:C,SMALL(IF(ISNUMBER(FIND(CELL("contents"),$C$2:$C$4852)),ROW($C$2:$C$4852),4^8),ROW(C305)))&amp;""</f>
        <v>#N/A</v>
      </c>
    </row>
    <row r="306" ht="14.100000000000001" customHeight="1">
      <c r="B306" s="20" t="s">
        <v>759</v>
      </c>
      <c r="C306" s="20" t="s">
        <v>760</v>
      </c>
      <c r="D306" s="20" t="s">
        <v>759</v>
      </c>
      <c r="E306" s="20" t="e">
        <f t="array" ref="E306">INDEX(C:C,SMALL(IF(ISNUMBER(FIND(CELL("contents"),$C$2:$C$4852)),ROW($C$2:$C$4852),4^8),ROW(C306)))&amp;""</f>
        <v>#N/A</v>
      </c>
    </row>
    <row r="307" ht="14.100000000000001" customHeight="1">
      <c r="B307" s="20" t="s">
        <v>761</v>
      </c>
      <c r="C307" s="20" t="s">
        <v>762</v>
      </c>
      <c r="D307" s="20" t="s">
        <v>761</v>
      </c>
      <c r="E307" s="20" t="e">
        <f t="array" ref="E307">INDEX(C:C,SMALL(IF(ISNUMBER(FIND(CELL("contents"),$C$2:$C$4852)),ROW($C$2:$C$4852),4^8),ROW(C307)))&amp;""</f>
        <v>#N/A</v>
      </c>
    </row>
    <row r="308" ht="14.100000000000001" customHeight="1">
      <c r="B308" s="20" t="s">
        <v>763</v>
      </c>
      <c r="C308" s="20" t="s">
        <v>764</v>
      </c>
      <c r="D308" s="20" t="s">
        <v>763</v>
      </c>
      <c r="E308" s="20" t="e">
        <f t="array" ref="E308">INDEX(C:C,SMALL(IF(ISNUMBER(FIND(CELL("contents"),$C$2:$C$4852)),ROW($C$2:$C$4852),4^8),ROW(C308)))&amp;""</f>
        <v>#N/A</v>
      </c>
    </row>
    <row r="309" ht="14.100000000000001" customHeight="1">
      <c r="B309" s="20" t="s">
        <v>765</v>
      </c>
      <c r="C309" s="20" t="s">
        <v>766</v>
      </c>
      <c r="D309" s="20" t="s">
        <v>765</v>
      </c>
      <c r="E309" s="20" t="e">
        <f t="array" ref="E309">INDEX(C:C,SMALL(IF(ISNUMBER(FIND(CELL("contents"),$C$2:$C$4852)),ROW($C$2:$C$4852),4^8),ROW(C309)))&amp;""</f>
        <v>#N/A</v>
      </c>
    </row>
    <row r="310" ht="14.100000000000001" customHeight="1">
      <c r="B310" s="20" t="s">
        <v>767</v>
      </c>
      <c r="C310" s="20" t="s">
        <v>768</v>
      </c>
      <c r="D310" s="20" t="s">
        <v>767</v>
      </c>
      <c r="E310" s="20" t="e">
        <f t="array" ref="E310">INDEX(C:C,SMALL(IF(ISNUMBER(FIND(CELL("contents"),$C$2:$C$4852)),ROW($C$2:$C$4852),4^8),ROW(C310)))&amp;""</f>
        <v>#N/A</v>
      </c>
    </row>
    <row r="311" ht="14.100000000000001" customHeight="1">
      <c r="B311" s="20" t="s">
        <v>769</v>
      </c>
      <c r="C311" s="20" t="s">
        <v>770</v>
      </c>
      <c r="D311" s="20" t="s">
        <v>769</v>
      </c>
      <c r="E311" s="20" t="e">
        <f t="array" ref="E311">INDEX(C:C,SMALL(IF(ISNUMBER(FIND(CELL("contents"),$C$2:$C$4852)),ROW($C$2:$C$4852),4^8),ROW(C311)))&amp;""</f>
        <v>#N/A</v>
      </c>
    </row>
    <row r="312" ht="14.100000000000001" customHeight="1">
      <c r="B312" s="20" t="s">
        <v>771</v>
      </c>
      <c r="C312" s="20" t="s">
        <v>772</v>
      </c>
      <c r="D312" s="20" t="s">
        <v>771</v>
      </c>
      <c r="E312" s="20" t="e">
        <f t="array" ref="E312">INDEX(C:C,SMALL(IF(ISNUMBER(FIND(CELL("contents"),$C$2:$C$4852)),ROW($C$2:$C$4852),4^8),ROW(C312)))&amp;""</f>
        <v>#N/A</v>
      </c>
    </row>
    <row r="313" ht="14.100000000000001" customHeight="1">
      <c r="B313" s="20" t="s">
        <v>773</v>
      </c>
      <c r="C313" s="20" t="s">
        <v>774</v>
      </c>
      <c r="D313" s="20" t="s">
        <v>773</v>
      </c>
      <c r="E313" s="20" t="e">
        <f t="array" ref="E313">INDEX(C:C,SMALL(IF(ISNUMBER(FIND(CELL("contents"),$C$2:$C$4852)),ROW($C$2:$C$4852),4^8),ROW(C313)))&amp;""</f>
        <v>#N/A</v>
      </c>
    </row>
    <row r="314" ht="14.100000000000001" customHeight="1">
      <c r="B314" s="20" t="s">
        <v>775</v>
      </c>
      <c r="C314" s="20" t="s">
        <v>776</v>
      </c>
      <c r="D314" s="20" t="s">
        <v>775</v>
      </c>
      <c r="E314" s="20" t="e">
        <f t="array" ref="E314">INDEX(C:C,SMALL(IF(ISNUMBER(FIND(CELL("contents"),$C$2:$C$4852)),ROW($C$2:$C$4852),4^8),ROW(C314)))&amp;""</f>
        <v>#N/A</v>
      </c>
    </row>
    <row r="315" ht="14.100000000000001" customHeight="1">
      <c r="B315" s="20" t="s">
        <v>777</v>
      </c>
      <c r="C315" s="20" t="s">
        <v>778</v>
      </c>
      <c r="D315" s="20" t="s">
        <v>777</v>
      </c>
      <c r="E315" s="20" t="e">
        <f t="array" ref="E315">INDEX(C:C,SMALL(IF(ISNUMBER(FIND(CELL("contents"),$C$2:$C$4852)),ROW($C$2:$C$4852),4^8),ROW(C315)))&amp;""</f>
        <v>#N/A</v>
      </c>
    </row>
    <row r="316" ht="14.100000000000001" customHeight="1">
      <c r="B316" s="20" t="s">
        <v>779</v>
      </c>
      <c r="C316" s="20" t="s">
        <v>780</v>
      </c>
      <c r="D316" s="20" t="s">
        <v>779</v>
      </c>
      <c r="E316" s="20" t="e">
        <f t="array" ref="E316">INDEX(C:C,SMALL(IF(ISNUMBER(FIND(CELL("contents"),$C$2:$C$4852)),ROW($C$2:$C$4852),4^8),ROW(C316)))&amp;""</f>
        <v>#N/A</v>
      </c>
    </row>
    <row r="317" ht="14.100000000000001" customHeight="1">
      <c r="B317" s="20" t="s">
        <v>781</v>
      </c>
      <c r="C317" s="20" t="s">
        <v>782</v>
      </c>
      <c r="D317" s="20" t="s">
        <v>781</v>
      </c>
      <c r="E317" s="20" t="e">
        <f t="array" ref="E317">INDEX(C:C,SMALL(IF(ISNUMBER(FIND(CELL("contents"),$C$2:$C$4852)),ROW($C$2:$C$4852),4^8),ROW(C317)))&amp;""</f>
        <v>#N/A</v>
      </c>
    </row>
    <row r="318" ht="14.100000000000001" customHeight="1">
      <c r="B318" s="20" t="s">
        <v>783</v>
      </c>
      <c r="C318" s="20" t="s">
        <v>784</v>
      </c>
      <c r="D318" s="20" t="s">
        <v>783</v>
      </c>
      <c r="E318" s="20" t="e">
        <f t="array" ref="E318">INDEX(C:C,SMALL(IF(ISNUMBER(FIND(CELL("contents"),$C$2:$C$4852)),ROW($C$2:$C$4852),4^8),ROW(C318)))&amp;""</f>
        <v>#N/A</v>
      </c>
    </row>
    <row r="319" ht="14.100000000000001" customHeight="1">
      <c r="B319" s="20" t="s">
        <v>785</v>
      </c>
      <c r="C319" s="20" t="s">
        <v>786</v>
      </c>
      <c r="D319" s="20" t="s">
        <v>785</v>
      </c>
      <c r="E319" s="20" t="e">
        <f t="array" ref="E319">INDEX(C:C,SMALL(IF(ISNUMBER(FIND(CELL("contents"),$C$2:$C$4852)),ROW($C$2:$C$4852),4^8),ROW(C319)))&amp;""</f>
        <v>#N/A</v>
      </c>
    </row>
    <row r="320" ht="14.100000000000001" customHeight="1">
      <c r="B320" s="20" t="s">
        <v>787</v>
      </c>
      <c r="C320" s="20" t="s">
        <v>788</v>
      </c>
      <c r="D320" s="20" t="s">
        <v>787</v>
      </c>
      <c r="E320" s="20" t="e">
        <f t="array" ref="E320">INDEX(C:C,SMALL(IF(ISNUMBER(FIND(CELL("contents"),$C$2:$C$4852)),ROW($C$2:$C$4852),4^8),ROW(C320)))&amp;""</f>
        <v>#N/A</v>
      </c>
    </row>
    <row r="321" ht="14.100000000000001" customHeight="1">
      <c r="B321" s="20" t="s">
        <v>789</v>
      </c>
      <c r="C321" s="20" t="s">
        <v>790</v>
      </c>
      <c r="D321" s="20" t="s">
        <v>789</v>
      </c>
      <c r="E321" s="20" t="e">
        <f t="array" ref="E321">INDEX(C:C,SMALL(IF(ISNUMBER(FIND(CELL("contents"),$C$2:$C$4852)),ROW($C$2:$C$4852),4^8),ROW(C321)))&amp;""</f>
        <v>#N/A</v>
      </c>
    </row>
    <row r="322" ht="14.100000000000001" customHeight="1">
      <c r="B322" s="20" t="s">
        <v>791</v>
      </c>
      <c r="C322" s="20" t="s">
        <v>792</v>
      </c>
      <c r="D322" s="20" t="s">
        <v>791</v>
      </c>
      <c r="E322" s="20" t="e">
        <f t="array" ref="E322">INDEX(C:C,SMALL(IF(ISNUMBER(FIND(CELL("contents"),$C$2:$C$4852)),ROW($C$2:$C$4852),4^8),ROW(C322)))&amp;""</f>
        <v>#N/A</v>
      </c>
    </row>
    <row r="323" ht="14.100000000000001" customHeight="1">
      <c r="B323" s="20" t="s">
        <v>793</v>
      </c>
      <c r="C323" s="20" t="s">
        <v>794</v>
      </c>
      <c r="D323" s="20" t="s">
        <v>793</v>
      </c>
      <c r="E323" s="20" t="e">
        <f t="array" ref="E323">INDEX(C:C,SMALL(IF(ISNUMBER(FIND(CELL("contents"),$C$2:$C$4852)),ROW($C$2:$C$4852),4^8),ROW(C323)))&amp;""</f>
        <v>#N/A</v>
      </c>
    </row>
    <row r="324" ht="14.100000000000001" customHeight="1">
      <c r="B324" s="20" t="s">
        <v>795</v>
      </c>
      <c r="C324" s="20" t="s">
        <v>796</v>
      </c>
      <c r="D324" s="20" t="s">
        <v>795</v>
      </c>
      <c r="E324" s="20" t="e">
        <f t="array" ref="E324">INDEX(C:C,SMALL(IF(ISNUMBER(FIND(CELL("contents"),$C$2:$C$4852)),ROW($C$2:$C$4852),4^8),ROW(C324)))&amp;""</f>
        <v>#N/A</v>
      </c>
    </row>
    <row r="325" ht="14.100000000000001" customHeight="1">
      <c r="B325" s="20" t="s">
        <v>797</v>
      </c>
      <c r="C325" s="20" t="s">
        <v>798</v>
      </c>
      <c r="D325" s="20" t="s">
        <v>797</v>
      </c>
      <c r="E325" s="20" t="e">
        <f t="array" ref="E325">INDEX(C:C,SMALL(IF(ISNUMBER(FIND(CELL("contents"),$C$2:$C$4852)),ROW($C$2:$C$4852),4^8),ROW(C325)))&amp;""</f>
        <v>#N/A</v>
      </c>
    </row>
    <row r="326" ht="14.100000000000001" customHeight="1">
      <c r="B326" s="20" t="s">
        <v>799</v>
      </c>
      <c r="C326" s="20" t="s">
        <v>800</v>
      </c>
      <c r="D326" s="20" t="s">
        <v>799</v>
      </c>
      <c r="E326" s="20" t="e">
        <f t="array" ref="E326">INDEX(C:C,SMALL(IF(ISNUMBER(FIND(CELL("contents"),$C$2:$C$4852)),ROW($C$2:$C$4852),4^8),ROW(C326)))&amp;""</f>
        <v>#N/A</v>
      </c>
    </row>
    <row r="327" ht="14.100000000000001" customHeight="1">
      <c r="B327" s="20" t="s">
        <v>801</v>
      </c>
      <c r="C327" s="20" t="s">
        <v>802</v>
      </c>
      <c r="D327" s="20" t="s">
        <v>801</v>
      </c>
      <c r="E327" s="20" t="e">
        <f t="array" ref="E327">INDEX(C:C,SMALL(IF(ISNUMBER(FIND(CELL("contents"),$C$2:$C$4852)),ROW($C$2:$C$4852),4^8),ROW(C327)))&amp;""</f>
        <v>#N/A</v>
      </c>
    </row>
    <row r="328" ht="14.100000000000001" customHeight="1">
      <c r="B328" s="20" t="s">
        <v>803</v>
      </c>
      <c r="C328" s="20" t="s">
        <v>804</v>
      </c>
      <c r="D328" s="20" t="s">
        <v>803</v>
      </c>
      <c r="E328" s="20" t="e">
        <f t="array" ref="E328">INDEX(C:C,SMALL(IF(ISNUMBER(FIND(CELL("contents"),$C$2:$C$4852)),ROW($C$2:$C$4852),4^8),ROW(C328)))&amp;""</f>
        <v>#N/A</v>
      </c>
    </row>
    <row r="329" ht="14.100000000000001" customHeight="1">
      <c r="B329" s="20" t="s">
        <v>805</v>
      </c>
      <c r="C329" s="20" t="s">
        <v>806</v>
      </c>
      <c r="D329" s="20" t="s">
        <v>805</v>
      </c>
      <c r="E329" s="20" t="e">
        <f t="array" ref="E329">INDEX(C:C,SMALL(IF(ISNUMBER(FIND(CELL("contents"),$C$2:$C$4852)),ROW($C$2:$C$4852),4^8),ROW(C329)))&amp;""</f>
        <v>#N/A</v>
      </c>
    </row>
    <row r="330" ht="14.100000000000001" customHeight="1">
      <c r="B330" s="20" t="s">
        <v>807</v>
      </c>
      <c r="C330" s="20" t="s">
        <v>808</v>
      </c>
      <c r="D330" s="20" t="s">
        <v>807</v>
      </c>
      <c r="E330" s="20" t="e">
        <f t="array" ref="E330">INDEX(C:C,SMALL(IF(ISNUMBER(FIND(CELL("contents"),$C$2:$C$4852)),ROW($C$2:$C$4852),4^8),ROW(C330)))&amp;""</f>
        <v>#N/A</v>
      </c>
    </row>
    <row r="331" ht="14.100000000000001" customHeight="1">
      <c r="B331" s="20" t="s">
        <v>809</v>
      </c>
      <c r="C331" s="20" t="s">
        <v>810</v>
      </c>
      <c r="D331" s="20" t="s">
        <v>809</v>
      </c>
      <c r="E331" s="20" t="e">
        <f t="array" ref="E331">INDEX(C:C,SMALL(IF(ISNUMBER(FIND(CELL("contents"),$C$2:$C$4852)),ROW($C$2:$C$4852),4^8),ROW(C331)))&amp;""</f>
        <v>#N/A</v>
      </c>
    </row>
    <row r="332" ht="14.100000000000001" customHeight="1">
      <c r="B332" s="20" t="s">
        <v>811</v>
      </c>
      <c r="C332" s="20" t="s">
        <v>812</v>
      </c>
      <c r="D332" s="20" t="s">
        <v>811</v>
      </c>
      <c r="E332" s="20" t="e">
        <f t="array" ref="E332">INDEX(C:C,SMALL(IF(ISNUMBER(FIND(CELL("contents"),$C$2:$C$4852)),ROW($C$2:$C$4852),4^8),ROW(C332)))&amp;""</f>
        <v>#N/A</v>
      </c>
    </row>
    <row r="333" ht="14.100000000000001" customHeight="1">
      <c r="B333" s="20" t="s">
        <v>813</v>
      </c>
      <c r="C333" s="20" t="s">
        <v>814</v>
      </c>
      <c r="D333" s="20" t="s">
        <v>813</v>
      </c>
      <c r="E333" s="20" t="e">
        <f t="array" ref="E333">INDEX(C:C,SMALL(IF(ISNUMBER(FIND(CELL("contents"),$C$2:$C$4852)),ROW($C$2:$C$4852),4^8),ROW(C333)))&amp;""</f>
        <v>#N/A</v>
      </c>
    </row>
    <row r="334" ht="14.100000000000001" customHeight="1">
      <c r="B334" s="20" t="s">
        <v>815</v>
      </c>
      <c r="C334" s="20" t="s">
        <v>816</v>
      </c>
      <c r="D334" s="20" t="s">
        <v>815</v>
      </c>
      <c r="E334" s="20" t="e">
        <f t="array" ref="E334">INDEX(C:C,SMALL(IF(ISNUMBER(FIND(CELL("contents"),$C$2:$C$4852)),ROW($C$2:$C$4852),4^8),ROW(C334)))&amp;""</f>
        <v>#N/A</v>
      </c>
    </row>
    <row r="335" ht="14.100000000000001" customHeight="1">
      <c r="B335" s="20" t="s">
        <v>817</v>
      </c>
      <c r="C335" s="20" t="s">
        <v>818</v>
      </c>
      <c r="D335" s="20" t="s">
        <v>817</v>
      </c>
      <c r="E335" s="20" t="e">
        <f t="array" ref="E335">INDEX(C:C,SMALL(IF(ISNUMBER(FIND(CELL("contents"),$C$2:$C$4852)),ROW($C$2:$C$4852),4^8),ROW(C335)))&amp;""</f>
        <v>#N/A</v>
      </c>
    </row>
    <row r="336" ht="14.100000000000001" customHeight="1">
      <c r="B336" s="20" t="s">
        <v>819</v>
      </c>
      <c r="C336" s="20" t="s">
        <v>820</v>
      </c>
      <c r="D336" s="20" t="s">
        <v>819</v>
      </c>
      <c r="E336" s="20" t="e">
        <f t="array" ref="E336">INDEX(C:C,SMALL(IF(ISNUMBER(FIND(CELL("contents"),$C$2:$C$4852)),ROW($C$2:$C$4852),4^8),ROW(C336)))&amp;""</f>
        <v>#N/A</v>
      </c>
    </row>
    <row r="337" ht="14.100000000000001" customHeight="1">
      <c r="B337" s="20" t="s">
        <v>821</v>
      </c>
      <c r="C337" s="20" t="s">
        <v>822</v>
      </c>
      <c r="D337" s="20" t="s">
        <v>821</v>
      </c>
      <c r="E337" s="20" t="e">
        <f t="array" ref="E337">INDEX(C:C,SMALL(IF(ISNUMBER(FIND(CELL("contents"),$C$2:$C$4852)),ROW($C$2:$C$4852),4^8),ROW(C337)))&amp;""</f>
        <v>#N/A</v>
      </c>
    </row>
    <row r="338" ht="14.100000000000001" customHeight="1">
      <c r="B338" s="20" t="s">
        <v>823</v>
      </c>
      <c r="C338" s="20" t="s">
        <v>824</v>
      </c>
      <c r="D338" s="20" t="s">
        <v>823</v>
      </c>
      <c r="E338" s="20" t="e">
        <f t="array" ref="E338">INDEX(C:C,SMALL(IF(ISNUMBER(FIND(CELL("contents"),$C$2:$C$4852)),ROW($C$2:$C$4852),4^8),ROW(C338)))&amp;""</f>
        <v>#N/A</v>
      </c>
    </row>
    <row r="339" ht="14.100000000000001" customHeight="1">
      <c r="B339" s="20" t="s">
        <v>825</v>
      </c>
      <c r="C339" s="20" t="s">
        <v>826</v>
      </c>
      <c r="D339" s="20" t="s">
        <v>825</v>
      </c>
      <c r="E339" s="20" t="e">
        <f t="array" ref="E339">INDEX(C:C,SMALL(IF(ISNUMBER(FIND(CELL("contents"),$C$2:$C$4852)),ROW($C$2:$C$4852),4^8),ROW(C339)))&amp;""</f>
        <v>#N/A</v>
      </c>
    </row>
    <row r="340" ht="14.100000000000001" customHeight="1">
      <c r="B340" s="20" t="s">
        <v>827</v>
      </c>
      <c r="C340" s="20" t="s">
        <v>828</v>
      </c>
      <c r="D340" s="20" t="s">
        <v>827</v>
      </c>
      <c r="E340" s="20" t="e">
        <f t="array" ref="E340">INDEX(C:C,SMALL(IF(ISNUMBER(FIND(CELL("contents"),$C$2:$C$4852)),ROW($C$2:$C$4852),4^8),ROW(C340)))&amp;""</f>
        <v>#N/A</v>
      </c>
    </row>
    <row r="341" ht="14.100000000000001" customHeight="1">
      <c r="B341" s="20" t="s">
        <v>829</v>
      </c>
      <c r="C341" s="20" t="s">
        <v>830</v>
      </c>
      <c r="D341" s="20" t="s">
        <v>829</v>
      </c>
      <c r="E341" s="20" t="e">
        <f t="array" ref="E341">INDEX(C:C,SMALL(IF(ISNUMBER(FIND(CELL("contents"),$C$2:$C$4852)),ROW($C$2:$C$4852),4^8),ROW(C341)))&amp;""</f>
        <v>#N/A</v>
      </c>
    </row>
    <row r="342" ht="14.100000000000001" customHeight="1">
      <c r="B342" s="20" t="s">
        <v>831</v>
      </c>
      <c r="C342" s="20" t="s">
        <v>832</v>
      </c>
      <c r="D342" s="20" t="s">
        <v>831</v>
      </c>
      <c r="E342" s="20" t="e">
        <f t="array" ref="E342">INDEX(C:C,SMALL(IF(ISNUMBER(FIND(CELL("contents"),$C$2:$C$4852)),ROW($C$2:$C$4852),4^8),ROW(C342)))&amp;""</f>
        <v>#N/A</v>
      </c>
    </row>
    <row r="343" ht="14.100000000000001" customHeight="1">
      <c r="B343" s="20" t="s">
        <v>833</v>
      </c>
      <c r="C343" s="20" t="s">
        <v>834</v>
      </c>
      <c r="D343" s="20" t="s">
        <v>833</v>
      </c>
      <c r="E343" s="20" t="e">
        <f t="array" ref="E343">INDEX(C:C,SMALL(IF(ISNUMBER(FIND(CELL("contents"),$C$2:$C$4852)),ROW($C$2:$C$4852),4^8),ROW(C343)))&amp;""</f>
        <v>#N/A</v>
      </c>
    </row>
    <row r="344" ht="14.100000000000001" customHeight="1">
      <c r="B344" s="20" t="s">
        <v>835</v>
      </c>
      <c r="C344" s="20" t="s">
        <v>836</v>
      </c>
      <c r="D344" s="20" t="s">
        <v>835</v>
      </c>
      <c r="E344" s="20" t="e">
        <f t="array" ref="E344">INDEX(C:C,SMALL(IF(ISNUMBER(FIND(CELL("contents"),$C$2:$C$4852)),ROW($C$2:$C$4852),4^8),ROW(C344)))&amp;""</f>
        <v>#N/A</v>
      </c>
    </row>
    <row r="345" ht="14.100000000000001" customHeight="1">
      <c r="B345" s="20" t="s">
        <v>837</v>
      </c>
      <c r="C345" s="20" t="s">
        <v>838</v>
      </c>
      <c r="D345" s="20" t="s">
        <v>837</v>
      </c>
      <c r="E345" s="20" t="e">
        <f t="array" ref="E345">INDEX(C:C,SMALL(IF(ISNUMBER(FIND(CELL("contents"),$C$2:$C$4852)),ROW($C$2:$C$4852),4^8),ROW(C345)))&amp;""</f>
        <v>#N/A</v>
      </c>
    </row>
    <row r="346" ht="14.100000000000001" customHeight="1">
      <c r="B346" s="20" t="s">
        <v>839</v>
      </c>
      <c r="C346" s="20" t="s">
        <v>840</v>
      </c>
      <c r="D346" s="20" t="s">
        <v>839</v>
      </c>
      <c r="E346" s="20" t="e">
        <f t="array" ref="E346">INDEX(C:C,SMALL(IF(ISNUMBER(FIND(CELL("contents"),$C$2:$C$4852)),ROW($C$2:$C$4852),4^8),ROW(C346)))&amp;""</f>
        <v>#N/A</v>
      </c>
    </row>
    <row r="347" ht="14.100000000000001" customHeight="1">
      <c r="B347" s="20" t="s">
        <v>841</v>
      </c>
      <c r="C347" s="20" t="s">
        <v>842</v>
      </c>
      <c r="D347" s="20" t="s">
        <v>841</v>
      </c>
      <c r="E347" s="20" t="e">
        <f t="array" ref="E347">INDEX(C:C,SMALL(IF(ISNUMBER(FIND(CELL("contents"),$C$2:$C$4852)),ROW($C$2:$C$4852),4^8),ROW(C347)))&amp;""</f>
        <v>#N/A</v>
      </c>
    </row>
    <row r="348" ht="14.100000000000001" customHeight="1">
      <c r="B348" s="20" t="s">
        <v>843</v>
      </c>
      <c r="C348" s="20" t="s">
        <v>844</v>
      </c>
      <c r="D348" s="20" t="s">
        <v>843</v>
      </c>
      <c r="E348" s="20" t="e">
        <f t="array" ref="E348">INDEX(C:C,SMALL(IF(ISNUMBER(FIND(CELL("contents"),$C$2:$C$4852)),ROW($C$2:$C$4852),4^8),ROW(C348)))&amp;""</f>
        <v>#N/A</v>
      </c>
    </row>
    <row r="349" ht="14.100000000000001" customHeight="1">
      <c r="B349" s="20" t="s">
        <v>845</v>
      </c>
      <c r="C349" s="20" t="s">
        <v>846</v>
      </c>
      <c r="D349" s="20" t="s">
        <v>845</v>
      </c>
      <c r="E349" s="20" t="e">
        <f t="array" ref="E349">INDEX(C:C,SMALL(IF(ISNUMBER(FIND(CELL("contents"),$C$2:$C$4852)),ROW($C$2:$C$4852),4^8),ROW(C349)))&amp;""</f>
        <v>#N/A</v>
      </c>
    </row>
    <row r="350" ht="14.100000000000001" customHeight="1">
      <c r="B350" s="20" t="s">
        <v>847</v>
      </c>
      <c r="C350" s="20" t="s">
        <v>848</v>
      </c>
      <c r="D350" s="20" t="s">
        <v>847</v>
      </c>
      <c r="E350" s="20" t="e">
        <f t="array" ref="E350">INDEX(C:C,SMALL(IF(ISNUMBER(FIND(CELL("contents"),$C$2:$C$4852)),ROW($C$2:$C$4852),4^8),ROW(C350)))&amp;""</f>
        <v>#N/A</v>
      </c>
    </row>
    <row r="351" ht="14.100000000000001" customHeight="1">
      <c r="B351" s="20" t="s">
        <v>849</v>
      </c>
      <c r="C351" s="20" t="s">
        <v>850</v>
      </c>
      <c r="D351" s="20" t="s">
        <v>849</v>
      </c>
      <c r="E351" s="20" t="e">
        <f t="array" ref="E351">INDEX(C:C,SMALL(IF(ISNUMBER(FIND(CELL("contents"),$C$2:$C$4852)),ROW($C$2:$C$4852),4^8),ROW(C351)))&amp;""</f>
        <v>#N/A</v>
      </c>
    </row>
    <row r="352" ht="14.100000000000001" customHeight="1">
      <c r="B352" s="20" t="s">
        <v>851</v>
      </c>
      <c r="C352" s="20" t="s">
        <v>852</v>
      </c>
      <c r="D352" s="20" t="s">
        <v>851</v>
      </c>
      <c r="E352" s="20" t="e">
        <f t="array" ref="E352">INDEX(C:C,SMALL(IF(ISNUMBER(FIND(CELL("contents"),$C$2:$C$4852)),ROW($C$2:$C$4852),4^8),ROW(C352)))&amp;""</f>
        <v>#N/A</v>
      </c>
    </row>
    <row r="353" ht="14.100000000000001" customHeight="1">
      <c r="B353" s="20" t="s">
        <v>853</v>
      </c>
      <c r="C353" s="20" t="s">
        <v>854</v>
      </c>
      <c r="D353" s="20" t="s">
        <v>853</v>
      </c>
      <c r="E353" s="20" t="e">
        <f t="array" ref="E353">INDEX(C:C,SMALL(IF(ISNUMBER(FIND(CELL("contents"),$C$2:$C$4852)),ROW($C$2:$C$4852),4^8),ROW(C353)))&amp;""</f>
        <v>#N/A</v>
      </c>
    </row>
    <row r="354" ht="14.100000000000001" customHeight="1">
      <c r="B354" s="20" t="s">
        <v>855</v>
      </c>
      <c r="C354" s="20" t="s">
        <v>856</v>
      </c>
      <c r="D354" s="20" t="s">
        <v>855</v>
      </c>
      <c r="E354" s="20" t="e">
        <f t="array" ref="E354">INDEX(C:C,SMALL(IF(ISNUMBER(FIND(CELL("contents"),$C$2:$C$4852)),ROW($C$2:$C$4852),4^8),ROW(C354)))&amp;""</f>
        <v>#N/A</v>
      </c>
    </row>
    <row r="355" ht="14.100000000000001" customHeight="1">
      <c r="B355" s="20" t="s">
        <v>857</v>
      </c>
      <c r="C355" s="20" t="s">
        <v>858</v>
      </c>
      <c r="D355" s="20" t="s">
        <v>857</v>
      </c>
      <c r="E355" s="20" t="e">
        <f t="array" ref="E355">INDEX(C:C,SMALL(IF(ISNUMBER(FIND(CELL("contents"),$C$2:$C$4852)),ROW($C$2:$C$4852),4^8),ROW(C355)))&amp;""</f>
        <v>#N/A</v>
      </c>
    </row>
    <row r="356" ht="14.100000000000001" customHeight="1">
      <c r="B356" s="20" t="s">
        <v>859</v>
      </c>
      <c r="C356" s="20" t="s">
        <v>860</v>
      </c>
      <c r="D356" s="20" t="s">
        <v>859</v>
      </c>
      <c r="E356" s="20" t="e">
        <f t="array" ref="E356">INDEX(C:C,SMALL(IF(ISNUMBER(FIND(CELL("contents"),$C$2:$C$4852)),ROW($C$2:$C$4852),4^8),ROW(C356)))&amp;""</f>
        <v>#N/A</v>
      </c>
    </row>
    <row r="357" ht="14.100000000000001" customHeight="1">
      <c r="B357" s="20" t="s">
        <v>861</v>
      </c>
      <c r="C357" s="20" t="s">
        <v>862</v>
      </c>
      <c r="D357" s="20" t="s">
        <v>861</v>
      </c>
      <c r="E357" s="20" t="e">
        <f t="array" ref="E357">INDEX(C:C,SMALL(IF(ISNUMBER(FIND(CELL("contents"),$C$2:$C$4852)),ROW($C$2:$C$4852),4^8),ROW(C357)))&amp;""</f>
        <v>#N/A</v>
      </c>
    </row>
    <row r="358" ht="14.100000000000001" customHeight="1">
      <c r="B358" s="20" t="s">
        <v>863</v>
      </c>
      <c r="C358" s="20" t="s">
        <v>864</v>
      </c>
      <c r="D358" s="20" t="s">
        <v>863</v>
      </c>
      <c r="E358" s="20" t="e">
        <f t="array" ref="E358">INDEX(C:C,SMALL(IF(ISNUMBER(FIND(CELL("contents"),$C$2:$C$4852)),ROW($C$2:$C$4852),4^8),ROW(C358)))&amp;""</f>
        <v>#N/A</v>
      </c>
    </row>
    <row r="359" ht="14.100000000000001" customHeight="1">
      <c r="B359" s="20" t="s">
        <v>865</v>
      </c>
      <c r="C359" s="20" t="s">
        <v>866</v>
      </c>
      <c r="D359" s="20" t="s">
        <v>865</v>
      </c>
      <c r="E359" s="20" t="e">
        <f t="array" ref="E359">INDEX(C:C,SMALL(IF(ISNUMBER(FIND(CELL("contents"),$C$2:$C$4852)),ROW($C$2:$C$4852),4^8),ROW(C359)))&amp;""</f>
        <v>#N/A</v>
      </c>
    </row>
    <row r="360" ht="14.100000000000001" customHeight="1">
      <c r="B360" s="20" t="s">
        <v>867</v>
      </c>
      <c r="C360" s="20" t="s">
        <v>868</v>
      </c>
      <c r="D360" s="20" t="s">
        <v>867</v>
      </c>
      <c r="E360" s="20" t="e">
        <f t="array" ref="E360">INDEX(C:C,SMALL(IF(ISNUMBER(FIND(CELL("contents"),$C$2:$C$4852)),ROW($C$2:$C$4852),4^8),ROW(C360)))&amp;""</f>
        <v>#N/A</v>
      </c>
    </row>
    <row r="361" ht="14.100000000000001" customHeight="1">
      <c r="B361" s="20" t="s">
        <v>869</v>
      </c>
      <c r="C361" s="20" t="s">
        <v>870</v>
      </c>
      <c r="D361" s="20" t="s">
        <v>869</v>
      </c>
      <c r="E361" s="20" t="e">
        <f t="array" ref="E361">INDEX(C:C,SMALL(IF(ISNUMBER(FIND(CELL("contents"),$C$2:$C$4852)),ROW($C$2:$C$4852),4^8),ROW(C361)))&amp;""</f>
        <v>#N/A</v>
      </c>
    </row>
    <row r="362" ht="14.100000000000001" customHeight="1">
      <c r="B362" s="20" t="s">
        <v>871</v>
      </c>
      <c r="C362" s="20" t="s">
        <v>872</v>
      </c>
      <c r="D362" s="20" t="s">
        <v>871</v>
      </c>
      <c r="E362" s="20" t="e">
        <f t="array" ref="E362">INDEX(C:C,SMALL(IF(ISNUMBER(FIND(CELL("contents"),$C$2:$C$4852)),ROW($C$2:$C$4852),4^8),ROW(C362)))&amp;""</f>
        <v>#N/A</v>
      </c>
    </row>
    <row r="363" ht="14.100000000000001" customHeight="1">
      <c r="B363" s="20" t="s">
        <v>873</v>
      </c>
      <c r="C363" s="20" t="s">
        <v>874</v>
      </c>
      <c r="D363" s="20" t="s">
        <v>873</v>
      </c>
      <c r="E363" s="20" t="e">
        <f t="array" ref="E363">INDEX(C:C,SMALL(IF(ISNUMBER(FIND(CELL("contents"),$C$2:$C$4852)),ROW($C$2:$C$4852),4^8),ROW(C363)))&amp;""</f>
        <v>#N/A</v>
      </c>
    </row>
    <row r="364" ht="14.100000000000001" customHeight="1">
      <c r="B364" s="20" t="s">
        <v>875</v>
      </c>
      <c r="C364" s="20" t="s">
        <v>876</v>
      </c>
      <c r="D364" s="20" t="s">
        <v>875</v>
      </c>
      <c r="E364" s="20" t="e">
        <f t="array" ref="E364">INDEX(C:C,SMALL(IF(ISNUMBER(FIND(CELL("contents"),$C$2:$C$4852)),ROW($C$2:$C$4852),4^8),ROW(C364)))&amp;""</f>
        <v>#N/A</v>
      </c>
    </row>
    <row r="365" ht="14.100000000000001" customHeight="1">
      <c r="B365" s="20" t="s">
        <v>877</v>
      </c>
      <c r="C365" s="20" t="s">
        <v>878</v>
      </c>
      <c r="D365" s="20" t="s">
        <v>877</v>
      </c>
      <c r="E365" s="20" t="e">
        <f t="array" ref="E365">INDEX(C:C,SMALL(IF(ISNUMBER(FIND(CELL("contents"),$C$2:$C$4852)),ROW($C$2:$C$4852),4^8),ROW(C365)))&amp;""</f>
        <v>#N/A</v>
      </c>
    </row>
    <row r="366" ht="14.100000000000001" customHeight="1">
      <c r="B366" s="20" t="s">
        <v>879</v>
      </c>
      <c r="C366" s="20" t="s">
        <v>880</v>
      </c>
      <c r="D366" s="20" t="s">
        <v>879</v>
      </c>
      <c r="E366" s="20" t="e">
        <f t="array" ref="E366">INDEX(C:C,SMALL(IF(ISNUMBER(FIND(CELL("contents"),$C$2:$C$4852)),ROW($C$2:$C$4852),4^8),ROW(C366)))&amp;""</f>
        <v>#N/A</v>
      </c>
    </row>
    <row r="367" ht="14.100000000000001" customHeight="1">
      <c r="B367" s="20" t="s">
        <v>881</v>
      </c>
      <c r="C367" s="20" t="s">
        <v>882</v>
      </c>
      <c r="D367" s="20" t="s">
        <v>881</v>
      </c>
      <c r="E367" s="20" t="e">
        <f t="array" ref="E367">INDEX(C:C,SMALL(IF(ISNUMBER(FIND(CELL("contents"),$C$2:$C$4852)),ROW($C$2:$C$4852),4^8),ROW(C367)))&amp;""</f>
        <v>#N/A</v>
      </c>
    </row>
    <row r="368" ht="14.100000000000001" customHeight="1">
      <c r="B368" s="20" t="s">
        <v>883</v>
      </c>
      <c r="C368" s="20" t="s">
        <v>884</v>
      </c>
      <c r="D368" s="20" t="s">
        <v>883</v>
      </c>
      <c r="E368" s="20" t="e">
        <f t="array" ref="E368">INDEX(C:C,SMALL(IF(ISNUMBER(FIND(CELL("contents"),$C$2:$C$4852)),ROW($C$2:$C$4852),4^8),ROW(C368)))&amp;""</f>
        <v>#N/A</v>
      </c>
    </row>
    <row r="369" ht="14.100000000000001" customHeight="1">
      <c r="B369" s="20" t="s">
        <v>885</v>
      </c>
      <c r="C369" s="20" t="s">
        <v>886</v>
      </c>
      <c r="D369" s="20" t="s">
        <v>885</v>
      </c>
      <c r="E369" s="20" t="e">
        <f t="array" ref="E369">INDEX(C:C,SMALL(IF(ISNUMBER(FIND(CELL("contents"),$C$2:$C$4852)),ROW($C$2:$C$4852),4^8),ROW(C369)))&amp;""</f>
        <v>#N/A</v>
      </c>
    </row>
    <row r="370" ht="14.100000000000001" customHeight="1">
      <c r="B370" s="20" t="s">
        <v>887</v>
      </c>
      <c r="C370" s="20" t="s">
        <v>888</v>
      </c>
      <c r="D370" s="20" t="s">
        <v>887</v>
      </c>
      <c r="E370" s="20" t="e">
        <f t="array" ref="E370">INDEX(C:C,SMALL(IF(ISNUMBER(FIND(CELL("contents"),$C$2:$C$4852)),ROW($C$2:$C$4852),4^8),ROW(C370)))&amp;""</f>
        <v>#N/A</v>
      </c>
    </row>
    <row r="371" ht="14.100000000000001" customHeight="1">
      <c r="B371" s="20" t="s">
        <v>889</v>
      </c>
      <c r="C371" s="20" t="s">
        <v>890</v>
      </c>
      <c r="D371" s="20" t="s">
        <v>889</v>
      </c>
      <c r="E371" s="20" t="e">
        <f t="array" ref="E371">INDEX(C:C,SMALL(IF(ISNUMBER(FIND(CELL("contents"),$C$2:$C$4852)),ROW($C$2:$C$4852),4^8),ROW(C371)))&amp;""</f>
        <v>#N/A</v>
      </c>
    </row>
    <row r="372" ht="14.100000000000001" customHeight="1">
      <c r="B372" s="20" t="s">
        <v>891</v>
      </c>
      <c r="C372" s="20" t="s">
        <v>892</v>
      </c>
      <c r="D372" s="20" t="s">
        <v>891</v>
      </c>
      <c r="E372" s="20" t="e">
        <f t="array" ref="E372">INDEX(C:C,SMALL(IF(ISNUMBER(FIND(CELL("contents"),$C$2:$C$4852)),ROW($C$2:$C$4852),4^8),ROW(C372)))&amp;""</f>
        <v>#N/A</v>
      </c>
    </row>
    <row r="373" ht="14.100000000000001" customHeight="1">
      <c r="B373" s="20" t="s">
        <v>893</v>
      </c>
      <c r="C373" s="20" t="s">
        <v>894</v>
      </c>
      <c r="D373" s="20" t="s">
        <v>893</v>
      </c>
      <c r="E373" s="20" t="e">
        <f t="array" ref="E373">INDEX(C:C,SMALL(IF(ISNUMBER(FIND(CELL("contents"),$C$2:$C$4852)),ROW($C$2:$C$4852),4^8),ROW(C373)))&amp;""</f>
        <v>#N/A</v>
      </c>
    </row>
    <row r="374" ht="14.100000000000001" customHeight="1">
      <c r="B374" s="20" t="s">
        <v>895</v>
      </c>
      <c r="C374" s="20" t="s">
        <v>896</v>
      </c>
      <c r="D374" s="20" t="s">
        <v>895</v>
      </c>
      <c r="E374" s="20" t="e">
        <f t="array" ref="E374">INDEX(C:C,SMALL(IF(ISNUMBER(FIND(CELL("contents"),$C$2:$C$4852)),ROW($C$2:$C$4852),4^8),ROW(C374)))&amp;""</f>
        <v>#N/A</v>
      </c>
    </row>
    <row r="375" ht="14.100000000000001" customHeight="1">
      <c r="B375" s="20" t="s">
        <v>897</v>
      </c>
      <c r="C375" s="20" t="s">
        <v>898</v>
      </c>
      <c r="D375" s="20" t="s">
        <v>897</v>
      </c>
      <c r="E375" s="20" t="e">
        <f t="array" ref="E375">INDEX(C:C,SMALL(IF(ISNUMBER(FIND(CELL("contents"),$C$2:$C$4852)),ROW($C$2:$C$4852),4^8),ROW(C375)))&amp;""</f>
        <v>#N/A</v>
      </c>
    </row>
    <row r="376" ht="14.100000000000001" customHeight="1">
      <c r="B376" s="20" t="s">
        <v>899</v>
      </c>
      <c r="C376" s="20" t="s">
        <v>900</v>
      </c>
      <c r="D376" s="20" t="s">
        <v>899</v>
      </c>
      <c r="E376" s="20" t="e">
        <f t="array" ref="E376">INDEX(C:C,SMALL(IF(ISNUMBER(FIND(CELL("contents"),$C$2:$C$4852)),ROW($C$2:$C$4852),4^8),ROW(C376)))&amp;""</f>
        <v>#N/A</v>
      </c>
    </row>
    <row r="377" ht="14.100000000000001" customHeight="1">
      <c r="B377" s="20" t="s">
        <v>901</v>
      </c>
      <c r="C377" s="20" t="s">
        <v>902</v>
      </c>
      <c r="D377" s="20" t="s">
        <v>901</v>
      </c>
      <c r="E377" s="20" t="e">
        <f t="array" ref="E377">INDEX(C:C,SMALL(IF(ISNUMBER(FIND(CELL("contents"),$C$2:$C$4852)),ROW($C$2:$C$4852),4^8),ROW(C377)))&amp;""</f>
        <v>#N/A</v>
      </c>
    </row>
    <row r="378" ht="14.100000000000001" customHeight="1">
      <c r="B378" s="20" t="s">
        <v>903</v>
      </c>
      <c r="C378" s="20" t="s">
        <v>904</v>
      </c>
      <c r="D378" s="20" t="s">
        <v>903</v>
      </c>
      <c r="E378" s="20" t="e">
        <f t="array" ref="E378">INDEX(C:C,SMALL(IF(ISNUMBER(FIND(CELL("contents"),$C$2:$C$4852)),ROW($C$2:$C$4852),4^8),ROW(C378)))&amp;""</f>
        <v>#N/A</v>
      </c>
    </row>
    <row r="379" ht="14.100000000000001" customHeight="1">
      <c r="B379" s="20" t="s">
        <v>905</v>
      </c>
      <c r="C379" s="20" t="s">
        <v>906</v>
      </c>
      <c r="D379" s="20" t="s">
        <v>905</v>
      </c>
      <c r="E379" s="20" t="e">
        <f t="array" ref="E379">INDEX(C:C,SMALL(IF(ISNUMBER(FIND(CELL("contents"),$C$2:$C$4852)),ROW($C$2:$C$4852),4^8),ROW(C379)))&amp;""</f>
        <v>#N/A</v>
      </c>
    </row>
    <row r="380" ht="14.100000000000001" customHeight="1">
      <c r="B380" s="20" t="s">
        <v>907</v>
      </c>
      <c r="C380" s="20" t="s">
        <v>908</v>
      </c>
      <c r="D380" s="20" t="s">
        <v>907</v>
      </c>
      <c r="E380" s="20" t="e">
        <f t="array" ref="E380">INDEX(C:C,SMALL(IF(ISNUMBER(FIND(CELL("contents"),$C$2:$C$4852)),ROW($C$2:$C$4852),4^8),ROW(C380)))&amp;""</f>
        <v>#N/A</v>
      </c>
    </row>
    <row r="381" ht="14.100000000000001" customHeight="1">
      <c r="B381" s="20" t="s">
        <v>909</v>
      </c>
      <c r="C381" s="20" t="s">
        <v>910</v>
      </c>
      <c r="D381" s="20" t="s">
        <v>909</v>
      </c>
      <c r="E381" s="20" t="e">
        <f t="array" ref="E381">INDEX(C:C,SMALL(IF(ISNUMBER(FIND(CELL("contents"),$C$2:$C$4852)),ROW($C$2:$C$4852),4^8),ROW(C381)))&amp;""</f>
        <v>#N/A</v>
      </c>
    </row>
    <row r="382" ht="14.100000000000001" customHeight="1">
      <c r="B382" s="20" t="s">
        <v>911</v>
      </c>
      <c r="C382" s="20" t="s">
        <v>912</v>
      </c>
      <c r="D382" s="20" t="s">
        <v>911</v>
      </c>
      <c r="E382" s="20" t="e">
        <f t="array" ref="E382">INDEX(C:C,SMALL(IF(ISNUMBER(FIND(CELL("contents"),$C$2:$C$4852)),ROW($C$2:$C$4852),4^8),ROW(C382)))&amp;""</f>
        <v>#N/A</v>
      </c>
    </row>
    <row r="383" ht="14.100000000000001" customHeight="1">
      <c r="B383" s="20" t="s">
        <v>913</v>
      </c>
      <c r="C383" s="20" t="s">
        <v>914</v>
      </c>
      <c r="D383" s="20" t="s">
        <v>913</v>
      </c>
      <c r="E383" s="20" t="e">
        <f t="array" ref="E383">INDEX(C:C,SMALL(IF(ISNUMBER(FIND(CELL("contents"),$C$2:$C$4852)),ROW($C$2:$C$4852),4^8),ROW(C383)))&amp;""</f>
        <v>#N/A</v>
      </c>
    </row>
    <row r="384" ht="14.100000000000001" customHeight="1">
      <c r="B384" s="20" t="s">
        <v>915</v>
      </c>
      <c r="C384" s="20" t="s">
        <v>916</v>
      </c>
      <c r="D384" s="20" t="s">
        <v>915</v>
      </c>
      <c r="E384" s="20" t="e">
        <f t="array" ref="E384">INDEX(C:C,SMALL(IF(ISNUMBER(FIND(CELL("contents"),$C$2:$C$4852)),ROW($C$2:$C$4852),4^8),ROW(C384)))&amp;""</f>
        <v>#N/A</v>
      </c>
    </row>
    <row r="385" ht="14.100000000000001" customHeight="1">
      <c r="B385" s="20" t="s">
        <v>917</v>
      </c>
      <c r="C385" s="20" t="s">
        <v>918</v>
      </c>
      <c r="D385" s="20" t="s">
        <v>917</v>
      </c>
      <c r="E385" s="20" t="e">
        <f t="array" ref="E385">INDEX(C:C,SMALL(IF(ISNUMBER(FIND(CELL("contents"),$C$2:$C$4852)),ROW($C$2:$C$4852),4^8),ROW(C385)))&amp;""</f>
        <v>#N/A</v>
      </c>
    </row>
    <row r="386" ht="14.100000000000001" customHeight="1">
      <c r="B386" s="20" t="s">
        <v>919</v>
      </c>
      <c r="C386" s="20" t="s">
        <v>920</v>
      </c>
      <c r="D386" s="20" t="s">
        <v>919</v>
      </c>
      <c r="E386" s="20" t="e">
        <f t="array" ref="E386">INDEX(C:C,SMALL(IF(ISNUMBER(FIND(CELL("contents"),$C$2:$C$4852)),ROW($C$2:$C$4852),4^8),ROW(C386)))&amp;""</f>
        <v>#N/A</v>
      </c>
    </row>
    <row r="387" ht="14.100000000000001" customHeight="1">
      <c r="B387" s="20" t="s">
        <v>921</v>
      </c>
      <c r="C387" s="20" t="s">
        <v>922</v>
      </c>
      <c r="D387" s="20" t="s">
        <v>921</v>
      </c>
      <c r="E387" s="20" t="e">
        <f t="array" ref="E387">INDEX(C:C,SMALL(IF(ISNUMBER(FIND(CELL("contents"),$C$2:$C$4852)),ROW($C$2:$C$4852),4^8),ROW(C387)))&amp;""</f>
        <v>#N/A</v>
      </c>
    </row>
    <row r="388" ht="14.100000000000001" customHeight="1">
      <c r="B388" s="20" t="s">
        <v>923</v>
      </c>
      <c r="C388" s="20" t="s">
        <v>924</v>
      </c>
      <c r="D388" s="20" t="s">
        <v>923</v>
      </c>
      <c r="E388" s="20" t="e">
        <f t="array" ref="E388">INDEX(C:C,SMALL(IF(ISNUMBER(FIND(CELL("contents"),$C$2:$C$4852)),ROW($C$2:$C$4852),4^8),ROW(C388)))&amp;""</f>
        <v>#N/A</v>
      </c>
    </row>
    <row r="389" ht="14.100000000000001" customHeight="1">
      <c r="B389" s="20" t="s">
        <v>925</v>
      </c>
      <c r="C389" s="20" t="s">
        <v>926</v>
      </c>
      <c r="D389" s="20" t="s">
        <v>925</v>
      </c>
      <c r="E389" s="20" t="e">
        <f t="array" ref="E389">INDEX(C:C,SMALL(IF(ISNUMBER(FIND(CELL("contents"),$C$2:$C$4852)),ROW($C$2:$C$4852),4^8),ROW(C389)))&amp;""</f>
        <v>#N/A</v>
      </c>
    </row>
    <row r="390" ht="14.100000000000001" customHeight="1">
      <c r="B390" s="20" t="s">
        <v>927</v>
      </c>
      <c r="C390" s="20" t="s">
        <v>928</v>
      </c>
      <c r="D390" s="20" t="s">
        <v>927</v>
      </c>
      <c r="E390" s="20" t="e">
        <f t="array" ref="E390">INDEX(C:C,SMALL(IF(ISNUMBER(FIND(CELL("contents"),$C$2:$C$4852)),ROW($C$2:$C$4852),4^8),ROW(C390)))&amp;""</f>
        <v>#N/A</v>
      </c>
    </row>
    <row r="391" ht="14.100000000000001" customHeight="1">
      <c r="B391" s="20" t="s">
        <v>929</v>
      </c>
      <c r="C391" s="20" t="s">
        <v>930</v>
      </c>
      <c r="D391" s="20" t="s">
        <v>929</v>
      </c>
      <c r="E391" s="20" t="e">
        <f t="array" ref="E391">INDEX(C:C,SMALL(IF(ISNUMBER(FIND(CELL("contents"),$C$2:$C$4852)),ROW($C$2:$C$4852),4^8),ROW(C391)))&amp;""</f>
        <v>#N/A</v>
      </c>
    </row>
    <row r="392" ht="14.100000000000001" customHeight="1">
      <c r="B392" s="20" t="s">
        <v>931</v>
      </c>
      <c r="C392" s="20" t="s">
        <v>932</v>
      </c>
      <c r="D392" s="20" t="s">
        <v>931</v>
      </c>
      <c r="E392" s="20" t="e">
        <f t="array" ref="E392">INDEX(C:C,SMALL(IF(ISNUMBER(FIND(CELL("contents"),$C$2:$C$4852)),ROW($C$2:$C$4852),4^8),ROW(C392)))&amp;""</f>
        <v>#N/A</v>
      </c>
    </row>
    <row r="393" ht="14.100000000000001" customHeight="1">
      <c r="B393" s="20" t="s">
        <v>933</v>
      </c>
      <c r="C393" s="20" t="s">
        <v>934</v>
      </c>
      <c r="D393" s="20" t="s">
        <v>933</v>
      </c>
      <c r="E393" s="20" t="e">
        <f t="array" ref="E393">INDEX(C:C,SMALL(IF(ISNUMBER(FIND(CELL("contents"),$C$2:$C$4852)),ROW($C$2:$C$4852),4^8),ROW(C393)))&amp;""</f>
        <v>#N/A</v>
      </c>
    </row>
    <row r="394" ht="14.100000000000001" customHeight="1">
      <c r="B394" s="20" t="s">
        <v>935</v>
      </c>
      <c r="C394" s="20" t="s">
        <v>936</v>
      </c>
      <c r="D394" s="20" t="s">
        <v>935</v>
      </c>
      <c r="E394" s="20" t="e">
        <f t="array" ref="E394">INDEX(C:C,SMALL(IF(ISNUMBER(FIND(CELL("contents"),$C$2:$C$4852)),ROW($C$2:$C$4852),4^8),ROW(C394)))&amp;""</f>
        <v>#N/A</v>
      </c>
    </row>
    <row r="395" ht="14.100000000000001" customHeight="1">
      <c r="B395" s="20" t="s">
        <v>937</v>
      </c>
      <c r="C395" s="20" t="s">
        <v>938</v>
      </c>
      <c r="D395" s="20" t="s">
        <v>937</v>
      </c>
      <c r="E395" s="20" t="e">
        <f t="array" ref="E395">INDEX(C:C,SMALL(IF(ISNUMBER(FIND(CELL("contents"),$C$2:$C$4852)),ROW($C$2:$C$4852),4^8),ROW(C395)))&amp;""</f>
        <v>#N/A</v>
      </c>
    </row>
    <row r="396" ht="14.100000000000001" customHeight="1">
      <c r="B396" s="20" t="s">
        <v>939</v>
      </c>
      <c r="C396" s="20" t="s">
        <v>940</v>
      </c>
      <c r="D396" s="20" t="s">
        <v>939</v>
      </c>
      <c r="E396" s="20" t="e">
        <f t="array" ref="E396">INDEX(C:C,SMALL(IF(ISNUMBER(FIND(CELL("contents"),$C$2:$C$4852)),ROW($C$2:$C$4852),4^8),ROW(C396)))&amp;""</f>
        <v>#N/A</v>
      </c>
    </row>
    <row r="397" ht="14.100000000000001" customHeight="1">
      <c r="B397" s="20" t="s">
        <v>941</v>
      </c>
      <c r="C397" s="20" t="s">
        <v>942</v>
      </c>
      <c r="D397" s="20" t="s">
        <v>941</v>
      </c>
      <c r="E397" s="20" t="e">
        <f t="array" ref="E397">INDEX(C:C,SMALL(IF(ISNUMBER(FIND(CELL("contents"),$C$2:$C$4852)),ROW($C$2:$C$4852),4^8),ROW(C397)))&amp;""</f>
        <v>#N/A</v>
      </c>
    </row>
    <row r="398" ht="14.100000000000001" customHeight="1">
      <c r="B398" s="20" t="s">
        <v>943</v>
      </c>
      <c r="C398" s="20" t="s">
        <v>944</v>
      </c>
      <c r="D398" s="20" t="s">
        <v>943</v>
      </c>
      <c r="E398" s="20" t="e">
        <f t="array" ref="E398">INDEX(C:C,SMALL(IF(ISNUMBER(FIND(CELL("contents"),$C$2:$C$4852)),ROW($C$2:$C$4852),4^8),ROW(C398)))&amp;""</f>
        <v>#N/A</v>
      </c>
    </row>
    <row r="399" ht="14.100000000000001" customHeight="1">
      <c r="B399" s="20" t="s">
        <v>945</v>
      </c>
      <c r="C399" s="20" t="s">
        <v>946</v>
      </c>
      <c r="D399" s="20" t="s">
        <v>945</v>
      </c>
      <c r="E399" s="20" t="e">
        <f t="array" ref="E399">INDEX(C:C,SMALL(IF(ISNUMBER(FIND(CELL("contents"),$C$2:$C$4852)),ROW($C$2:$C$4852),4^8),ROW(C399)))&amp;""</f>
        <v>#N/A</v>
      </c>
    </row>
    <row r="400" ht="14.100000000000001" customHeight="1">
      <c r="B400" s="20" t="s">
        <v>947</v>
      </c>
      <c r="C400" s="20" t="s">
        <v>948</v>
      </c>
      <c r="D400" s="20" t="s">
        <v>947</v>
      </c>
      <c r="E400" s="20" t="e">
        <f t="array" ref="E400">INDEX(C:C,SMALL(IF(ISNUMBER(FIND(CELL("contents"),$C$2:$C$4852)),ROW($C$2:$C$4852),4^8),ROW(C400)))&amp;""</f>
        <v>#N/A</v>
      </c>
    </row>
    <row r="401" ht="14.100000000000001" customHeight="1">
      <c r="B401" s="20" t="s">
        <v>949</v>
      </c>
      <c r="C401" s="20" t="s">
        <v>950</v>
      </c>
      <c r="D401" s="20" t="s">
        <v>949</v>
      </c>
      <c r="E401" s="20" t="e">
        <f t="array" ref="E401">INDEX(C:C,SMALL(IF(ISNUMBER(FIND(CELL("contents"),$C$2:$C$4852)),ROW($C$2:$C$4852),4^8),ROW(C401)))&amp;""</f>
        <v>#N/A</v>
      </c>
    </row>
    <row r="402" ht="14.100000000000001" customHeight="1">
      <c r="B402" s="20" t="s">
        <v>951</v>
      </c>
      <c r="C402" s="20" t="s">
        <v>952</v>
      </c>
      <c r="D402" s="20" t="s">
        <v>951</v>
      </c>
      <c r="E402" s="20" t="e">
        <f t="array" ref="E402">INDEX(C:C,SMALL(IF(ISNUMBER(FIND(CELL("contents"),$C$2:$C$4852)),ROW($C$2:$C$4852),4^8),ROW(C402)))&amp;""</f>
        <v>#N/A</v>
      </c>
    </row>
    <row r="403" ht="14.100000000000001" customHeight="1">
      <c r="B403" s="20" t="s">
        <v>953</v>
      </c>
      <c r="C403" s="20" t="s">
        <v>954</v>
      </c>
      <c r="D403" s="20" t="s">
        <v>953</v>
      </c>
      <c r="E403" s="20" t="e">
        <f t="array" ref="E403">INDEX(C:C,SMALL(IF(ISNUMBER(FIND(CELL("contents"),$C$2:$C$4852)),ROW($C$2:$C$4852),4^8),ROW(C403)))&amp;""</f>
        <v>#N/A</v>
      </c>
    </row>
    <row r="404" ht="14.100000000000001" customHeight="1">
      <c r="B404" s="20" t="s">
        <v>955</v>
      </c>
      <c r="C404" s="20" t="s">
        <v>956</v>
      </c>
      <c r="D404" s="20" t="s">
        <v>955</v>
      </c>
      <c r="E404" s="20" t="e">
        <f t="array" ref="E404">INDEX(C:C,SMALL(IF(ISNUMBER(FIND(CELL("contents"),$C$2:$C$4852)),ROW($C$2:$C$4852),4^8),ROW(C404)))&amp;""</f>
        <v>#N/A</v>
      </c>
    </row>
    <row r="405" ht="14.100000000000001" customHeight="1">
      <c r="B405" s="20" t="s">
        <v>957</v>
      </c>
      <c r="C405" s="20" t="s">
        <v>958</v>
      </c>
      <c r="D405" s="20" t="s">
        <v>957</v>
      </c>
      <c r="E405" s="20" t="e">
        <f t="array" ref="E405">INDEX(C:C,SMALL(IF(ISNUMBER(FIND(CELL("contents"),$C$2:$C$4852)),ROW($C$2:$C$4852),4^8),ROW(C405)))&amp;""</f>
        <v>#N/A</v>
      </c>
    </row>
    <row r="406" ht="14.100000000000001" customHeight="1">
      <c r="B406" s="20" t="s">
        <v>959</v>
      </c>
      <c r="C406" s="20" t="s">
        <v>960</v>
      </c>
      <c r="D406" s="20" t="s">
        <v>959</v>
      </c>
      <c r="E406" s="20" t="e">
        <f t="array" ref="E406">INDEX(C:C,SMALL(IF(ISNUMBER(FIND(CELL("contents"),$C$2:$C$4852)),ROW($C$2:$C$4852),4^8),ROW(C406)))&amp;""</f>
        <v>#N/A</v>
      </c>
    </row>
    <row r="407" ht="14.100000000000001" customHeight="1">
      <c r="B407" s="20" t="s">
        <v>961</v>
      </c>
      <c r="C407" s="20" t="s">
        <v>962</v>
      </c>
      <c r="D407" s="20" t="s">
        <v>961</v>
      </c>
      <c r="E407" s="20" t="e">
        <f t="array" ref="E407">INDEX(C:C,SMALL(IF(ISNUMBER(FIND(CELL("contents"),$C$2:$C$4852)),ROW($C$2:$C$4852),4^8),ROW(C407)))&amp;""</f>
        <v>#N/A</v>
      </c>
    </row>
    <row r="408" ht="14.100000000000001" customHeight="1">
      <c r="B408" s="20" t="s">
        <v>963</v>
      </c>
      <c r="C408" s="20" t="s">
        <v>964</v>
      </c>
      <c r="D408" s="20" t="s">
        <v>963</v>
      </c>
      <c r="E408" s="20" t="e">
        <f t="array" ref="E408">INDEX(C:C,SMALL(IF(ISNUMBER(FIND(CELL("contents"),$C$2:$C$4852)),ROW($C$2:$C$4852),4^8),ROW(C408)))&amp;""</f>
        <v>#N/A</v>
      </c>
    </row>
    <row r="409" ht="14.100000000000001" customHeight="1">
      <c r="B409" s="20" t="s">
        <v>965</v>
      </c>
      <c r="C409" s="20" t="s">
        <v>966</v>
      </c>
      <c r="D409" s="20" t="s">
        <v>965</v>
      </c>
      <c r="E409" s="20" t="e">
        <f t="array" ref="E409">INDEX(C:C,SMALL(IF(ISNUMBER(FIND(CELL("contents"),$C$2:$C$4852)),ROW($C$2:$C$4852),4^8),ROW(C409)))&amp;""</f>
        <v>#N/A</v>
      </c>
    </row>
    <row r="410" ht="14.100000000000001" customHeight="1">
      <c r="B410" s="20" t="s">
        <v>967</v>
      </c>
      <c r="C410" s="20" t="s">
        <v>968</v>
      </c>
      <c r="D410" s="20" t="s">
        <v>967</v>
      </c>
      <c r="E410" s="20" t="e">
        <f t="array" ref="E410">INDEX(C:C,SMALL(IF(ISNUMBER(FIND(CELL("contents"),$C$2:$C$4852)),ROW($C$2:$C$4852),4^8),ROW(C410)))&amp;""</f>
        <v>#N/A</v>
      </c>
    </row>
    <row r="411" ht="14.100000000000001" customHeight="1">
      <c r="B411" s="20" t="s">
        <v>969</v>
      </c>
      <c r="C411" s="20" t="s">
        <v>970</v>
      </c>
      <c r="D411" s="20" t="s">
        <v>969</v>
      </c>
      <c r="E411" s="20" t="e">
        <f t="array" ref="E411">INDEX(C:C,SMALL(IF(ISNUMBER(FIND(CELL("contents"),$C$2:$C$4852)),ROW($C$2:$C$4852),4^8),ROW(C411)))&amp;""</f>
        <v>#N/A</v>
      </c>
    </row>
    <row r="412" ht="14.100000000000001" customHeight="1">
      <c r="B412" s="20" t="s">
        <v>971</v>
      </c>
      <c r="C412" s="20" t="s">
        <v>972</v>
      </c>
      <c r="D412" s="20" t="s">
        <v>971</v>
      </c>
      <c r="E412" s="20" t="e">
        <f t="array" ref="E412">INDEX(C:C,SMALL(IF(ISNUMBER(FIND(CELL("contents"),$C$2:$C$4852)),ROW($C$2:$C$4852),4^8),ROW(C412)))&amp;""</f>
        <v>#N/A</v>
      </c>
    </row>
    <row r="413" ht="14.100000000000001" customHeight="1">
      <c r="B413" s="20" t="s">
        <v>973</v>
      </c>
      <c r="C413" s="20" t="s">
        <v>974</v>
      </c>
      <c r="D413" s="20" t="s">
        <v>973</v>
      </c>
      <c r="E413" s="20" t="e">
        <f t="array" ref="E413">INDEX(C:C,SMALL(IF(ISNUMBER(FIND(CELL("contents"),$C$2:$C$4852)),ROW($C$2:$C$4852),4^8),ROW(C413)))&amp;""</f>
        <v>#N/A</v>
      </c>
    </row>
    <row r="414" ht="14.100000000000001" customHeight="1">
      <c r="B414" s="20" t="s">
        <v>975</v>
      </c>
      <c r="C414" s="20" t="s">
        <v>976</v>
      </c>
      <c r="D414" s="20" t="s">
        <v>975</v>
      </c>
      <c r="E414" s="20" t="e">
        <f t="array" ref="E414">INDEX(C:C,SMALL(IF(ISNUMBER(FIND(CELL("contents"),$C$2:$C$4852)),ROW($C$2:$C$4852),4^8),ROW(C414)))&amp;""</f>
        <v>#N/A</v>
      </c>
    </row>
    <row r="415" ht="14.100000000000001" customHeight="1">
      <c r="B415" s="20" t="s">
        <v>977</v>
      </c>
      <c r="C415" s="20" t="s">
        <v>978</v>
      </c>
      <c r="D415" s="20" t="s">
        <v>977</v>
      </c>
      <c r="E415" s="20" t="e">
        <f t="array" ref="E415">INDEX(C:C,SMALL(IF(ISNUMBER(FIND(CELL("contents"),$C$2:$C$4852)),ROW($C$2:$C$4852),4^8),ROW(C415)))&amp;""</f>
        <v>#N/A</v>
      </c>
    </row>
    <row r="416" ht="14.100000000000001" customHeight="1">
      <c r="B416" s="20" t="s">
        <v>979</v>
      </c>
      <c r="C416" s="20" t="s">
        <v>980</v>
      </c>
      <c r="D416" s="20" t="s">
        <v>979</v>
      </c>
      <c r="E416" s="20" t="e">
        <f t="array" ref="E416">INDEX(C:C,SMALL(IF(ISNUMBER(FIND(CELL("contents"),$C$2:$C$4852)),ROW($C$2:$C$4852),4^8),ROW(C416)))&amp;""</f>
        <v>#N/A</v>
      </c>
    </row>
    <row r="417" ht="14.100000000000001" customHeight="1">
      <c r="B417" s="20" t="s">
        <v>981</v>
      </c>
      <c r="C417" s="20" t="s">
        <v>982</v>
      </c>
      <c r="D417" s="20" t="s">
        <v>981</v>
      </c>
      <c r="E417" s="20" t="e">
        <f t="array" ref="E417">INDEX(C:C,SMALL(IF(ISNUMBER(FIND(CELL("contents"),$C$2:$C$4852)),ROW($C$2:$C$4852),4^8),ROW(C417)))&amp;""</f>
        <v>#N/A</v>
      </c>
    </row>
    <row r="418" ht="14.100000000000001" customHeight="1">
      <c r="B418" s="20" t="s">
        <v>983</v>
      </c>
      <c r="C418" s="20" t="s">
        <v>984</v>
      </c>
      <c r="D418" s="20" t="s">
        <v>983</v>
      </c>
      <c r="E418" s="20" t="e">
        <f t="array" ref="E418">INDEX(C:C,SMALL(IF(ISNUMBER(FIND(CELL("contents"),$C$2:$C$4852)),ROW($C$2:$C$4852),4^8),ROW(C418)))&amp;""</f>
        <v>#N/A</v>
      </c>
    </row>
    <row r="419" ht="14.100000000000001" customHeight="1">
      <c r="B419" s="20" t="s">
        <v>985</v>
      </c>
      <c r="C419" s="20" t="s">
        <v>986</v>
      </c>
      <c r="D419" s="20" t="s">
        <v>985</v>
      </c>
      <c r="E419" s="20" t="e">
        <f t="array" ref="E419">INDEX(C:C,SMALL(IF(ISNUMBER(FIND(CELL("contents"),$C$2:$C$4852)),ROW($C$2:$C$4852),4^8),ROW(C419)))&amp;""</f>
        <v>#N/A</v>
      </c>
    </row>
    <row r="420" ht="14.100000000000001" customHeight="1">
      <c r="B420" s="20" t="s">
        <v>987</v>
      </c>
      <c r="C420" s="20" t="s">
        <v>988</v>
      </c>
      <c r="D420" s="20" t="s">
        <v>987</v>
      </c>
      <c r="E420" s="20" t="e">
        <f t="array" ref="E420">INDEX(C:C,SMALL(IF(ISNUMBER(FIND(CELL("contents"),$C$2:$C$4852)),ROW($C$2:$C$4852),4^8),ROW(C420)))&amp;""</f>
        <v>#N/A</v>
      </c>
    </row>
    <row r="421" ht="14.100000000000001" customHeight="1">
      <c r="B421" s="20" t="s">
        <v>989</v>
      </c>
      <c r="C421" s="20" t="s">
        <v>990</v>
      </c>
      <c r="D421" s="20" t="s">
        <v>989</v>
      </c>
      <c r="E421" s="20" t="e">
        <f t="array" ref="E421">INDEX(C:C,SMALL(IF(ISNUMBER(FIND(CELL("contents"),$C$2:$C$4852)),ROW($C$2:$C$4852),4^8),ROW(C421)))&amp;""</f>
        <v>#N/A</v>
      </c>
    </row>
    <row r="422" ht="14.100000000000001" customHeight="1">
      <c r="B422" s="20" t="s">
        <v>991</v>
      </c>
      <c r="C422" s="20" t="s">
        <v>992</v>
      </c>
      <c r="D422" s="20" t="s">
        <v>991</v>
      </c>
      <c r="E422" s="20" t="e">
        <f t="array" ref="E422">INDEX(C:C,SMALL(IF(ISNUMBER(FIND(CELL("contents"),$C$2:$C$4852)),ROW($C$2:$C$4852),4^8),ROW(C422)))&amp;""</f>
        <v>#N/A</v>
      </c>
    </row>
    <row r="423" ht="14.100000000000001" customHeight="1">
      <c r="B423" s="20" t="s">
        <v>993</v>
      </c>
      <c r="C423" s="20" t="s">
        <v>994</v>
      </c>
      <c r="D423" s="20" t="s">
        <v>993</v>
      </c>
      <c r="E423" s="20" t="e">
        <f t="array" ref="E423">INDEX(C:C,SMALL(IF(ISNUMBER(FIND(CELL("contents"),$C$2:$C$4852)),ROW($C$2:$C$4852),4^8),ROW(C423)))&amp;""</f>
        <v>#N/A</v>
      </c>
    </row>
    <row r="424" ht="14.100000000000001" customHeight="1">
      <c r="B424" s="20" t="s">
        <v>995</v>
      </c>
      <c r="C424" s="20" t="s">
        <v>996</v>
      </c>
      <c r="D424" s="20" t="s">
        <v>995</v>
      </c>
      <c r="E424" s="20" t="e">
        <f t="array" ref="E424">INDEX(C:C,SMALL(IF(ISNUMBER(FIND(CELL("contents"),$C$2:$C$4852)),ROW($C$2:$C$4852),4^8),ROW(C424)))&amp;""</f>
        <v>#N/A</v>
      </c>
    </row>
    <row r="425" ht="14.100000000000001" customHeight="1">
      <c r="B425" s="20" t="s">
        <v>997</v>
      </c>
      <c r="C425" s="20" t="s">
        <v>998</v>
      </c>
      <c r="D425" s="20" t="s">
        <v>997</v>
      </c>
      <c r="E425" s="20" t="e">
        <f t="array" ref="E425">INDEX(C:C,SMALL(IF(ISNUMBER(FIND(CELL("contents"),$C$2:$C$4852)),ROW($C$2:$C$4852),4^8),ROW(C425)))&amp;""</f>
        <v>#N/A</v>
      </c>
    </row>
    <row r="426" ht="14.100000000000001" customHeight="1">
      <c r="B426" s="20" t="s">
        <v>999</v>
      </c>
      <c r="C426" s="20" t="s">
        <v>1000</v>
      </c>
      <c r="D426" s="20" t="s">
        <v>999</v>
      </c>
      <c r="E426" s="20" t="e">
        <f t="array" ref="E426">INDEX(C:C,SMALL(IF(ISNUMBER(FIND(CELL("contents"),$C$2:$C$4852)),ROW($C$2:$C$4852),4^8),ROW(C426)))&amp;""</f>
        <v>#N/A</v>
      </c>
    </row>
    <row r="427" ht="14.100000000000001" customHeight="1">
      <c r="B427" s="20" t="s">
        <v>1001</v>
      </c>
      <c r="C427" s="20" t="s">
        <v>1002</v>
      </c>
      <c r="D427" s="20" t="s">
        <v>1001</v>
      </c>
      <c r="E427" s="20" t="e">
        <f t="array" ref="E427">INDEX(C:C,SMALL(IF(ISNUMBER(FIND(CELL("contents"),$C$2:$C$4852)),ROW($C$2:$C$4852),4^8),ROW(C427)))&amp;""</f>
        <v>#N/A</v>
      </c>
    </row>
    <row r="428" ht="14.100000000000001" customHeight="1">
      <c r="B428" s="20" t="s">
        <v>1003</v>
      </c>
      <c r="C428" s="20" t="s">
        <v>1004</v>
      </c>
      <c r="D428" s="20" t="s">
        <v>1003</v>
      </c>
      <c r="E428" s="20" t="e">
        <f t="array" ref="E428">INDEX(C:C,SMALL(IF(ISNUMBER(FIND(CELL("contents"),$C$2:$C$4852)),ROW($C$2:$C$4852),4^8),ROW(C428)))&amp;""</f>
        <v>#N/A</v>
      </c>
    </row>
    <row r="429" ht="14.100000000000001" customHeight="1">
      <c r="B429" s="20" t="s">
        <v>1005</v>
      </c>
      <c r="C429" s="20" t="s">
        <v>1006</v>
      </c>
      <c r="D429" s="20" t="s">
        <v>1005</v>
      </c>
      <c r="E429" s="20" t="e">
        <f t="array" ref="E429">INDEX(C:C,SMALL(IF(ISNUMBER(FIND(CELL("contents"),$C$2:$C$4852)),ROW($C$2:$C$4852),4^8),ROW(C429)))&amp;""</f>
        <v>#N/A</v>
      </c>
    </row>
    <row r="430" ht="14.100000000000001" customHeight="1">
      <c r="B430" s="20" t="s">
        <v>1007</v>
      </c>
      <c r="C430" s="20" t="s">
        <v>1008</v>
      </c>
      <c r="D430" s="20" t="s">
        <v>1007</v>
      </c>
      <c r="E430" s="20" t="e">
        <f t="array" ref="E430">INDEX(C:C,SMALL(IF(ISNUMBER(FIND(CELL("contents"),$C$2:$C$4852)),ROW($C$2:$C$4852),4^8),ROW(C430)))&amp;""</f>
        <v>#N/A</v>
      </c>
    </row>
    <row r="431" ht="14.100000000000001" customHeight="1">
      <c r="B431" s="20" t="s">
        <v>1009</v>
      </c>
      <c r="C431" s="20" t="s">
        <v>1010</v>
      </c>
      <c r="D431" s="20" t="s">
        <v>1009</v>
      </c>
      <c r="E431" s="20" t="e">
        <f t="array" ref="E431">INDEX(C:C,SMALL(IF(ISNUMBER(FIND(CELL("contents"),$C$2:$C$4852)),ROW($C$2:$C$4852),4^8),ROW(C431)))&amp;""</f>
        <v>#N/A</v>
      </c>
    </row>
    <row r="432" ht="14.100000000000001" customHeight="1">
      <c r="B432" s="20" t="s">
        <v>1011</v>
      </c>
      <c r="C432" s="20" t="s">
        <v>1012</v>
      </c>
      <c r="D432" s="20" t="s">
        <v>1011</v>
      </c>
      <c r="E432" s="20" t="e">
        <f t="array" ref="E432">INDEX(C:C,SMALL(IF(ISNUMBER(FIND(CELL("contents"),$C$2:$C$4852)),ROW($C$2:$C$4852),4^8),ROW(C432)))&amp;""</f>
        <v>#N/A</v>
      </c>
    </row>
    <row r="433" ht="14.100000000000001" customHeight="1">
      <c r="B433" s="20" t="s">
        <v>1013</v>
      </c>
      <c r="C433" s="20" t="s">
        <v>1014</v>
      </c>
      <c r="D433" s="20" t="s">
        <v>1013</v>
      </c>
      <c r="E433" s="20" t="e">
        <f t="array" ref="E433">INDEX(C:C,SMALL(IF(ISNUMBER(FIND(CELL("contents"),$C$2:$C$4852)),ROW($C$2:$C$4852),4^8),ROW(C433)))&amp;""</f>
        <v>#N/A</v>
      </c>
    </row>
    <row r="434" ht="14.100000000000001" customHeight="1">
      <c r="B434" s="20" t="s">
        <v>1015</v>
      </c>
      <c r="C434" s="20" t="s">
        <v>1016</v>
      </c>
      <c r="D434" s="20" t="s">
        <v>1015</v>
      </c>
      <c r="E434" s="20" t="e">
        <f t="array" ref="E434">INDEX(C:C,SMALL(IF(ISNUMBER(FIND(CELL("contents"),$C$2:$C$4852)),ROW($C$2:$C$4852),4^8),ROW(C434)))&amp;""</f>
        <v>#N/A</v>
      </c>
    </row>
    <row r="435" ht="14.100000000000001" customHeight="1">
      <c r="B435" s="20" t="s">
        <v>1017</v>
      </c>
      <c r="C435" s="20" t="s">
        <v>1018</v>
      </c>
      <c r="D435" s="20" t="s">
        <v>1017</v>
      </c>
      <c r="E435" s="20" t="e">
        <f t="array" ref="E435">INDEX(C:C,SMALL(IF(ISNUMBER(FIND(CELL("contents"),$C$2:$C$4852)),ROW($C$2:$C$4852),4^8),ROW(C435)))&amp;""</f>
        <v>#N/A</v>
      </c>
    </row>
    <row r="436" ht="14.100000000000001" customHeight="1">
      <c r="B436" s="20" t="s">
        <v>1019</v>
      </c>
      <c r="C436" s="20" t="s">
        <v>1020</v>
      </c>
      <c r="D436" s="20" t="s">
        <v>1019</v>
      </c>
      <c r="E436" s="20" t="e">
        <f t="array" ref="E436">INDEX(C:C,SMALL(IF(ISNUMBER(FIND(CELL("contents"),$C$2:$C$4852)),ROW($C$2:$C$4852),4^8),ROW(C436)))&amp;""</f>
        <v>#N/A</v>
      </c>
    </row>
    <row r="437" ht="14.100000000000001" customHeight="1">
      <c r="B437" s="20" t="s">
        <v>1021</v>
      </c>
      <c r="C437" s="20" t="s">
        <v>1022</v>
      </c>
      <c r="D437" s="20" t="s">
        <v>1021</v>
      </c>
      <c r="E437" s="20" t="e">
        <f t="array" ref="E437">INDEX(C:C,SMALL(IF(ISNUMBER(FIND(CELL("contents"),$C$2:$C$4852)),ROW($C$2:$C$4852),4^8),ROW(C437)))&amp;""</f>
        <v>#N/A</v>
      </c>
    </row>
    <row r="438" ht="14.100000000000001" customHeight="1">
      <c r="B438" s="20" t="s">
        <v>1023</v>
      </c>
      <c r="C438" s="20" t="s">
        <v>1024</v>
      </c>
      <c r="D438" s="20" t="s">
        <v>1023</v>
      </c>
      <c r="E438" s="20" t="e">
        <f t="array" ref="E438">INDEX(C:C,SMALL(IF(ISNUMBER(FIND(CELL("contents"),$C$2:$C$4852)),ROW($C$2:$C$4852),4^8),ROW(C438)))&amp;""</f>
        <v>#N/A</v>
      </c>
    </row>
    <row r="439" ht="14.100000000000001" customHeight="1">
      <c r="B439" s="20" t="s">
        <v>1025</v>
      </c>
      <c r="C439" s="20" t="s">
        <v>1026</v>
      </c>
      <c r="D439" s="20" t="s">
        <v>1025</v>
      </c>
      <c r="E439" s="20" t="e">
        <f t="array" ref="E439">INDEX(C:C,SMALL(IF(ISNUMBER(FIND(CELL("contents"),$C$2:$C$4852)),ROW($C$2:$C$4852),4^8),ROW(C439)))&amp;""</f>
        <v>#N/A</v>
      </c>
    </row>
    <row r="440" ht="14.100000000000001" customHeight="1">
      <c r="B440" s="20" t="s">
        <v>1027</v>
      </c>
      <c r="C440" s="20" t="s">
        <v>1028</v>
      </c>
      <c r="D440" s="20" t="s">
        <v>1027</v>
      </c>
      <c r="E440" s="20" t="e">
        <f t="array" ref="E440">INDEX(C:C,SMALL(IF(ISNUMBER(FIND(CELL("contents"),$C$2:$C$4852)),ROW($C$2:$C$4852),4^8),ROW(C440)))&amp;""</f>
        <v>#N/A</v>
      </c>
    </row>
    <row r="441" ht="14.100000000000001" customHeight="1">
      <c r="B441" s="20" t="s">
        <v>1029</v>
      </c>
      <c r="C441" s="20" t="s">
        <v>1030</v>
      </c>
      <c r="D441" s="20" t="s">
        <v>1029</v>
      </c>
      <c r="E441" s="20" t="e">
        <f t="array" ref="E441">INDEX(C:C,SMALL(IF(ISNUMBER(FIND(CELL("contents"),$C$2:$C$4852)),ROW($C$2:$C$4852),4^8),ROW(C441)))&amp;""</f>
        <v>#N/A</v>
      </c>
    </row>
    <row r="442" ht="14.100000000000001" customHeight="1">
      <c r="B442" s="20" t="s">
        <v>1031</v>
      </c>
      <c r="C442" s="20" t="s">
        <v>1032</v>
      </c>
      <c r="D442" s="20" t="s">
        <v>1031</v>
      </c>
      <c r="E442" s="20" t="e">
        <f t="array" ref="E442">INDEX(C:C,SMALL(IF(ISNUMBER(FIND(CELL("contents"),$C$2:$C$4852)),ROW($C$2:$C$4852),4^8),ROW(C442)))&amp;""</f>
        <v>#N/A</v>
      </c>
    </row>
    <row r="443" ht="14.100000000000001" customHeight="1">
      <c r="B443" s="20" t="s">
        <v>1033</v>
      </c>
      <c r="C443" s="20" t="s">
        <v>1034</v>
      </c>
      <c r="D443" s="20" t="s">
        <v>1033</v>
      </c>
      <c r="E443" s="20" t="e">
        <f t="array" ref="E443">INDEX(C:C,SMALL(IF(ISNUMBER(FIND(CELL("contents"),$C$2:$C$4852)),ROW($C$2:$C$4852),4^8),ROW(C443)))&amp;""</f>
        <v>#N/A</v>
      </c>
    </row>
    <row r="444" ht="14.100000000000001" customHeight="1">
      <c r="B444" s="20" t="s">
        <v>1035</v>
      </c>
      <c r="C444" s="20" t="s">
        <v>1036</v>
      </c>
      <c r="D444" s="20" t="s">
        <v>1035</v>
      </c>
      <c r="E444" s="20" t="e">
        <f t="array" ref="E444">INDEX(C:C,SMALL(IF(ISNUMBER(FIND(CELL("contents"),$C$2:$C$4852)),ROW($C$2:$C$4852),4^8),ROW(C444)))&amp;""</f>
        <v>#N/A</v>
      </c>
    </row>
    <row r="445" ht="14.100000000000001" customHeight="1">
      <c r="B445" s="20" t="s">
        <v>1037</v>
      </c>
      <c r="C445" s="20" t="s">
        <v>1038</v>
      </c>
      <c r="D445" s="20" t="s">
        <v>1037</v>
      </c>
      <c r="E445" s="20" t="e">
        <f t="array" ref="E445">INDEX(C:C,SMALL(IF(ISNUMBER(FIND(CELL("contents"),$C$2:$C$4852)),ROW($C$2:$C$4852),4^8),ROW(C445)))&amp;""</f>
        <v>#N/A</v>
      </c>
    </row>
    <row r="446" ht="14.100000000000001" customHeight="1">
      <c r="B446" s="20" t="s">
        <v>1039</v>
      </c>
      <c r="C446" s="20" t="s">
        <v>1040</v>
      </c>
      <c r="D446" s="20" t="s">
        <v>1039</v>
      </c>
      <c r="E446" s="20" t="e">
        <f t="array" ref="E446">INDEX(C:C,SMALL(IF(ISNUMBER(FIND(CELL("contents"),$C$2:$C$4852)),ROW($C$2:$C$4852),4^8),ROW(C446)))&amp;""</f>
        <v>#N/A</v>
      </c>
    </row>
    <row r="447" ht="14.100000000000001" customHeight="1">
      <c r="B447" s="20" t="s">
        <v>1041</v>
      </c>
      <c r="C447" s="20" t="s">
        <v>1042</v>
      </c>
      <c r="D447" s="20" t="s">
        <v>1041</v>
      </c>
      <c r="E447" s="20" t="e">
        <f t="array" ref="E447">INDEX(C:C,SMALL(IF(ISNUMBER(FIND(CELL("contents"),$C$2:$C$4852)),ROW($C$2:$C$4852),4^8),ROW(C447)))&amp;""</f>
        <v>#N/A</v>
      </c>
    </row>
    <row r="448" ht="14.100000000000001" customHeight="1">
      <c r="B448" s="20" t="s">
        <v>1043</v>
      </c>
      <c r="C448" s="20" t="s">
        <v>1044</v>
      </c>
      <c r="D448" s="20" t="s">
        <v>1043</v>
      </c>
      <c r="E448" s="20" t="e">
        <f t="array" ref="E448">INDEX(C:C,SMALL(IF(ISNUMBER(FIND(CELL("contents"),$C$2:$C$4852)),ROW($C$2:$C$4852),4^8),ROW(C448)))&amp;""</f>
        <v>#N/A</v>
      </c>
    </row>
    <row r="449" ht="14.100000000000001" customHeight="1">
      <c r="B449" s="20" t="s">
        <v>1045</v>
      </c>
      <c r="C449" s="20" t="s">
        <v>1046</v>
      </c>
      <c r="D449" s="20" t="s">
        <v>1045</v>
      </c>
      <c r="E449" s="20" t="e">
        <f t="array" ref="E449">INDEX(C:C,SMALL(IF(ISNUMBER(FIND(CELL("contents"),$C$2:$C$4852)),ROW($C$2:$C$4852),4^8),ROW(C449)))&amp;""</f>
        <v>#N/A</v>
      </c>
    </row>
    <row r="450" ht="14.100000000000001" customHeight="1">
      <c r="B450" s="20" t="s">
        <v>1047</v>
      </c>
      <c r="C450" s="20" t="s">
        <v>1048</v>
      </c>
      <c r="D450" s="20" t="s">
        <v>1047</v>
      </c>
      <c r="E450" s="20" t="e">
        <f t="array" ref="E450">INDEX(C:C,SMALL(IF(ISNUMBER(FIND(CELL("contents"),$C$2:$C$4852)),ROW($C$2:$C$4852),4^8),ROW(C450)))&amp;""</f>
        <v>#N/A</v>
      </c>
    </row>
    <row r="451" ht="14.100000000000001" customHeight="1">
      <c r="B451" s="20" t="s">
        <v>1049</v>
      </c>
      <c r="C451" s="20" t="s">
        <v>1050</v>
      </c>
      <c r="D451" s="20" t="s">
        <v>1049</v>
      </c>
      <c r="E451" s="20" t="e">
        <f t="array" ref="E451">INDEX(C:C,SMALL(IF(ISNUMBER(FIND(CELL("contents"),$C$2:$C$4852)),ROW($C$2:$C$4852),4^8),ROW(C451)))&amp;""</f>
        <v>#N/A</v>
      </c>
    </row>
    <row r="452" ht="14.100000000000001" customHeight="1">
      <c r="B452" s="20" t="s">
        <v>1051</v>
      </c>
      <c r="C452" s="20" t="s">
        <v>1052</v>
      </c>
      <c r="D452" s="20" t="s">
        <v>1051</v>
      </c>
      <c r="E452" s="20" t="e">
        <f t="array" ref="E452">INDEX(C:C,SMALL(IF(ISNUMBER(FIND(CELL("contents"),$C$2:$C$4852)),ROW($C$2:$C$4852),4^8),ROW(C452)))&amp;""</f>
        <v>#N/A</v>
      </c>
    </row>
    <row r="453" ht="14.100000000000001" customHeight="1">
      <c r="B453" s="20" t="s">
        <v>1053</v>
      </c>
      <c r="C453" s="20" t="s">
        <v>1054</v>
      </c>
      <c r="D453" s="20" t="s">
        <v>1053</v>
      </c>
      <c r="E453" s="20" t="e">
        <f t="array" ref="E453">INDEX(C:C,SMALL(IF(ISNUMBER(FIND(CELL("contents"),$C$2:$C$4852)),ROW($C$2:$C$4852),4^8),ROW(C453)))&amp;""</f>
        <v>#N/A</v>
      </c>
    </row>
    <row r="454" ht="14.100000000000001" customHeight="1">
      <c r="B454" s="20" t="s">
        <v>1055</v>
      </c>
      <c r="C454" s="20" t="s">
        <v>1056</v>
      </c>
      <c r="D454" s="20" t="s">
        <v>1055</v>
      </c>
      <c r="E454" s="20" t="e">
        <f t="array" ref="E454">INDEX(C:C,SMALL(IF(ISNUMBER(FIND(CELL("contents"),$C$2:$C$4852)),ROW($C$2:$C$4852),4^8),ROW(C454)))&amp;""</f>
        <v>#N/A</v>
      </c>
    </row>
    <row r="455" ht="14.100000000000001" customHeight="1">
      <c r="B455" s="20" t="s">
        <v>1057</v>
      </c>
      <c r="C455" s="20" t="s">
        <v>1058</v>
      </c>
      <c r="D455" s="20" t="s">
        <v>1057</v>
      </c>
      <c r="E455" s="20" t="e">
        <f t="array" ref="E455">INDEX(C:C,SMALL(IF(ISNUMBER(FIND(CELL("contents"),$C$2:$C$4852)),ROW($C$2:$C$4852),4^8),ROW(C455)))&amp;""</f>
        <v>#N/A</v>
      </c>
    </row>
    <row r="456" ht="14.100000000000001" customHeight="1">
      <c r="B456" s="20" t="s">
        <v>1059</v>
      </c>
      <c r="C456" s="20" t="s">
        <v>1060</v>
      </c>
      <c r="D456" s="20" t="s">
        <v>1059</v>
      </c>
      <c r="E456" s="20" t="e">
        <f t="array" ref="E456">INDEX(C:C,SMALL(IF(ISNUMBER(FIND(CELL("contents"),$C$2:$C$4852)),ROW($C$2:$C$4852),4^8),ROW(C456)))&amp;""</f>
        <v>#N/A</v>
      </c>
    </row>
    <row r="457" ht="14.100000000000001" customHeight="1">
      <c r="B457" s="20" t="s">
        <v>1061</v>
      </c>
      <c r="C457" s="20" t="s">
        <v>1062</v>
      </c>
      <c r="D457" s="20" t="s">
        <v>1061</v>
      </c>
      <c r="E457" s="20" t="e">
        <f t="array" ref="E457">INDEX(C:C,SMALL(IF(ISNUMBER(FIND(CELL("contents"),$C$2:$C$4852)),ROW($C$2:$C$4852),4^8),ROW(C457)))&amp;""</f>
        <v>#N/A</v>
      </c>
    </row>
    <row r="458" ht="14.100000000000001" customHeight="1">
      <c r="B458" s="20" t="s">
        <v>1063</v>
      </c>
      <c r="C458" s="20" t="s">
        <v>1064</v>
      </c>
      <c r="D458" s="20" t="s">
        <v>1063</v>
      </c>
      <c r="E458" s="20" t="e">
        <f t="array" ref="E458">INDEX(C:C,SMALL(IF(ISNUMBER(FIND(CELL("contents"),$C$2:$C$4852)),ROW($C$2:$C$4852),4^8),ROW(C458)))&amp;""</f>
        <v>#N/A</v>
      </c>
    </row>
    <row r="459" ht="14.100000000000001" customHeight="1">
      <c r="B459" s="20" t="s">
        <v>1065</v>
      </c>
      <c r="C459" s="20" t="s">
        <v>1066</v>
      </c>
      <c r="D459" s="20" t="s">
        <v>1065</v>
      </c>
      <c r="E459" s="20" t="e">
        <f t="array" ref="E459">INDEX(C:C,SMALL(IF(ISNUMBER(FIND(CELL("contents"),$C$2:$C$4852)),ROW($C$2:$C$4852),4^8),ROW(C459)))&amp;""</f>
        <v>#N/A</v>
      </c>
    </row>
    <row r="460" ht="14.100000000000001" customHeight="1">
      <c r="B460" s="20" t="s">
        <v>1067</v>
      </c>
      <c r="C460" s="20" t="s">
        <v>1068</v>
      </c>
      <c r="D460" s="20" t="s">
        <v>1067</v>
      </c>
      <c r="E460" s="20" t="e">
        <f t="array" ref="E460">INDEX(C:C,SMALL(IF(ISNUMBER(FIND(CELL("contents"),$C$2:$C$4852)),ROW($C$2:$C$4852),4^8),ROW(C460)))&amp;""</f>
        <v>#N/A</v>
      </c>
    </row>
    <row r="461" ht="14.100000000000001" customHeight="1">
      <c r="B461" s="20" t="s">
        <v>1069</v>
      </c>
      <c r="C461" s="20" t="s">
        <v>1070</v>
      </c>
      <c r="D461" s="20" t="s">
        <v>1069</v>
      </c>
      <c r="E461" s="20" t="e">
        <f t="array" ref="E461">INDEX(C:C,SMALL(IF(ISNUMBER(FIND(CELL("contents"),$C$2:$C$4852)),ROW($C$2:$C$4852),4^8),ROW(C461)))&amp;""</f>
        <v>#N/A</v>
      </c>
    </row>
    <row r="462" ht="14.100000000000001" customHeight="1">
      <c r="B462" s="20" t="s">
        <v>1071</v>
      </c>
      <c r="C462" s="20" t="s">
        <v>1072</v>
      </c>
      <c r="D462" s="20" t="s">
        <v>1071</v>
      </c>
      <c r="E462" s="20" t="e">
        <f t="array" ref="E462">INDEX(C:C,SMALL(IF(ISNUMBER(FIND(CELL("contents"),$C$2:$C$4852)),ROW($C$2:$C$4852),4^8),ROW(C462)))&amp;""</f>
        <v>#N/A</v>
      </c>
    </row>
    <row r="463" ht="14.100000000000001" customHeight="1">
      <c r="B463" s="20" t="s">
        <v>1073</v>
      </c>
      <c r="C463" s="20" t="s">
        <v>1074</v>
      </c>
      <c r="D463" s="20" t="s">
        <v>1073</v>
      </c>
      <c r="E463" s="20" t="e">
        <f t="array" ref="E463">INDEX(C:C,SMALL(IF(ISNUMBER(FIND(CELL("contents"),$C$2:$C$4852)),ROW($C$2:$C$4852),4^8),ROW(C463)))&amp;""</f>
        <v>#N/A</v>
      </c>
    </row>
    <row r="464" ht="14.100000000000001" customHeight="1">
      <c r="B464" s="20" t="s">
        <v>1075</v>
      </c>
      <c r="C464" s="20" t="s">
        <v>1076</v>
      </c>
      <c r="D464" s="20" t="s">
        <v>1075</v>
      </c>
      <c r="E464" s="20" t="e">
        <f t="array" ref="E464">INDEX(C:C,SMALL(IF(ISNUMBER(FIND(CELL("contents"),$C$2:$C$4852)),ROW($C$2:$C$4852),4^8),ROW(C464)))&amp;""</f>
        <v>#N/A</v>
      </c>
    </row>
    <row r="465" ht="14.100000000000001" customHeight="1">
      <c r="B465" s="20" t="s">
        <v>1077</v>
      </c>
      <c r="C465" s="20" t="s">
        <v>1078</v>
      </c>
      <c r="D465" s="20" t="s">
        <v>1077</v>
      </c>
      <c r="E465" s="20" t="e">
        <f t="array" ref="E465">INDEX(C:C,SMALL(IF(ISNUMBER(FIND(CELL("contents"),$C$2:$C$4852)),ROW($C$2:$C$4852),4^8),ROW(C465)))&amp;""</f>
        <v>#N/A</v>
      </c>
    </row>
    <row r="466" ht="14.100000000000001" customHeight="1">
      <c r="B466" s="20" t="s">
        <v>1079</v>
      </c>
      <c r="C466" s="20" t="s">
        <v>1080</v>
      </c>
      <c r="D466" s="20" t="s">
        <v>1079</v>
      </c>
      <c r="E466" s="20" t="e">
        <f t="array" ref="E466">INDEX(C:C,SMALL(IF(ISNUMBER(FIND(CELL("contents"),$C$2:$C$4852)),ROW($C$2:$C$4852),4^8),ROW(C466)))&amp;""</f>
        <v>#N/A</v>
      </c>
    </row>
    <row r="467" ht="14.100000000000001" customHeight="1">
      <c r="B467" s="20" t="s">
        <v>1081</v>
      </c>
      <c r="C467" s="20" t="s">
        <v>1082</v>
      </c>
      <c r="D467" s="20" t="s">
        <v>1081</v>
      </c>
      <c r="E467" s="20" t="e">
        <f t="array" ref="E467">INDEX(C:C,SMALL(IF(ISNUMBER(FIND(CELL("contents"),$C$2:$C$4852)),ROW($C$2:$C$4852),4^8),ROW(C467)))&amp;""</f>
        <v>#N/A</v>
      </c>
    </row>
    <row r="468" ht="14.100000000000001" customHeight="1">
      <c r="B468" s="20" t="s">
        <v>1083</v>
      </c>
      <c r="C468" s="20" t="s">
        <v>1084</v>
      </c>
      <c r="D468" s="20" t="s">
        <v>1083</v>
      </c>
      <c r="E468" s="20" t="e">
        <f t="array" ref="E468">INDEX(C:C,SMALL(IF(ISNUMBER(FIND(CELL("contents"),$C$2:$C$4852)),ROW($C$2:$C$4852),4^8),ROW(C468)))&amp;""</f>
        <v>#N/A</v>
      </c>
    </row>
    <row r="469" ht="14.100000000000001" customHeight="1">
      <c r="B469" s="20" t="s">
        <v>1085</v>
      </c>
      <c r="C469" s="20" t="s">
        <v>1086</v>
      </c>
      <c r="D469" s="20" t="s">
        <v>1085</v>
      </c>
      <c r="E469" s="20" t="e">
        <f t="array" ref="E469">INDEX(C:C,SMALL(IF(ISNUMBER(FIND(CELL("contents"),$C$2:$C$4852)),ROW($C$2:$C$4852),4^8),ROW(C469)))&amp;""</f>
        <v>#N/A</v>
      </c>
    </row>
    <row r="470" ht="14.100000000000001" customHeight="1">
      <c r="B470" s="20" t="s">
        <v>1087</v>
      </c>
      <c r="C470" s="20" t="s">
        <v>1088</v>
      </c>
      <c r="D470" s="20" t="s">
        <v>1087</v>
      </c>
      <c r="E470" s="20" t="e">
        <f t="array" ref="E470">INDEX(C:C,SMALL(IF(ISNUMBER(FIND(CELL("contents"),$C$2:$C$4852)),ROW($C$2:$C$4852),4^8),ROW(C470)))&amp;""</f>
        <v>#N/A</v>
      </c>
    </row>
    <row r="471" ht="14.100000000000001" customHeight="1">
      <c r="B471" s="20" t="s">
        <v>1089</v>
      </c>
      <c r="C471" s="20" t="s">
        <v>1090</v>
      </c>
      <c r="D471" s="20" t="s">
        <v>1089</v>
      </c>
      <c r="E471" s="20" t="e">
        <f t="array" ref="E471">INDEX(C:C,SMALL(IF(ISNUMBER(FIND(CELL("contents"),$C$2:$C$4852)),ROW($C$2:$C$4852),4^8),ROW(C471)))&amp;""</f>
        <v>#N/A</v>
      </c>
    </row>
    <row r="472" ht="14.100000000000001" customHeight="1">
      <c r="B472" s="20" t="s">
        <v>1091</v>
      </c>
      <c r="C472" s="20" t="s">
        <v>1092</v>
      </c>
      <c r="D472" s="20" t="s">
        <v>1091</v>
      </c>
      <c r="E472" s="20" t="e">
        <f t="array" ref="E472">INDEX(C:C,SMALL(IF(ISNUMBER(FIND(CELL("contents"),$C$2:$C$4852)),ROW($C$2:$C$4852),4^8),ROW(C472)))&amp;""</f>
        <v>#N/A</v>
      </c>
    </row>
    <row r="473" ht="14.100000000000001" customHeight="1">
      <c r="B473" s="20" t="s">
        <v>1093</v>
      </c>
      <c r="C473" s="20" t="s">
        <v>1094</v>
      </c>
      <c r="D473" s="20" t="s">
        <v>1093</v>
      </c>
      <c r="E473" s="20" t="e">
        <f t="array" ref="E473">INDEX(C:C,SMALL(IF(ISNUMBER(FIND(CELL("contents"),$C$2:$C$4852)),ROW($C$2:$C$4852),4^8),ROW(C473)))&amp;""</f>
        <v>#N/A</v>
      </c>
    </row>
    <row r="474" ht="14.100000000000001" customHeight="1">
      <c r="B474" s="20" t="s">
        <v>1095</v>
      </c>
      <c r="C474" s="20" t="s">
        <v>1096</v>
      </c>
      <c r="D474" s="20" t="s">
        <v>1095</v>
      </c>
      <c r="E474" s="20" t="e">
        <f t="array" ref="E474">INDEX(C:C,SMALL(IF(ISNUMBER(FIND(CELL("contents"),$C$2:$C$4852)),ROW($C$2:$C$4852),4^8),ROW(C474)))&amp;""</f>
        <v>#N/A</v>
      </c>
    </row>
    <row r="475" ht="14.100000000000001" customHeight="1">
      <c r="B475" s="20" t="s">
        <v>1097</v>
      </c>
      <c r="C475" s="20" t="s">
        <v>1098</v>
      </c>
      <c r="D475" s="20" t="s">
        <v>1097</v>
      </c>
      <c r="E475" s="20" t="e">
        <f t="array" ref="E475">INDEX(C:C,SMALL(IF(ISNUMBER(FIND(CELL("contents"),$C$2:$C$4852)),ROW($C$2:$C$4852),4^8),ROW(C475)))&amp;""</f>
        <v>#N/A</v>
      </c>
    </row>
    <row r="476" ht="14.100000000000001" customHeight="1">
      <c r="B476" s="20" t="s">
        <v>1099</v>
      </c>
      <c r="C476" s="20" t="s">
        <v>1100</v>
      </c>
      <c r="D476" s="20" t="s">
        <v>1099</v>
      </c>
      <c r="E476" s="20" t="e">
        <f t="array" ref="E476">INDEX(C:C,SMALL(IF(ISNUMBER(FIND(CELL("contents"),$C$2:$C$4852)),ROW($C$2:$C$4852),4^8),ROW(C476)))&amp;""</f>
        <v>#N/A</v>
      </c>
    </row>
    <row r="477" ht="14.100000000000001" customHeight="1">
      <c r="B477" s="20" t="s">
        <v>1101</v>
      </c>
      <c r="C477" s="20" t="s">
        <v>1102</v>
      </c>
      <c r="D477" s="20" t="s">
        <v>1101</v>
      </c>
      <c r="E477" s="20" t="e">
        <f t="array" ref="E477">INDEX(C:C,SMALL(IF(ISNUMBER(FIND(CELL("contents"),$C$2:$C$4852)),ROW($C$2:$C$4852),4^8),ROW(C477)))&amp;""</f>
        <v>#N/A</v>
      </c>
    </row>
    <row r="478" ht="14.100000000000001" customHeight="1">
      <c r="B478" s="20" t="s">
        <v>1103</v>
      </c>
      <c r="C478" s="20" t="s">
        <v>1104</v>
      </c>
      <c r="D478" s="20" t="s">
        <v>1103</v>
      </c>
      <c r="E478" s="20" t="e">
        <f t="array" ref="E478">INDEX(C:C,SMALL(IF(ISNUMBER(FIND(CELL("contents"),$C$2:$C$4852)),ROW($C$2:$C$4852),4^8),ROW(C478)))&amp;""</f>
        <v>#N/A</v>
      </c>
    </row>
    <row r="479" ht="14.100000000000001" customHeight="1">
      <c r="B479" s="20" t="s">
        <v>1105</v>
      </c>
      <c r="C479" s="20" t="s">
        <v>1106</v>
      </c>
      <c r="D479" s="20" t="s">
        <v>1105</v>
      </c>
      <c r="E479" s="20" t="e">
        <f t="array" ref="E479">INDEX(C:C,SMALL(IF(ISNUMBER(FIND(CELL("contents"),$C$2:$C$4852)),ROW($C$2:$C$4852),4^8),ROW(C479)))&amp;""</f>
        <v>#N/A</v>
      </c>
    </row>
    <row r="480" ht="14.100000000000001" customHeight="1">
      <c r="B480" s="20" t="s">
        <v>1107</v>
      </c>
      <c r="C480" s="20" t="s">
        <v>1108</v>
      </c>
      <c r="D480" s="20" t="s">
        <v>1107</v>
      </c>
      <c r="E480" s="20" t="e">
        <f t="array" ref="E480">INDEX(C:C,SMALL(IF(ISNUMBER(FIND(CELL("contents"),$C$2:$C$4852)),ROW($C$2:$C$4852),4^8),ROW(C480)))&amp;""</f>
        <v>#N/A</v>
      </c>
    </row>
    <row r="481" ht="14.100000000000001" customHeight="1">
      <c r="B481" s="20" t="s">
        <v>1109</v>
      </c>
      <c r="C481" s="20" t="s">
        <v>1110</v>
      </c>
      <c r="D481" s="20" t="s">
        <v>1109</v>
      </c>
      <c r="E481" s="20" t="e">
        <f t="array" ref="E481">INDEX(C:C,SMALL(IF(ISNUMBER(FIND(CELL("contents"),$C$2:$C$4852)),ROW($C$2:$C$4852),4^8),ROW(C481)))&amp;""</f>
        <v>#N/A</v>
      </c>
    </row>
    <row r="482" ht="14.100000000000001" customHeight="1">
      <c r="B482" s="20" t="s">
        <v>1111</v>
      </c>
      <c r="C482" s="20" t="s">
        <v>1112</v>
      </c>
      <c r="D482" s="20" t="s">
        <v>1111</v>
      </c>
      <c r="E482" s="20" t="e">
        <f t="array" ref="E482">INDEX(C:C,SMALL(IF(ISNUMBER(FIND(CELL("contents"),$C$2:$C$4852)),ROW($C$2:$C$4852),4^8),ROW(C482)))&amp;""</f>
        <v>#N/A</v>
      </c>
    </row>
    <row r="483" ht="14.100000000000001" customHeight="1">
      <c r="B483" s="20" t="s">
        <v>1113</v>
      </c>
      <c r="C483" s="20" t="s">
        <v>1114</v>
      </c>
      <c r="D483" s="20" t="s">
        <v>1113</v>
      </c>
      <c r="E483" s="20" t="e">
        <f t="array" ref="E483">INDEX(C:C,SMALL(IF(ISNUMBER(FIND(CELL("contents"),$C$2:$C$4852)),ROW($C$2:$C$4852),4^8),ROW(C483)))&amp;""</f>
        <v>#N/A</v>
      </c>
    </row>
    <row r="484" ht="14.100000000000001" customHeight="1">
      <c r="B484" s="20" t="s">
        <v>1115</v>
      </c>
      <c r="C484" s="20" t="s">
        <v>1116</v>
      </c>
      <c r="D484" s="20" t="s">
        <v>1115</v>
      </c>
      <c r="E484" s="20" t="e">
        <f t="array" ref="E484">INDEX(C:C,SMALL(IF(ISNUMBER(FIND(CELL("contents"),$C$2:$C$4852)),ROW($C$2:$C$4852),4^8),ROW(C484)))&amp;""</f>
        <v>#N/A</v>
      </c>
    </row>
    <row r="485" ht="14.100000000000001" customHeight="1">
      <c r="B485" s="20" t="s">
        <v>1117</v>
      </c>
      <c r="C485" s="20" t="s">
        <v>1118</v>
      </c>
      <c r="D485" s="20" t="s">
        <v>1117</v>
      </c>
      <c r="E485" s="20" t="e">
        <f t="array" ref="E485">INDEX(C:C,SMALL(IF(ISNUMBER(FIND(CELL("contents"),$C$2:$C$4852)),ROW($C$2:$C$4852),4^8),ROW(C485)))&amp;""</f>
        <v>#N/A</v>
      </c>
    </row>
    <row r="486" ht="14.100000000000001" customHeight="1">
      <c r="B486" s="20" t="s">
        <v>1119</v>
      </c>
      <c r="C486" s="20" t="s">
        <v>1120</v>
      </c>
      <c r="D486" s="20" t="s">
        <v>1119</v>
      </c>
      <c r="E486" s="20" t="e">
        <f t="array" ref="E486">INDEX(C:C,SMALL(IF(ISNUMBER(FIND(CELL("contents"),$C$2:$C$4852)),ROW($C$2:$C$4852),4^8),ROW(C486)))&amp;""</f>
        <v>#N/A</v>
      </c>
    </row>
    <row r="487" ht="14.100000000000001" customHeight="1">
      <c r="B487" s="20" t="s">
        <v>1121</v>
      </c>
      <c r="C487" s="20" t="s">
        <v>1122</v>
      </c>
      <c r="D487" s="20" t="s">
        <v>1121</v>
      </c>
      <c r="E487" s="20" t="e">
        <f t="array" ref="E487">INDEX(C:C,SMALL(IF(ISNUMBER(FIND(CELL("contents"),$C$2:$C$4852)),ROW($C$2:$C$4852),4^8),ROW(C487)))&amp;""</f>
        <v>#N/A</v>
      </c>
    </row>
    <row r="488" ht="14.100000000000001" customHeight="1">
      <c r="B488" s="20" t="s">
        <v>1123</v>
      </c>
      <c r="C488" s="20" t="s">
        <v>1124</v>
      </c>
      <c r="D488" s="20" t="s">
        <v>1123</v>
      </c>
      <c r="E488" s="20" t="e">
        <f t="array" ref="E488">INDEX(C:C,SMALL(IF(ISNUMBER(FIND(CELL("contents"),$C$2:$C$4852)),ROW($C$2:$C$4852),4^8),ROW(C488)))&amp;""</f>
        <v>#N/A</v>
      </c>
    </row>
    <row r="489" ht="14.100000000000001" customHeight="1">
      <c r="B489" s="20" t="s">
        <v>1125</v>
      </c>
      <c r="C489" s="20" t="s">
        <v>1126</v>
      </c>
      <c r="D489" s="20" t="s">
        <v>1125</v>
      </c>
      <c r="E489" s="20" t="e">
        <f t="array" ref="E489">INDEX(C:C,SMALL(IF(ISNUMBER(FIND(CELL("contents"),$C$2:$C$4852)),ROW($C$2:$C$4852),4^8),ROW(C489)))&amp;""</f>
        <v>#N/A</v>
      </c>
    </row>
    <row r="490" ht="14.100000000000001" customHeight="1">
      <c r="B490" s="20" t="s">
        <v>1127</v>
      </c>
      <c r="C490" s="20" t="s">
        <v>1128</v>
      </c>
      <c r="D490" s="20" t="s">
        <v>1127</v>
      </c>
      <c r="E490" s="20" t="e">
        <f t="array" ref="E490">INDEX(C:C,SMALL(IF(ISNUMBER(FIND(CELL("contents"),$C$2:$C$4852)),ROW($C$2:$C$4852),4^8),ROW(C490)))&amp;""</f>
        <v>#N/A</v>
      </c>
    </row>
    <row r="491" ht="14.100000000000001" customHeight="1">
      <c r="B491" s="20" t="s">
        <v>1129</v>
      </c>
      <c r="C491" s="20" t="s">
        <v>1130</v>
      </c>
      <c r="D491" s="20" t="s">
        <v>1129</v>
      </c>
      <c r="E491" s="20" t="e">
        <f t="array" ref="E491">INDEX(C:C,SMALL(IF(ISNUMBER(FIND(CELL("contents"),$C$2:$C$4852)),ROW($C$2:$C$4852),4^8),ROW(C491)))&amp;""</f>
        <v>#N/A</v>
      </c>
    </row>
    <row r="492" ht="14.100000000000001" customHeight="1">
      <c r="B492" s="20" t="s">
        <v>1131</v>
      </c>
      <c r="C492" s="20" t="s">
        <v>1132</v>
      </c>
      <c r="D492" s="20" t="s">
        <v>1131</v>
      </c>
      <c r="E492" s="20" t="e">
        <f t="array" ref="E492">INDEX(C:C,SMALL(IF(ISNUMBER(FIND(CELL("contents"),$C$2:$C$4852)),ROW($C$2:$C$4852),4^8),ROW(C492)))&amp;""</f>
        <v>#N/A</v>
      </c>
    </row>
    <row r="493" ht="14.100000000000001" customHeight="1">
      <c r="B493" s="20" t="s">
        <v>1133</v>
      </c>
      <c r="C493" s="20" t="s">
        <v>1134</v>
      </c>
      <c r="D493" s="20" t="s">
        <v>1133</v>
      </c>
      <c r="E493" s="20" t="e">
        <f t="array" ref="E493">INDEX(C:C,SMALL(IF(ISNUMBER(FIND(CELL("contents"),$C$2:$C$4852)),ROW($C$2:$C$4852),4^8),ROW(C493)))&amp;""</f>
        <v>#N/A</v>
      </c>
    </row>
    <row r="494" ht="14.100000000000001" customHeight="1">
      <c r="B494" s="20" t="s">
        <v>1135</v>
      </c>
      <c r="C494" s="20" t="s">
        <v>1136</v>
      </c>
      <c r="D494" s="20" t="s">
        <v>1135</v>
      </c>
      <c r="E494" s="20" t="e">
        <f t="array" ref="E494">INDEX(C:C,SMALL(IF(ISNUMBER(FIND(CELL("contents"),$C$2:$C$4852)),ROW($C$2:$C$4852),4^8),ROW(C494)))&amp;""</f>
        <v>#N/A</v>
      </c>
    </row>
    <row r="495" ht="14.100000000000001" customHeight="1">
      <c r="B495" s="20" t="s">
        <v>1137</v>
      </c>
      <c r="C495" s="20" t="s">
        <v>1138</v>
      </c>
      <c r="D495" s="20" t="s">
        <v>1137</v>
      </c>
      <c r="E495" s="20" t="e">
        <f t="array" ref="E495">INDEX(C:C,SMALL(IF(ISNUMBER(FIND(CELL("contents"),$C$2:$C$4852)),ROW($C$2:$C$4852),4^8),ROW(C495)))&amp;""</f>
        <v>#N/A</v>
      </c>
    </row>
    <row r="496" ht="14.100000000000001" customHeight="1">
      <c r="B496" s="20" t="s">
        <v>1139</v>
      </c>
      <c r="C496" s="20" t="s">
        <v>1140</v>
      </c>
      <c r="D496" s="20" t="s">
        <v>1139</v>
      </c>
      <c r="E496" s="20" t="e">
        <f t="array" ref="E496">INDEX(C:C,SMALL(IF(ISNUMBER(FIND(CELL("contents"),$C$2:$C$4852)),ROW($C$2:$C$4852),4^8),ROW(C496)))&amp;""</f>
        <v>#N/A</v>
      </c>
    </row>
    <row r="497" ht="14.100000000000001" customHeight="1">
      <c r="B497" s="20" t="s">
        <v>1141</v>
      </c>
      <c r="C497" s="20" t="s">
        <v>1142</v>
      </c>
      <c r="D497" s="20" t="s">
        <v>1141</v>
      </c>
      <c r="E497" s="20" t="e">
        <f t="array" ref="E497">INDEX(C:C,SMALL(IF(ISNUMBER(FIND(CELL("contents"),$C$2:$C$4852)),ROW($C$2:$C$4852),4^8),ROW(C497)))&amp;""</f>
        <v>#N/A</v>
      </c>
    </row>
    <row r="498" ht="14.100000000000001" customHeight="1">
      <c r="B498" s="20" t="s">
        <v>1143</v>
      </c>
      <c r="C498" s="20" t="s">
        <v>1144</v>
      </c>
      <c r="D498" s="20" t="s">
        <v>1143</v>
      </c>
      <c r="E498" s="20" t="e">
        <f t="array" ref="E498">INDEX(C:C,SMALL(IF(ISNUMBER(FIND(CELL("contents"),$C$2:$C$4852)),ROW($C$2:$C$4852),4^8),ROW(C498)))&amp;""</f>
        <v>#N/A</v>
      </c>
    </row>
    <row r="499" ht="14.100000000000001" customHeight="1">
      <c r="B499" s="20" t="s">
        <v>1145</v>
      </c>
      <c r="C499" s="20" t="s">
        <v>1146</v>
      </c>
      <c r="D499" s="20" t="s">
        <v>1145</v>
      </c>
      <c r="E499" s="20" t="e">
        <f t="array" ref="E499">INDEX(C:C,SMALL(IF(ISNUMBER(FIND(CELL("contents"),$C$2:$C$4852)),ROW($C$2:$C$4852),4^8),ROW(C499)))&amp;""</f>
        <v>#N/A</v>
      </c>
    </row>
    <row r="500" ht="14.100000000000001" customHeight="1">
      <c r="B500" s="20" t="s">
        <v>1147</v>
      </c>
      <c r="C500" s="20" t="s">
        <v>1148</v>
      </c>
      <c r="D500" s="20" t="s">
        <v>1147</v>
      </c>
      <c r="E500" s="20" t="e">
        <f t="array" ref="E500">INDEX(C:C,SMALL(IF(ISNUMBER(FIND(CELL("contents"),$C$2:$C$4852)),ROW($C$2:$C$4852),4^8),ROW(C500)))&amp;""</f>
        <v>#N/A</v>
      </c>
    </row>
    <row r="501" ht="14.100000000000001" customHeight="1">
      <c r="B501" s="20" t="s">
        <v>1149</v>
      </c>
      <c r="C501" s="20" t="s">
        <v>1150</v>
      </c>
      <c r="D501" s="20" t="s">
        <v>1149</v>
      </c>
      <c r="E501" s="20" t="e">
        <f t="array" ref="E501">INDEX(C:C,SMALL(IF(ISNUMBER(FIND(CELL("contents"),$C$2:$C$4852)),ROW($C$2:$C$4852),4^8),ROW(C501)))&amp;""</f>
        <v>#N/A</v>
      </c>
    </row>
    <row r="502" ht="14.100000000000001" customHeight="1">
      <c r="B502" s="20" t="s">
        <v>1151</v>
      </c>
      <c r="C502" s="20" t="s">
        <v>1152</v>
      </c>
      <c r="D502" s="20" t="s">
        <v>1151</v>
      </c>
      <c r="E502" s="20" t="e">
        <f t="array" ref="E502">INDEX(C:C,SMALL(IF(ISNUMBER(FIND(CELL("contents"),$C$2:$C$4852)),ROW($C$2:$C$4852),4^8),ROW(C502)))&amp;""</f>
        <v>#N/A</v>
      </c>
    </row>
    <row r="503" ht="14.100000000000001" customHeight="1">
      <c r="B503" s="20" t="s">
        <v>1153</v>
      </c>
      <c r="C503" s="20" t="s">
        <v>1154</v>
      </c>
      <c r="D503" s="20" t="s">
        <v>1153</v>
      </c>
      <c r="E503" s="20" t="e">
        <f t="array" ref="E503">INDEX(C:C,SMALL(IF(ISNUMBER(FIND(CELL("contents"),$C$2:$C$4852)),ROW($C$2:$C$4852),4^8),ROW(C503)))&amp;""</f>
        <v>#N/A</v>
      </c>
    </row>
    <row r="504" ht="14.100000000000001" customHeight="1">
      <c r="B504" s="20" t="s">
        <v>1155</v>
      </c>
      <c r="C504" s="20" t="s">
        <v>1156</v>
      </c>
      <c r="D504" s="20" t="s">
        <v>1155</v>
      </c>
      <c r="E504" s="20" t="e">
        <f t="array" ref="E504">INDEX(C:C,SMALL(IF(ISNUMBER(FIND(CELL("contents"),$C$2:$C$4852)),ROW($C$2:$C$4852),4^8),ROW(C504)))&amp;""</f>
        <v>#N/A</v>
      </c>
    </row>
    <row r="505" ht="14.100000000000001" customHeight="1">
      <c r="B505" s="20" t="s">
        <v>1157</v>
      </c>
      <c r="C505" s="20" t="s">
        <v>1158</v>
      </c>
      <c r="D505" s="20" t="s">
        <v>1157</v>
      </c>
      <c r="E505" s="20" t="e">
        <f t="array" ref="E505">INDEX(C:C,SMALL(IF(ISNUMBER(FIND(CELL("contents"),$C$2:$C$4852)),ROW($C$2:$C$4852),4^8),ROW(C505)))&amp;""</f>
        <v>#N/A</v>
      </c>
    </row>
    <row r="506" ht="14.100000000000001" customHeight="1">
      <c r="B506" s="20" t="s">
        <v>1159</v>
      </c>
      <c r="C506" s="20" t="s">
        <v>1160</v>
      </c>
      <c r="D506" s="20" t="s">
        <v>1159</v>
      </c>
      <c r="E506" s="20" t="e">
        <f t="array" ref="E506">INDEX(C:C,SMALL(IF(ISNUMBER(FIND(CELL("contents"),$C$2:$C$4852)),ROW($C$2:$C$4852),4^8),ROW(C506)))&amp;""</f>
        <v>#N/A</v>
      </c>
    </row>
    <row r="507" ht="14.100000000000001" customHeight="1">
      <c r="B507" s="20" t="s">
        <v>1161</v>
      </c>
      <c r="C507" s="20" t="s">
        <v>1162</v>
      </c>
      <c r="D507" s="20" t="s">
        <v>1161</v>
      </c>
      <c r="E507" s="20" t="e">
        <f t="array" ref="E507">INDEX(C:C,SMALL(IF(ISNUMBER(FIND(CELL("contents"),$C$2:$C$4852)),ROW($C$2:$C$4852),4^8),ROW(C507)))&amp;""</f>
        <v>#N/A</v>
      </c>
    </row>
    <row r="508" ht="14.100000000000001" customHeight="1">
      <c r="B508" s="20" t="s">
        <v>1163</v>
      </c>
      <c r="C508" s="20" t="s">
        <v>1164</v>
      </c>
      <c r="D508" s="20" t="s">
        <v>1163</v>
      </c>
      <c r="E508" s="20" t="e">
        <f t="array" ref="E508">INDEX(C:C,SMALL(IF(ISNUMBER(FIND(CELL("contents"),$C$2:$C$4852)),ROW($C$2:$C$4852),4^8),ROW(C508)))&amp;""</f>
        <v>#N/A</v>
      </c>
    </row>
    <row r="509" ht="14.100000000000001" customHeight="1">
      <c r="B509" s="20" t="s">
        <v>1165</v>
      </c>
      <c r="C509" s="20" t="s">
        <v>1166</v>
      </c>
      <c r="D509" s="20" t="s">
        <v>1165</v>
      </c>
      <c r="E509" s="20" t="e">
        <f t="array" ref="E509">INDEX(C:C,SMALL(IF(ISNUMBER(FIND(CELL("contents"),$C$2:$C$4852)),ROW($C$2:$C$4852),4^8),ROW(C509)))&amp;""</f>
        <v>#N/A</v>
      </c>
    </row>
    <row r="510" ht="14.100000000000001" customHeight="1">
      <c r="B510" s="20" t="s">
        <v>1167</v>
      </c>
      <c r="C510" s="20" t="s">
        <v>1168</v>
      </c>
      <c r="D510" s="20" t="s">
        <v>1167</v>
      </c>
      <c r="E510" s="20" t="e">
        <f t="array" ref="E510">INDEX(C:C,SMALL(IF(ISNUMBER(FIND(CELL("contents"),$C$2:$C$4852)),ROW($C$2:$C$4852),4^8),ROW(C510)))&amp;""</f>
        <v>#N/A</v>
      </c>
    </row>
    <row r="511" ht="14.100000000000001" customHeight="1">
      <c r="B511" s="20" t="s">
        <v>1169</v>
      </c>
      <c r="C511" s="20" t="s">
        <v>1170</v>
      </c>
      <c r="D511" s="20" t="s">
        <v>1169</v>
      </c>
      <c r="E511" s="20" t="e">
        <f t="array" ref="E511">INDEX(C:C,SMALL(IF(ISNUMBER(FIND(CELL("contents"),$C$2:$C$4852)),ROW($C$2:$C$4852),4^8),ROW(C511)))&amp;""</f>
        <v>#N/A</v>
      </c>
    </row>
    <row r="512" ht="14.100000000000001" customHeight="1">
      <c r="B512" s="20" t="s">
        <v>1171</v>
      </c>
      <c r="C512" s="20" t="s">
        <v>1172</v>
      </c>
      <c r="D512" s="20" t="s">
        <v>1171</v>
      </c>
      <c r="E512" s="20" t="e">
        <f t="array" ref="E512">INDEX(C:C,SMALL(IF(ISNUMBER(FIND(CELL("contents"),$C$2:$C$4852)),ROW($C$2:$C$4852),4^8),ROW(C512)))&amp;""</f>
        <v>#N/A</v>
      </c>
    </row>
    <row r="513" ht="14.100000000000001" customHeight="1">
      <c r="B513" s="20" t="s">
        <v>1173</v>
      </c>
      <c r="C513" s="20" t="s">
        <v>1174</v>
      </c>
      <c r="D513" s="20" t="s">
        <v>1173</v>
      </c>
      <c r="E513" s="20" t="e">
        <f t="array" ref="E513">INDEX(C:C,SMALL(IF(ISNUMBER(FIND(CELL("contents"),$C$2:$C$4852)),ROW($C$2:$C$4852),4^8),ROW(C513)))&amp;""</f>
        <v>#N/A</v>
      </c>
    </row>
    <row r="514" ht="14.100000000000001" customHeight="1">
      <c r="B514" s="20" t="s">
        <v>1175</v>
      </c>
      <c r="C514" s="20" t="s">
        <v>1176</v>
      </c>
      <c r="D514" s="20" t="s">
        <v>1175</v>
      </c>
      <c r="E514" s="20" t="e">
        <f t="array" ref="E514">INDEX(C:C,SMALL(IF(ISNUMBER(FIND(CELL("contents"),$C$2:$C$4852)),ROW($C$2:$C$4852),4^8),ROW(C514)))&amp;""</f>
        <v>#N/A</v>
      </c>
    </row>
    <row r="515" ht="14.100000000000001" customHeight="1">
      <c r="B515" s="20" t="s">
        <v>1177</v>
      </c>
      <c r="C515" s="20" t="s">
        <v>1178</v>
      </c>
      <c r="D515" s="20" t="s">
        <v>1177</v>
      </c>
      <c r="E515" s="20" t="e">
        <f t="array" ref="E515">INDEX(C:C,SMALL(IF(ISNUMBER(FIND(CELL("contents"),$C$2:$C$4852)),ROW($C$2:$C$4852),4^8),ROW(C515)))&amp;""</f>
        <v>#N/A</v>
      </c>
    </row>
    <row r="516" ht="14.100000000000001" customHeight="1">
      <c r="B516" s="20" t="s">
        <v>1179</v>
      </c>
      <c r="C516" s="20" t="s">
        <v>1180</v>
      </c>
      <c r="D516" s="20" t="s">
        <v>1179</v>
      </c>
      <c r="E516" s="20" t="e">
        <f t="array" ref="E516">INDEX(C:C,SMALL(IF(ISNUMBER(FIND(CELL("contents"),$C$2:$C$4852)),ROW($C$2:$C$4852),4^8),ROW(C516)))&amp;""</f>
        <v>#N/A</v>
      </c>
    </row>
    <row r="517" ht="14.100000000000001" customHeight="1">
      <c r="B517" s="20" t="s">
        <v>1181</v>
      </c>
      <c r="C517" s="20" t="s">
        <v>1182</v>
      </c>
      <c r="D517" s="20" t="s">
        <v>1181</v>
      </c>
      <c r="E517" s="20" t="e">
        <f t="array" ref="E517">INDEX(C:C,SMALL(IF(ISNUMBER(FIND(CELL("contents"),$C$2:$C$4852)),ROW($C$2:$C$4852),4^8),ROW(C517)))&amp;""</f>
        <v>#N/A</v>
      </c>
    </row>
    <row r="518" ht="14.100000000000001" customHeight="1">
      <c r="B518" s="20" t="s">
        <v>1183</v>
      </c>
      <c r="C518" s="20" t="s">
        <v>1184</v>
      </c>
      <c r="D518" s="20" t="s">
        <v>1183</v>
      </c>
      <c r="E518" s="20" t="e">
        <f t="array" ref="E518">INDEX(C:C,SMALL(IF(ISNUMBER(FIND(CELL("contents"),$C$2:$C$4852)),ROW($C$2:$C$4852),4^8),ROW(C518)))&amp;""</f>
        <v>#N/A</v>
      </c>
    </row>
    <row r="519" ht="14.100000000000001" customHeight="1">
      <c r="B519" s="20" t="s">
        <v>1185</v>
      </c>
      <c r="C519" s="20" t="s">
        <v>1186</v>
      </c>
      <c r="D519" s="20" t="s">
        <v>1185</v>
      </c>
      <c r="E519" s="20" t="e">
        <f t="array" ref="E519">INDEX(C:C,SMALL(IF(ISNUMBER(FIND(CELL("contents"),$C$2:$C$4852)),ROW($C$2:$C$4852),4^8),ROW(C519)))&amp;""</f>
        <v>#N/A</v>
      </c>
    </row>
    <row r="520" ht="14.100000000000001" customHeight="1">
      <c r="B520" s="20" t="s">
        <v>1187</v>
      </c>
      <c r="C520" s="20" t="s">
        <v>1188</v>
      </c>
      <c r="D520" s="20" t="s">
        <v>1187</v>
      </c>
      <c r="E520" s="20" t="e">
        <f t="array" ref="E520">INDEX(C:C,SMALL(IF(ISNUMBER(FIND(CELL("contents"),$C$2:$C$4852)),ROW($C$2:$C$4852),4^8),ROW(C520)))&amp;""</f>
        <v>#N/A</v>
      </c>
    </row>
    <row r="521" ht="14.100000000000001" customHeight="1">
      <c r="B521" s="20" t="s">
        <v>1189</v>
      </c>
      <c r="C521" s="20" t="s">
        <v>1190</v>
      </c>
      <c r="D521" s="20" t="s">
        <v>1189</v>
      </c>
      <c r="E521" s="20" t="e">
        <f t="array" ref="E521">INDEX(C:C,SMALL(IF(ISNUMBER(FIND(CELL("contents"),$C$2:$C$4852)),ROW($C$2:$C$4852),4^8),ROW(C521)))&amp;""</f>
        <v>#N/A</v>
      </c>
    </row>
    <row r="522" ht="14.100000000000001" customHeight="1">
      <c r="B522" s="20" t="s">
        <v>1191</v>
      </c>
      <c r="C522" s="20" t="s">
        <v>1192</v>
      </c>
      <c r="D522" s="20" t="s">
        <v>1191</v>
      </c>
      <c r="E522" s="20" t="e">
        <f t="array" ref="E522">INDEX(C:C,SMALL(IF(ISNUMBER(FIND(CELL("contents"),$C$2:$C$4852)),ROW($C$2:$C$4852),4^8),ROW(C522)))&amp;""</f>
        <v>#N/A</v>
      </c>
    </row>
    <row r="523" ht="14.100000000000001" customHeight="1">
      <c r="B523" s="20" t="s">
        <v>1193</v>
      </c>
      <c r="C523" s="20" t="s">
        <v>1194</v>
      </c>
      <c r="D523" s="20" t="s">
        <v>1193</v>
      </c>
      <c r="E523" s="20" t="e">
        <f t="array" ref="E523">INDEX(C:C,SMALL(IF(ISNUMBER(FIND(CELL("contents"),$C$2:$C$4852)),ROW($C$2:$C$4852),4^8),ROW(C523)))&amp;""</f>
        <v>#N/A</v>
      </c>
    </row>
    <row r="524" ht="14.100000000000001" customHeight="1">
      <c r="B524" s="20" t="s">
        <v>1195</v>
      </c>
      <c r="C524" s="20" t="s">
        <v>1196</v>
      </c>
      <c r="D524" s="20" t="s">
        <v>1195</v>
      </c>
      <c r="E524" s="20" t="e">
        <f t="array" ref="E524">INDEX(C:C,SMALL(IF(ISNUMBER(FIND(CELL("contents"),$C$2:$C$4852)),ROW($C$2:$C$4852),4^8),ROW(C524)))&amp;""</f>
        <v>#N/A</v>
      </c>
    </row>
    <row r="525" ht="14.100000000000001" customHeight="1">
      <c r="B525" s="20" t="s">
        <v>1197</v>
      </c>
      <c r="C525" s="20" t="s">
        <v>1198</v>
      </c>
      <c r="D525" s="20" t="s">
        <v>1197</v>
      </c>
      <c r="E525" s="20" t="e">
        <f t="array" ref="E525">INDEX(C:C,SMALL(IF(ISNUMBER(FIND(CELL("contents"),$C$2:$C$4852)),ROW($C$2:$C$4852),4^8),ROW(C525)))&amp;""</f>
        <v>#N/A</v>
      </c>
    </row>
    <row r="526" ht="14.100000000000001" customHeight="1">
      <c r="B526" s="20" t="s">
        <v>1199</v>
      </c>
      <c r="C526" s="20" t="s">
        <v>1200</v>
      </c>
      <c r="D526" s="20" t="s">
        <v>1199</v>
      </c>
      <c r="E526" s="20" t="e">
        <f t="array" ref="E526">INDEX(C:C,SMALL(IF(ISNUMBER(FIND(CELL("contents"),$C$2:$C$4852)),ROW($C$2:$C$4852),4^8),ROW(C526)))&amp;""</f>
        <v>#N/A</v>
      </c>
    </row>
    <row r="527" ht="14.100000000000001" customHeight="1">
      <c r="B527" s="20" t="s">
        <v>1201</v>
      </c>
      <c r="C527" s="20" t="s">
        <v>1202</v>
      </c>
      <c r="D527" s="20" t="s">
        <v>1201</v>
      </c>
      <c r="E527" s="20" t="e">
        <f t="array" ref="E527">INDEX(C:C,SMALL(IF(ISNUMBER(FIND(CELL("contents"),$C$2:$C$4852)),ROW($C$2:$C$4852),4^8),ROW(C527)))&amp;""</f>
        <v>#N/A</v>
      </c>
    </row>
    <row r="528" ht="14.100000000000001" customHeight="1">
      <c r="B528" s="20" t="s">
        <v>1203</v>
      </c>
      <c r="C528" s="20" t="s">
        <v>1204</v>
      </c>
      <c r="D528" s="20" t="s">
        <v>1203</v>
      </c>
      <c r="E528" s="20" t="e">
        <f t="array" ref="E528">INDEX(C:C,SMALL(IF(ISNUMBER(FIND(CELL("contents"),$C$2:$C$4852)),ROW($C$2:$C$4852),4^8),ROW(C528)))&amp;""</f>
        <v>#N/A</v>
      </c>
    </row>
    <row r="529" ht="14.100000000000001" customHeight="1">
      <c r="B529" s="20" t="s">
        <v>1205</v>
      </c>
      <c r="C529" s="20" t="s">
        <v>1206</v>
      </c>
      <c r="D529" s="20" t="s">
        <v>1205</v>
      </c>
      <c r="E529" s="20" t="e">
        <f t="array" ref="E529">INDEX(C:C,SMALL(IF(ISNUMBER(FIND(CELL("contents"),$C$2:$C$4852)),ROW($C$2:$C$4852),4^8),ROW(C529)))&amp;""</f>
        <v>#N/A</v>
      </c>
    </row>
    <row r="530" ht="14.100000000000001" customHeight="1">
      <c r="B530" s="20" t="s">
        <v>1207</v>
      </c>
      <c r="C530" s="20" t="s">
        <v>1208</v>
      </c>
      <c r="D530" s="20" t="s">
        <v>1207</v>
      </c>
      <c r="E530" s="20" t="e">
        <f t="array" ref="E530">INDEX(C:C,SMALL(IF(ISNUMBER(FIND(CELL("contents"),$C$2:$C$4852)),ROW($C$2:$C$4852),4^8),ROW(C530)))&amp;""</f>
        <v>#N/A</v>
      </c>
    </row>
    <row r="531" ht="14.100000000000001" customHeight="1">
      <c r="B531" s="20" t="s">
        <v>1209</v>
      </c>
      <c r="C531" s="20" t="s">
        <v>1210</v>
      </c>
      <c r="D531" s="20" t="s">
        <v>1209</v>
      </c>
      <c r="E531" s="20" t="e">
        <f t="array" ref="E531">INDEX(C:C,SMALL(IF(ISNUMBER(FIND(CELL("contents"),$C$2:$C$4852)),ROW($C$2:$C$4852),4^8),ROW(C531)))&amp;""</f>
        <v>#N/A</v>
      </c>
    </row>
    <row r="532" ht="14.100000000000001" customHeight="1">
      <c r="B532" s="20" t="s">
        <v>1211</v>
      </c>
      <c r="C532" s="20" t="s">
        <v>1212</v>
      </c>
      <c r="D532" s="20" t="s">
        <v>1211</v>
      </c>
      <c r="E532" s="20" t="e">
        <f t="array" ref="E532">INDEX(C:C,SMALL(IF(ISNUMBER(FIND(CELL("contents"),$C$2:$C$4852)),ROW($C$2:$C$4852),4^8),ROW(C532)))&amp;""</f>
        <v>#N/A</v>
      </c>
    </row>
    <row r="533" ht="14.100000000000001" customHeight="1">
      <c r="B533" s="20" t="s">
        <v>1213</v>
      </c>
      <c r="C533" s="20" t="s">
        <v>1214</v>
      </c>
      <c r="D533" s="20" t="s">
        <v>1213</v>
      </c>
      <c r="E533" s="20" t="e">
        <f t="array" ref="E533">INDEX(C:C,SMALL(IF(ISNUMBER(FIND(CELL("contents"),$C$2:$C$4852)),ROW($C$2:$C$4852),4^8),ROW(C533)))&amp;""</f>
        <v>#N/A</v>
      </c>
    </row>
    <row r="534" ht="14.100000000000001" customHeight="1">
      <c r="B534" s="20" t="s">
        <v>1215</v>
      </c>
      <c r="C534" s="20" t="s">
        <v>1216</v>
      </c>
      <c r="D534" s="20" t="s">
        <v>1215</v>
      </c>
      <c r="E534" s="20" t="e">
        <f t="array" ref="E534">INDEX(C:C,SMALL(IF(ISNUMBER(FIND(CELL("contents"),$C$2:$C$4852)),ROW($C$2:$C$4852),4^8),ROW(C534)))&amp;""</f>
        <v>#N/A</v>
      </c>
    </row>
    <row r="535" ht="14.100000000000001" customHeight="1">
      <c r="B535" s="20" t="s">
        <v>1217</v>
      </c>
      <c r="C535" s="20" t="s">
        <v>1218</v>
      </c>
      <c r="D535" s="20" t="s">
        <v>1217</v>
      </c>
      <c r="E535" s="20" t="e">
        <f t="array" ref="E535">INDEX(C:C,SMALL(IF(ISNUMBER(FIND(CELL("contents"),$C$2:$C$4852)),ROW($C$2:$C$4852),4^8),ROW(C535)))&amp;""</f>
        <v>#N/A</v>
      </c>
    </row>
    <row r="536" ht="14.100000000000001" customHeight="1">
      <c r="B536" s="20" t="s">
        <v>1219</v>
      </c>
      <c r="C536" s="20" t="s">
        <v>1220</v>
      </c>
      <c r="D536" s="20" t="s">
        <v>1219</v>
      </c>
      <c r="E536" s="20" t="e">
        <f t="array" ref="E536">INDEX(C:C,SMALL(IF(ISNUMBER(FIND(CELL("contents"),$C$2:$C$4852)),ROW($C$2:$C$4852),4^8),ROW(C536)))&amp;""</f>
        <v>#N/A</v>
      </c>
    </row>
    <row r="537" ht="14.100000000000001" customHeight="1">
      <c r="B537" s="20" t="s">
        <v>1221</v>
      </c>
      <c r="C537" s="20" t="s">
        <v>1222</v>
      </c>
      <c r="D537" s="20" t="s">
        <v>1221</v>
      </c>
      <c r="E537" s="20" t="e">
        <f t="array" ref="E537">INDEX(C:C,SMALL(IF(ISNUMBER(FIND(CELL("contents"),$C$2:$C$4852)),ROW($C$2:$C$4852),4^8),ROW(C537)))&amp;""</f>
        <v>#N/A</v>
      </c>
    </row>
    <row r="538" ht="14.100000000000001" customHeight="1">
      <c r="B538" s="20" t="s">
        <v>1223</v>
      </c>
      <c r="C538" s="20" t="s">
        <v>1224</v>
      </c>
      <c r="D538" s="20" t="s">
        <v>1223</v>
      </c>
      <c r="E538" s="20" t="e">
        <f t="array" ref="E538">INDEX(C:C,SMALL(IF(ISNUMBER(FIND(CELL("contents"),$C$2:$C$4852)),ROW($C$2:$C$4852),4^8),ROW(C538)))&amp;""</f>
        <v>#N/A</v>
      </c>
    </row>
    <row r="539" ht="14.100000000000001" customHeight="1">
      <c r="B539" s="20" t="s">
        <v>1225</v>
      </c>
      <c r="C539" s="20" t="s">
        <v>1226</v>
      </c>
      <c r="D539" s="20" t="s">
        <v>1225</v>
      </c>
      <c r="E539" s="20" t="e">
        <f t="array" ref="E539">INDEX(C:C,SMALL(IF(ISNUMBER(FIND(CELL("contents"),$C$2:$C$4852)),ROW($C$2:$C$4852),4^8),ROW(C539)))&amp;""</f>
        <v>#N/A</v>
      </c>
    </row>
    <row r="540" ht="14.100000000000001" customHeight="1">
      <c r="B540" s="20" t="s">
        <v>1227</v>
      </c>
      <c r="C540" s="20" t="s">
        <v>1228</v>
      </c>
      <c r="D540" s="20" t="s">
        <v>1227</v>
      </c>
      <c r="E540" s="20" t="e">
        <f t="array" ref="E540">INDEX(C:C,SMALL(IF(ISNUMBER(FIND(CELL("contents"),$C$2:$C$4852)),ROW($C$2:$C$4852),4^8),ROW(C540)))&amp;""</f>
        <v>#N/A</v>
      </c>
    </row>
    <row r="541" ht="14.100000000000001" customHeight="1">
      <c r="B541" s="20" t="s">
        <v>1229</v>
      </c>
      <c r="C541" s="20" t="s">
        <v>1230</v>
      </c>
      <c r="D541" s="20" t="s">
        <v>1229</v>
      </c>
      <c r="E541" s="20" t="e">
        <f t="array" ref="E541">INDEX(C:C,SMALL(IF(ISNUMBER(FIND(CELL("contents"),$C$2:$C$4852)),ROW($C$2:$C$4852),4^8),ROW(C541)))&amp;""</f>
        <v>#N/A</v>
      </c>
    </row>
    <row r="542" ht="14.100000000000001" customHeight="1">
      <c r="B542" s="20" t="s">
        <v>1231</v>
      </c>
      <c r="C542" s="20" t="s">
        <v>1232</v>
      </c>
      <c r="D542" s="20" t="s">
        <v>1231</v>
      </c>
      <c r="E542" s="20" t="e">
        <f t="array" ref="E542">INDEX(C:C,SMALL(IF(ISNUMBER(FIND(CELL("contents"),$C$2:$C$4852)),ROW($C$2:$C$4852),4^8),ROW(C542)))&amp;""</f>
        <v>#N/A</v>
      </c>
    </row>
    <row r="543" ht="14.100000000000001" customHeight="1">
      <c r="B543" s="20" t="s">
        <v>1233</v>
      </c>
      <c r="C543" s="20" t="s">
        <v>1234</v>
      </c>
      <c r="D543" s="20" t="s">
        <v>1233</v>
      </c>
      <c r="E543" s="20" t="e">
        <f t="array" ref="E543">INDEX(C:C,SMALL(IF(ISNUMBER(FIND(CELL("contents"),$C$2:$C$4852)),ROW($C$2:$C$4852),4^8),ROW(C543)))&amp;""</f>
        <v>#N/A</v>
      </c>
    </row>
    <row r="544" ht="14.100000000000001" customHeight="1">
      <c r="B544" s="20" t="s">
        <v>1235</v>
      </c>
      <c r="C544" s="20" t="s">
        <v>1236</v>
      </c>
      <c r="D544" s="20" t="s">
        <v>1235</v>
      </c>
      <c r="E544" s="20" t="e">
        <f t="array" ref="E544">INDEX(C:C,SMALL(IF(ISNUMBER(FIND(CELL("contents"),$C$2:$C$4852)),ROW($C$2:$C$4852),4^8),ROW(C544)))&amp;""</f>
        <v>#N/A</v>
      </c>
    </row>
    <row r="545" ht="14.100000000000001" customHeight="1">
      <c r="B545" s="20" t="s">
        <v>1237</v>
      </c>
      <c r="C545" s="20" t="s">
        <v>1238</v>
      </c>
      <c r="D545" s="20" t="s">
        <v>1237</v>
      </c>
      <c r="E545" s="20" t="e">
        <f t="array" ref="E545">INDEX(C:C,SMALL(IF(ISNUMBER(FIND(CELL("contents"),$C$2:$C$4852)),ROW($C$2:$C$4852),4^8),ROW(C545)))&amp;""</f>
        <v>#N/A</v>
      </c>
    </row>
    <row r="546" ht="14.100000000000001" customHeight="1">
      <c r="B546" s="20" t="s">
        <v>1239</v>
      </c>
      <c r="C546" s="20" t="s">
        <v>1240</v>
      </c>
      <c r="D546" s="20" t="s">
        <v>1239</v>
      </c>
      <c r="E546" s="20" t="e">
        <f t="array" ref="E546">INDEX(C:C,SMALL(IF(ISNUMBER(FIND(CELL("contents"),$C$2:$C$4852)),ROW($C$2:$C$4852),4^8),ROW(C546)))&amp;""</f>
        <v>#N/A</v>
      </c>
    </row>
    <row r="547" ht="14.100000000000001" customHeight="1">
      <c r="B547" s="20" t="s">
        <v>1241</v>
      </c>
      <c r="C547" s="20" t="s">
        <v>1242</v>
      </c>
      <c r="D547" s="20" t="s">
        <v>1241</v>
      </c>
      <c r="E547" s="20" t="e">
        <f t="array" ref="E547">INDEX(C:C,SMALL(IF(ISNUMBER(FIND(CELL("contents"),$C$2:$C$4852)),ROW($C$2:$C$4852),4^8),ROW(C547)))&amp;""</f>
        <v>#N/A</v>
      </c>
    </row>
    <row r="548" ht="14.100000000000001" customHeight="1">
      <c r="B548" s="20" t="s">
        <v>1243</v>
      </c>
      <c r="C548" s="20" t="s">
        <v>1244</v>
      </c>
      <c r="D548" s="20" t="s">
        <v>1243</v>
      </c>
      <c r="E548" s="20" t="e">
        <f t="array" ref="E548">INDEX(C:C,SMALL(IF(ISNUMBER(FIND(CELL("contents"),$C$2:$C$4852)),ROW($C$2:$C$4852),4^8),ROW(C548)))&amp;""</f>
        <v>#N/A</v>
      </c>
    </row>
    <row r="549" ht="14.100000000000001" customHeight="1">
      <c r="B549" s="20" t="s">
        <v>1245</v>
      </c>
      <c r="C549" s="20" t="s">
        <v>1246</v>
      </c>
      <c r="D549" s="20" t="s">
        <v>1245</v>
      </c>
      <c r="E549" s="20" t="e">
        <f t="array" ref="E549">INDEX(C:C,SMALL(IF(ISNUMBER(FIND(CELL("contents"),$C$2:$C$4852)),ROW($C$2:$C$4852),4^8),ROW(C549)))&amp;""</f>
        <v>#N/A</v>
      </c>
    </row>
    <row r="550" ht="14.100000000000001" customHeight="1">
      <c r="B550" s="20" t="s">
        <v>1247</v>
      </c>
      <c r="C550" s="20" t="s">
        <v>1248</v>
      </c>
      <c r="D550" s="20" t="s">
        <v>1247</v>
      </c>
      <c r="E550" s="20" t="e">
        <f t="array" ref="E550">INDEX(C:C,SMALL(IF(ISNUMBER(FIND(CELL("contents"),$C$2:$C$4852)),ROW($C$2:$C$4852),4^8),ROW(C550)))&amp;""</f>
        <v>#N/A</v>
      </c>
    </row>
    <row r="551" ht="14.100000000000001" customHeight="1">
      <c r="B551" s="20" t="s">
        <v>1249</v>
      </c>
      <c r="C551" s="20" t="s">
        <v>1250</v>
      </c>
      <c r="D551" s="20" t="s">
        <v>1249</v>
      </c>
      <c r="E551" s="20" t="e">
        <f t="array" ref="E551">INDEX(C:C,SMALL(IF(ISNUMBER(FIND(CELL("contents"),$C$2:$C$4852)),ROW($C$2:$C$4852),4^8),ROW(C551)))&amp;""</f>
        <v>#N/A</v>
      </c>
    </row>
    <row r="552" ht="14.100000000000001" customHeight="1">
      <c r="B552" s="20" t="s">
        <v>1251</v>
      </c>
      <c r="C552" s="20" t="s">
        <v>1252</v>
      </c>
      <c r="D552" s="20" t="s">
        <v>1251</v>
      </c>
      <c r="E552" s="20" t="e">
        <f t="array" ref="E552">INDEX(C:C,SMALL(IF(ISNUMBER(FIND(CELL("contents"),$C$2:$C$4852)),ROW($C$2:$C$4852),4^8),ROW(C552)))&amp;""</f>
        <v>#N/A</v>
      </c>
    </row>
    <row r="553" ht="14.100000000000001" customHeight="1">
      <c r="B553" s="20" t="s">
        <v>1253</v>
      </c>
      <c r="C553" s="20" t="s">
        <v>1254</v>
      </c>
      <c r="D553" s="20" t="s">
        <v>1253</v>
      </c>
      <c r="E553" s="20" t="e">
        <f t="array" ref="E553">INDEX(C:C,SMALL(IF(ISNUMBER(FIND(CELL("contents"),$C$2:$C$4852)),ROW($C$2:$C$4852),4^8),ROW(C553)))&amp;""</f>
        <v>#N/A</v>
      </c>
    </row>
    <row r="554" ht="14.100000000000001" customHeight="1">
      <c r="B554" s="20" t="s">
        <v>1255</v>
      </c>
      <c r="C554" s="20" t="s">
        <v>1256</v>
      </c>
      <c r="D554" s="20" t="s">
        <v>1255</v>
      </c>
      <c r="E554" s="20" t="e">
        <f t="array" ref="E554">INDEX(C:C,SMALL(IF(ISNUMBER(FIND(CELL("contents"),$C$2:$C$4852)),ROW($C$2:$C$4852),4^8),ROW(C554)))&amp;""</f>
        <v>#N/A</v>
      </c>
    </row>
    <row r="555" ht="14.100000000000001" customHeight="1">
      <c r="B555" s="20" t="s">
        <v>1257</v>
      </c>
      <c r="C555" s="20" t="s">
        <v>1258</v>
      </c>
      <c r="D555" s="20" t="s">
        <v>1257</v>
      </c>
      <c r="E555" s="20" t="e">
        <f t="array" ref="E555">INDEX(C:C,SMALL(IF(ISNUMBER(FIND(CELL("contents"),$C$2:$C$4852)),ROW($C$2:$C$4852),4^8),ROW(C555)))&amp;""</f>
        <v>#N/A</v>
      </c>
    </row>
    <row r="556" ht="14.100000000000001" customHeight="1">
      <c r="B556" s="20" t="s">
        <v>1259</v>
      </c>
      <c r="C556" s="20" t="s">
        <v>1260</v>
      </c>
      <c r="D556" s="20" t="s">
        <v>1259</v>
      </c>
      <c r="E556" s="20" t="e">
        <f t="array" ref="E556">INDEX(C:C,SMALL(IF(ISNUMBER(FIND(CELL("contents"),$C$2:$C$4852)),ROW($C$2:$C$4852),4^8),ROW(C556)))&amp;""</f>
        <v>#N/A</v>
      </c>
    </row>
    <row r="557" ht="14.100000000000001" customHeight="1">
      <c r="B557" s="20" t="s">
        <v>1261</v>
      </c>
      <c r="C557" s="20" t="s">
        <v>1262</v>
      </c>
      <c r="D557" s="20" t="s">
        <v>1261</v>
      </c>
      <c r="E557" s="20" t="e">
        <f t="array" ref="E557">INDEX(C:C,SMALL(IF(ISNUMBER(FIND(CELL("contents"),$C$2:$C$4852)),ROW($C$2:$C$4852),4^8),ROW(C557)))&amp;""</f>
        <v>#N/A</v>
      </c>
    </row>
    <row r="558" ht="14.100000000000001" customHeight="1">
      <c r="B558" s="20" t="s">
        <v>1263</v>
      </c>
      <c r="C558" s="20" t="s">
        <v>1264</v>
      </c>
      <c r="D558" s="20" t="s">
        <v>1263</v>
      </c>
      <c r="E558" s="20" t="e">
        <f t="array" ref="E558">INDEX(C:C,SMALL(IF(ISNUMBER(FIND(CELL("contents"),$C$2:$C$4852)),ROW($C$2:$C$4852),4^8),ROW(C558)))&amp;""</f>
        <v>#N/A</v>
      </c>
    </row>
    <row r="559" ht="14.100000000000001" customHeight="1">
      <c r="B559" s="20" t="s">
        <v>1265</v>
      </c>
      <c r="C559" s="20" t="s">
        <v>1266</v>
      </c>
      <c r="D559" s="20" t="s">
        <v>1265</v>
      </c>
      <c r="E559" s="20" t="e">
        <f t="array" ref="E559">INDEX(C:C,SMALL(IF(ISNUMBER(FIND(CELL("contents"),$C$2:$C$4852)),ROW($C$2:$C$4852),4^8),ROW(C559)))&amp;""</f>
        <v>#N/A</v>
      </c>
    </row>
    <row r="560" ht="14.100000000000001" customHeight="1">
      <c r="B560" s="20" t="s">
        <v>1267</v>
      </c>
      <c r="C560" s="20" t="s">
        <v>1268</v>
      </c>
      <c r="D560" s="20" t="s">
        <v>1267</v>
      </c>
      <c r="E560" s="20" t="e">
        <f t="array" ref="E560">INDEX(C:C,SMALL(IF(ISNUMBER(FIND(CELL("contents"),$C$2:$C$4852)),ROW($C$2:$C$4852),4^8),ROW(C560)))&amp;""</f>
        <v>#N/A</v>
      </c>
    </row>
    <row r="561" ht="14.100000000000001" customHeight="1">
      <c r="B561" s="20" t="s">
        <v>1269</v>
      </c>
      <c r="C561" s="20" t="s">
        <v>1270</v>
      </c>
      <c r="D561" s="20" t="s">
        <v>1269</v>
      </c>
      <c r="E561" s="20" t="e">
        <f t="array" ref="E561">INDEX(C:C,SMALL(IF(ISNUMBER(FIND(CELL("contents"),$C$2:$C$4852)),ROW($C$2:$C$4852),4^8),ROW(C561)))&amp;""</f>
        <v>#N/A</v>
      </c>
    </row>
    <row r="562" ht="14.100000000000001" customHeight="1">
      <c r="B562" s="20" t="s">
        <v>1271</v>
      </c>
      <c r="C562" s="20" t="s">
        <v>1272</v>
      </c>
      <c r="D562" s="20" t="s">
        <v>1271</v>
      </c>
      <c r="E562" s="20" t="e">
        <f t="array" ref="E562">INDEX(C:C,SMALL(IF(ISNUMBER(FIND(CELL("contents"),$C$2:$C$4852)),ROW($C$2:$C$4852),4^8),ROW(C562)))&amp;""</f>
        <v>#N/A</v>
      </c>
    </row>
    <row r="563" ht="14.100000000000001" customHeight="1">
      <c r="B563" s="20" t="s">
        <v>1273</v>
      </c>
      <c r="C563" s="20" t="s">
        <v>1274</v>
      </c>
      <c r="D563" s="20" t="s">
        <v>1273</v>
      </c>
      <c r="E563" s="20" t="e">
        <f t="array" ref="E563">INDEX(C:C,SMALL(IF(ISNUMBER(FIND(CELL("contents"),$C$2:$C$4852)),ROW($C$2:$C$4852),4^8),ROW(C563)))&amp;""</f>
        <v>#N/A</v>
      </c>
    </row>
    <row r="564" ht="14.100000000000001" customHeight="1">
      <c r="B564" s="20" t="s">
        <v>1275</v>
      </c>
      <c r="C564" s="20" t="s">
        <v>1276</v>
      </c>
      <c r="D564" s="20" t="s">
        <v>1275</v>
      </c>
      <c r="E564" s="20" t="e">
        <f t="array" ref="E564">INDEX(C:C,SMALL(IF(ISNUMBER(FIND(CELL("contents"),$C$2:$C$4852)),ROW($C$2:$C$4852),4^8),ROW(C564)))&amp;""</f>
        <v>#N/A</v>
      </c>
    </row>
    <row r="565" ht="14.100000000000001" customHeight="1">
      <c r="B565" s="20" t="s">
        <v>1277</v>
      </c>
      <c r="C565" s="20" t="s">
        <v>1278</v>
      </c>
      <c r="D565" s="20" t="s">
        <v>1277</v>
      </c>
      <c r="E565" s="20" t="e">
        <f t="array" ref="E565">INDEX(C:C,SMALL(IF(ISNUMBER(FIND(CELL("contents"),$C$2:$C$4852)),ROW($C$2:$C$4852),4^8),ROW(C565)))&amp;""</f>
        <v>#N/A</v>
      </c>
    </row>
    <row r="566" ht="14.100000000000001" customHeight="1">
      <c r="B566" s="20" t="s">
        <v>1279</v>
      </c>
      <c r="C566" s="20" t="s">
        <v>1280</v>
      </c>
      <c r="D566" s="20" t="s">
        <v>1279</v>
      </c>
      <c r="E566" s="20" t="e">
        <f t="array" ref="E566">INDEX(C:C,SMALL(IF(ISNUMBER(FIND(CELL("contents"),$C$2:$C$4852)),ROW($C$2:$C$4852),4^8),ROW(C566)))&amp;""</f>
        <v>#N/A</v>
      </c>
    </row>
    <row r="567" ht="14.100000000000001" customHeight="1">
      <c r="B567" s="20" t="s">
        <v>1281</v>
      </c>
      <c r="C567" s="20" t="s">
        <v>1282</v>
      </c>
      <c r="D567" s="20" t="s">
        <v>1281</v>
      </c>
      <c r="E567" s="20" t="e">
        <f t="array" ref="E567">INDEX(C:C,SMALL(IF(ISNUMBER(FIND(CELL("contents"),$C$2:$C$4852)),ROW($C$2:$C$4852),4^8),ROW(C567)))&amp;""</f>
        <v>#N/A</v>
      </c>
    </row>
    <row r="568" ht="14.100000000000001" customHeight="1">
      <c r="B568" s="20" t="s">
        <v>1283</v>
      </c>
      <c r="C568" s="20" t="s">
        <v>1284</v>
      </c>
      <c r="D568" s="20" t="s">
        <v>1283</v>
      </c>
      <c r="E568" s="20" t="e">
        <f t="array" ref="E568">INDEX(C:C,SMALL(IF(ISNUMBER(FIND(CELL("contents"),$C$2:$C$4852)),ROW($C$2:$C$4852),4^8),ROW(C568)))&amp;""</f>
        <v>#N/A</v>
      </c>
    </row>
    <row r="569" ht="14.100000000000001" customHeight="1">
      <c r="B569" s="20" t="s">
        <v>1285</v>
      </c>
      <c r="C569" s="20" t="s">
        <v>1286</v>
      </c>
      <c r="D569" s="20" t="s">
        <v>1285</v>
      </c>
      <c r="E569" s="20" t="e">
        <f t="array" ref="E569">INDEX(C:C,SMALL(IF(ISNUMBER(FIND(CELL("contents"),$C$2:$C$4852)),ROW($C$2:$C$4852),4^8),ROW(C569)))&amp;""</f>
        <v>#N/A</v>
      </c>
    </row>
    <row r="570" ht="14.100000000000001" customHeight="1">
      <c r="B570" s="20" t="s">
        <v>1287</v>
      </c>
      <c r="C570" s="20" t="s">
        <v>1288</v>
      </c>
      <c r="D570" s="20" t="s">
        <v>1287</v>
      </c>
      <c r="E570" s="20" t="e">
        <f t="array" ref="E570">INDEX(C:C,SMALL(IF(ISNUMBER(FIND(CELL("contents"),$C$2:$C$4852)),ROW($C$2:$C$4852),4^8),ROW(C570)))&amp;""</f>
        <v>#N/A</v>
      </c>
    </row>
    <row r="571" ht="14.100000000000001" customHeight="1">
      <c r="B571" s="20" t="s">
        <v>1289</v>
      </c>
      <c r="C571" s="20" t="s">
        <v>1290</v>
      </c>
      <c r="D571" s="20" t="s">
        <v>1289</v>
      </c>
      <c r="E571" s="20" t="e">
        <f t="array" ref="E571">INDEX(C:C,SMALL(IF(ISNUMBER(FIND(CELL("contents"),$C$2:$C$4852)),ROW($C$2:$C$4852),4^8),ROW(C571)))&amp;""</f>
        <v>#N/A</v>
      </c>
    </row>
    <row r="572" ht="14.100000000000001" customHeight="1">
      <c r="B572" s="20" t="s">
        <v>1291</v>
      </c>
      <c r="C572" s="20" t="s">
        <v>1292</v>
      </c>
      <c r="D572" s="20" t="s">
        <v>1291</v>
      </c>
      <c r="E572" s="20" t="e">
        <f t="array" ref="E572">INDEX(C:C,SMALL(IF(ISNUMBER(FIND(CELL("contents"),$C$2:$C$4852)),ROW($C$2:$C$4852),4^8),ROW(C572)))&amp;""</f>
        <v>#N/A</v>
      </c>
    </row>
    <row r="573" ht="14.100000000000001" customHeight="1">
      <c r="B573" s="20" t="s">
        <v>1293</v>
      </c>
      <c r="C573" s="20" t="s">
        <v>1294</v>
      </c>
      <c r="D573" s="20" t="s">
        <v>1293</v>
      </c>
      <c r="E573" s="20" t="e">
        <f t="array" ref="E573">INDEX(C:C,SMALL(IF(ISNUMBER(FIND(CELL("contents"),$C$2:$C$4852)),ROW($C$2:$C$4852),4^8),ROW(C573)))&amp;""</f>
        <v>#N/A</v>
      </c>
    </row>
    <row r="574" ht="14.100000000000001" customHeight="1">
      <c r="B574" s="20" t="s">
        <v>1295</v>
      </c>
      <c r="C574" s="20" t="s">
        <v>1296</v>
      </c>
      <c r="D574" s="20" t="s">
        <v>1295</v>
      </c>
      <c r="E574" s="20" t="e">
        <f t="array" ref="E574">INDEX(C:C,SMALL(IF(ISNUMBER(FIND(CELL("contents"),$C$2:$C$4852)),ROW($C$2:$C$4852),4^8),ROW(C574)))&amp;""</f>
        <v>#N/A</v>
      </c>
    </row>
    <row r="575" ht="14.100000000000001" customHeight="1">
      <c r="B575" s="20" t="s">
        <v>1297</v>
      </c>
      <c r="C575" s="20" t="s">
        <v>1298</v>
      </c>
      <c r="D575" s="20" t="s">
        <v>1297</v>
      </c>
      <c r="E575" s="20" t="e">
        <f t="array" ref="E575">INDEX(C:C,SMALL(IF(ISNUMBER(FIND(CELL("contents"),$C$2:$C$4852)),ROW($C$2:$C$4852),4^8),ROW(C575)))&amp;""</f>
        <v>#N/A</v>
      </c>
    </row>
    <row r="576" ht="14.100000000000001" customHeight="1">
      <c r="B576" s="20" t="s">
        <v>1299</v>
      </c>
      <c r="C576" s="20" t="s">
        <v>1300</v>
      </c>
      <c r="D576" s="20" t="s">
        <v>1299</v>
      </c>
      <c r="E576" s="20" t="e">
        <f t="array" ref="E576">INDEX(C:C,SMALL(IF(ISNUMBER(FIND(CELL("contents"),$C$2:$C$4852)),ROW($C$2:$C$4852),4^8),ROW(C576)))&amp;""</f>
        <v>#N/A</v>
      </c>
    </row>
    <row r="577" ht="14.100000000000001" customHeight="1">
      <c r="B577" s="20" t="s">
        <v>1301</v>
      </c>
      <c r="C577" s="20" t="s">
        <v>1302</v>
      </c>
      <c r="D577" s="20" t="s">
        <v>1301</v>
      </c>
      <c r="E577" s="20" t="e">
        <f t="array" ref="E577">INDEX(C:C,SMALL(IF(ISNUMBER(FIND(CELL("contents"),$C$2:$C$4852)),ROW($C$2:$C$4852),4^8),ROW(C577)))&amp;""</f>
        <v>#N/A</v>
      </c>
    </row>
    <row r="578" ht="14.100000000000001" customHeight="1">
      <c r="B578" s="20" t="s">
        <v>1303</v>
      </c>
      <c r="C578" s="20" t="s">
        <v>1304</v>
      </c>
      <c r="D578" s="20" t="s">
        <v>1303</v>
      </c>
      <c r="E578" s="20" t="e">
        <f t="array" ref="E578">INDEX(C:C,SMALL(IF(ISNUMBER(FIND(CELL("contents"),$C$2:$C$4852)),ROW($C$2:$C$4852),4^8),ROW(C578)))&amp;""</f>
        <v>#N/A</v>
      </c>
    </row>
    <row r="579" ht="14.100000000000001" customHeight="1">
      <c r="B579" s="20" t="s">
        <v>1305</v>
      </c>
      <c r="C579" s="20" t="s">
        <v>1306</v>
      </c>
      <c r="D579" s="20" t="s">
        <v>1305</v>
      </c>
      <c r="E579" s="20" t="e">
        <f t="array" ref="E579">INDEX(C:C,SMALL(IF(ISNUMBER(FIND(CELL("contents"),$C$2:$C$4852)),ROW($C$2:$C$4852),4^8),ROW(C579)))&amp;""</f>
        <v>#N/A</v>
      </c>
    </row>
    <row r="580" ht="14.100000000000001" customHeight="1">
      <c r="B580" s="20" t="s">
        <v>1307</v>
      </c>
      <c r="C580" s="20" t="s">
        <v>1308</v>
      </c>
      <c r="D580" s="20" t="s">
        <v>1307</v>
      </c>
      <c r="E580" s="20" t="e">
        <f t="array" ref="E580">INDEX(C:C,SMALL(IF(ISNUMBER(FIND(CELL("contents"),$C$2:$C$4852)),ROW($C$2:$C$4852),4^8),ROW(C580)))&amp;""</f>
        <v>#N/A</v>
      </c>
    </row>
    <row r="581" ht="14.100000000000001" customHeight="1">
      <c r="B581" s="20" t="s">
        <v>1309</v>
      </c>
      <c r="C581" s="20" t="s">
        <v>1310</v>
      </c>
      <c r="D581" s="20" t="s">
        <v>1309</v>
      </c>
      <c r="E581" s="20" t="e">
        <f t="array" ref="E581">INDEX(C:C,SMALL(IF(ISNUMBER(FIND(CELL("contents"),$C$2:$C$4852)),ROW($C$2:$C$4852),4^8),ROW(C581)))&amp;""</f>
        <v>#N/A</v>
      </c>
    </row>
    <row r="582" ht="14.100000000000001" customHeight="1">
      <c r="B582" s="20" t="s">
        <v>1311</v>
      </c>
      <c r="C582" s="20" t="s">
        <v>1312</v>
      </c>
      <c r="D582" s="20" t="s">
        <v>1311</v>
      </c>
      <c r="E582" s="20" t="e">
        <f t="array" ref="E582">INDEX(C:C,SMALL(IF(ISNUMBER(FIND(CELL("contents"),$C$2:$C$4852)),ROW($C$2:$C$4852),4^8),ROW(C582)))&amp;""</f>
        <v>#N/A</v>
      </c>
    </row>
    <row r="583" ht="14.100000000000001" customHeight="1">
      <c r="B583" s="20" t="s">
        <v>1313</v>
      </c>
      <c r="C583" s="20" t="s">
        <v>1314</v>
      </c>
      <c r="D583" s="20" t="s">
        <v>1313</v>
      </c>
      <c r="E583" s="20" t="e">
        <f t="array" ref="E583">INDEX(C:C,SMALL(IF(ISNUMBER(FIND(CELL("contents"),$C$2:$C$4852)),ROW($C$2:$C$4852),4^8),ROW(C583)))&amp;""</f>
        <v>#N/A</v>
      </c>
    </row>
    <row r="584" ht="14.100000000000001" customHeight="1">
      <c r="B584" s="20" t="s">
        <v>1315</v>
      </c>
      <c r="C584" s="20" t="s">
        <v>1316</v>
      </c>
      <c r="D584" s="20" t="s">
        <v>1315</v>
      </c>
      <c r="E584" s="20" t="e">
        <f t="array" ref="E584">INDEX(C:C,SMALL(IF(ISNUMBER(FIND(CELL("contents"),$C$2:$C$4852)),ROW($C$2:$C$4852),4^8),ROW(C584)))&amp;""</f>
        <v>#N/A</v>
      </c>
    </row>
    <row r="585" ht="14.100000000000001" customHeight="1">
      <c r="B585" s="20" t="s">
        <v>1317</v>
      </c>
      <c r="C585" s="20" t="s">
        <v>1318</v>
      </c>
      <c r="D585" s="20" t="s">
        <v>1317</v>
      </c>
      <c r="E585" s="20" t="e">
        <f t="array" ref="E585">INDEX(C:C,SMALL(IF(ISNUMBER(FIND(CELL("contents"),$C$2:$C$4852)),ROW($C$2:$C$4852),4^8),ROW(C585)))&amp;""</f>
        <v>#N/A</v>
      </c>
    </row>
    <row r="586" ht="14.100000000000001" customHeight="1">
      <c r="B586" s="20" t="s">
        <v>1319</v>
      </c>
      <c r="C586" s="20" t="s">
        <v>1320</v>
      </c>
      <c r="D586" s="20" t="s">
        <v>1319</v>
      </c>
      <c r="E586" s="20" t="e">
        <f t="array" ref="E586">INDEX(C:C,SMALL(IF(ISNUMBER(FIND(CELL("contents"),$C$2:$C$4852)),ROW($C$2:$C$4852),4^8),ROW(C586)))&amp;""</f>
        <v>#N/A</v>
      </c>
    </row>
    <row r="587" ht="14.100000000000001" customHeight="1">
      <c r="B587" s="20" t="s">
        <v>1321</v>
      </c>
      <c r="C587" s="20" t="s">
        <v>1322</v>
      </c>
      <c r="D587" s="20" t="s">
        <v>1321</v>
      </c>
      <c r="E587" s="20" t="e">
        <f t="array" ref="E587">INDEX(C:C,SMALL(IF(ISNUMBER(FIND(CELL("contents"),$C$2:$C$4852)),ROW($C$2:$C$4852),4^8),ROW(C587)))&amp;""</f>
        <v>#N/A</v>
      </c>
    </row>
    <row r="588" ht="14.100000000000001" customHeight="1">
      <c r="B588" s="20" t="s">
        <v>1323</v>
      </c>
      <c r="C588" s="20" t="s">
        <v>1324</v>
      </c>
      <c r="D588" s="20" t="s">
        <v>1323</v>
      </c>
      <c r="E588" s="20" t="e">
        <f t="array" ref="E588">INDEX(C:C,SMALL(IF(ISNUMBER(FIND(CELL("contents"),$C$2:$C$4852)),ROW($C$2:$C$4852),4^8),ROW(C588)))&amp;""</f>
        <v>#N/A</v>
      </c>
    </row>
    <row r="589" ht="14.100000000000001" customHeight="1">
      <c r="B589" s="20" t="s">
        <v>1325</v>
      </c>
      <c r="C589" s="20" t="s">
        <v>1326</v>
      </c>
      <c r="D589" s="20" t="s">
        <v>1325</v>
      </c>
      <c r="E589" s="20" t="e">
        <f t="array" ref="E589">INDEX(C:C,SMALL(IF(ISNUMBER(FIND(CELL("contents"),$C$2:$C$4852)),ROW($C$2:$C$4852),4^8),ROW(C589)))&amp;""</f>
        <v>#N/A</v>
      </c>
    </row>
    <row r="590" ht="14.100000000000001" customHeight="1">
      <c r="B590" s="20" t="s">
        <v>1327</v>
      </c>
      <c r="C590" s="20" t="s">
        <v>1328</v>
      </c>
      <c r="D590" s="20" t="s">
        <v>1327</v>
      </c>
      <c r="E590" s="20" t="e">
        <f t="array" ref="E590">INDEX(C:C,SMALL(IF(ISNUMBER(FIND(CELL("contents"),$C$2:$C$4852)),ROW($C$2:$C$4852),4^8),ROW(C590)))&amp;""</f>
        <v>#N/A</v>
      </c>
    </row>
    <row r="591" ht="14.100000000000001" customHeight="1">
      <c r="B591" s="20" t="s">
        <v>1329</v>
      </c>
      <c r="C591" s="20" t="s">
        <v>1330</v>
      </c>
      <c r="D591" s="20" t="s">
        <v>1329</v>
      </c>
      <c r="E591" s="20" t="e">
        <f t="array" ref="E591">INDEX(C:C,SMALL(IF(ISNUMBER(FIND(CELL("contents"),$C$2:$C$4852)),ROW($C$2:$C$4852),4^8),ROW(C591)))&amp;""</f>
        <v>#N/A</v>
      </c>
    </row>
    <row r="592" ht="14.100000000000001" customHeight="1">
      <c r="B592" s="20" t="s">
        <v>1331</v>
      </c>
      <c r="C592" s="20" t="s">
        <v>1332</v>
      </c>
      <c r="D592" s="20" t="s">
        <v>1331</v>
      </c>
      <c r="E592" s="20" t="e">
        <f t="array" ref="E592">INDEX(C:C,SMALL(IF(ISNUMBER(FIND(CELL("contents"),$C$2:$C$4852)),ROW($C$2:$C$4852),4^8),ROW(C592)))&amp;""</f>
        <v>#N/A</v>
      </c>
    </row>
    <row r="593" ht="14.100000000000001" customHeight="1">
      <c r="B593" s="20" t="s">
        <v>1333</v>
      </c>
      <c r="C593" s="20" t="s">
        <v>1334</v>
      </c>
      <c r="D593" s="20" t="s">
        <v>1333</v>
      </c>
      <c r="E593" s="20" t="e">
        <f t="array" ref="E593">INDEX(C:C,SMALL(IF(ISNUMBER(FIND(CELL("contents"),$C$2:$C$4852)),ROW($C$2:$C$4852),4^8),ROW(C593)))&amp;""</f>
        <v>#N/A</v>
      </c>
    </row>
    <row r="594" ht="14.100000000000001" customHeight="1">
      <c r="B594" s="20" t="s">
        <v>1335</v>
      </c>
      <c r="C594" s="20" t="s">
        <v>1336</v>
      </c>
      <c r="D594" s="20" t="s">
        <v>1335</v>
      </c>
      <c r="E594" s="20" t="e">
        <f t="array" ref="E594">INDEX(C:C,SMALL(IF(ISNUMBER(FIND(CELL("contents"),$C$2:$C$4852)),ROW($C$2:$C$4852),4^8),ROW(C594)))&amp;""</f>
        <v>#N/A</v>
      </c>
    </row>
    <row r="595" ht="14.100000000000001" customHeight="1">
      <c r="B595" s="20" t="s">
        <v>1337</v>
      </c>
      <c r="C595" s="20" t="s">
        <v>1338</v>
      </c>
      <c r="D595" s="20" t="s">
        <v>1337</v>
      </c>
      <c r="E595" s="20" t="e">
        <f t="array" ref="E595">INDEX(C:C,SMALL(IF(ISNUMBER(FIND(CELL("contents"),$C$2:$C$4852)),ROW($C$2:$C$4852),4^8),ROW(C595)))&amp;""</f>
        <v>#N/A</v>
      </c>
    </row>
    <row r="596" ht="14.100000000000001" customHeight="1">
      <c r="B596" s="20" t="s">
        <v>1339</v>
      </c>
      <c r="C596" s="20" t="s">
        <v>1340</v>
      </c>
      <c r="D596" s="20" t="s">
        <v>1339</v>
      </c>
      <c r="E596" s="20" t="e">
        <f t="array" ref="E596">INDEX(C:C,SMALL(IF(ISNUMBER(FIND(CELL("contents"),$C$2:$C$4852)),ROW($C$2:$C$4852),4^8),ROW(C596)))&amp;""</f>
        <v>#N/A</v>
      </c>
    </row>
    <row r="597" ht="14.100000000000001" customHeight="1">
      <c r="B597" s="20" t="s">
        <v>1341</v>
      </c>
      <c r="C597" s="20" t="s">
        <v>1342</v>
      </c>
      <c r="D597" s="20" t="s">
        <v>1341</v>
      </c>
      <c r="E597" s="20" t="e">
        <f t="array" ref="E597">INDEX(C:C,SMALL(IF(ISNUMBER(FIND(CELL("contents"),$C$2:$C$4852)),ROW($C$2:$C$4852),4^8),ROW(C597)))&amp;""</f>
        <v>#N/A</v>
      </c>
    </row>
    <row r="598" ht="14.100000000000001" customHeight="1">
      <c r="B598" s="20" t="s">
        <v>1343</v>
      </c>
      <c r="C598" s="20" t="s">
        <v>1344</v>
      </c>
      <c r="D598" s="20" t="s">
        <v>1343</v>
      </c>
      <c r="E598" s="20" t="e">
        <f t="array" ref="E598">INDEX(C:C,SMALL(IF(ISNUMBER(FIND(CELL("contents"),$C$2:$C$4852)),ROW($C$2:$C$4852),4^8),ROW(C598)))&amp;""</f>
        <v>#N/A</v>
      </c>
    </row>
    <row r="599" ht="14.100000000000001" customHeight="1">
      <c r="B599" s="20" t="s">
        <v>1345</v>
      </c>
      <c r="C599" s="20" t="s">
        <v>1346</v>
      </c>
      <c r="D599" s="20" t="s">
        <v>1345</v>
      </c>
      <c r="E599" s="20" t="e">
        <f t="array" ref="E599">INDEX(C:C,SMALL(IF(ISNUMBER(FIND(CELL("contents"),$C$2:$C$4852)),ROW($C$2:$C$4852),4^8),ROW(C599)))&amp;""</f>
        <v>#N/A</v>
      </c>
    </row>
    <row r="600" ht="14.100000000000001" customHeight="1">
      <c r="B600" s="20" t="s">
        <v>1347</v>
      </c>
      <c r="C600" s="20" t="s">
        <v>1348</v>
      </c>
      <c r="D600" s="20" t="s">
        <v>1347</v>
      </c>
      <c r="E600" s="20" t="e">
        <f t="array" ref="E600">INDEX(C:C,SMALL(IF(ISNUMBER(FIND(CELL("contents"),$C$2:$C$4852)),ROW($C$2:$C$4852),4^8),ROW(C600)))&amp;""</f>
        <v>#N/A</v>
      </c>
    </row>
    <row r="601" ht="14.100000000000001" customHeight="1">
      <c r="B601" s="20" t="s">
        <v>1349</v>
      </c>
      <c r="C601" s="20" t="s">
        <v>1350</v>
      </c>
      <c r="D601" s="20" t="s">
        <v>1349</v>
      </c>
      <c r="E601" s="20" t="e">
        <f t="array" ref="E601">INDEX(C:C,SMALL(IF(ISNUMBER(FIND(CELL("contents"),$C$2:$C$4852)),ROW($C$2:$C$4852),4^8),ROW(C601)))&amp;""</f>
        <v>#N/A</v>
      </c>
    </row>
    <row r="602" ht="14.100000000000001" customHeight="1">
      <c r="B602" s="20" t="s">
        <v>1351</v>
      </c>
      <c r="C602" s="20" t="s">
        <v>1352</v>
      </c>
      <c r="D602" s="20" t="s">
        <v>1351</v>
      </c>
      <c r="E602" s="20" t="e">
        <f t="array" ref="E602">INDEX(C:C,SMALL(IF(ISNUMBER(FIND(CELL("contents"),$C$2:$C$4852)),ROW($C$2:$C$4852),4^8),ROW(C602)))&amp;""</f>
        <v>#N/A</v>
      </c>
    </row>
    <row r="603" ht="14.100000000000001" customHeight="1">
      <c r="B603" s="20" t="s">
        <v>1353</v>
      </c>
      <c r="C603" s="20" t="s">
        <v>1354</v>
      </c>
      <c r="D603" s="20" t="s">
        <v>1353</v>
      </c>
      <c r="E603" s="20" t="e">
        <f t="array" ref="E603">INDEX(C:C,SMALL(IF(ISNUMBER(FIND(CELL("contents"),$C$2:$C$4852)),ROW($C$2:$C$4852),4^8),ROW(C603)))&amp;""</f>
        <v>#N/A</v>
      </c>
    </row>
    <row r="604" ht="14.100000000000001" customHeight="1">
      <c r="B604" s="20" t="s">
        <v>1355</v>
      </c>
      <c r="C604" s="20" t="s">
        <v>1356</v>
      </c>
      <c r="D604" s="20" t="s">
        <v>1355</v>
      </c>
      <c r="E604" s="20" t="e">
        <f t="array" ref="E604">INDEX(C:C,SMALL(IF(ISNUMBER(FIND(CELL("contents"),$C$2:$C$4852)),ROW($C$2:$C$4852),4^8),ROW(C604)))&amp;""</f>
        <v>#N/A</v>
      </c>
    </row>
    <row r="605" ht="14.100000000000001" customHeight="1">
      <c r="B605" s="20" t="s">
        <v>1357</v>
      </c>
      <c r="C605" s="20" t="s">
        <v>1358</v>
      </c>
      <c r="D605" s="20" t="s">
        <v>1357</v>
      </c>
      <c r="E605" s="20" t="e">
        <f t="array" ref="E605">INDEX(C:C,SMALL(IF(ISNUMBER(FIND(CELL("contents"),$C$2:$C$4852)),ROW($C$2:$C$4852),4^8),ROW(C605)))&amp;""</f>
        <v>#N/A</v>
      </c>
    </row>
    <row r="606" ht="14.100000000000001" customHeight="1">
      <c r="B606" s="20" t="s">
        <v>1359</v>
      </c>
      <c r="C606" s="20" t="s">
        <v>1360</v>
      </c>
      <c r="D606" s="20" t="s">
        <v>1359</v>
      </c>
      <c r="E606" s="20" t="e">
        <f t="array" ref="E606">INDEX(C:C,SMALL(IF(ISNUMBER(FIND(CELL("contents"),$C$2:$C$4852)),ROW($C$2:$C$4852),4^8),ROW(C606)))&amp;""</f>
        <v>#N/A</v>
      </c>
    </row>
    <row r="607" ht="14.100000000000001" customHeight="1">
      <c r="B607" s="20" t="s">
        <v>1361</v>
      </c>
      <c r="C607" s="20" t="s">
        <v>1362</v>
      </c>
      <c r="D607" s="20" t="s">
        <v>1361</v>
      </c>
      <c r="E607" s="20" t="e">
        <f t="array" ref="E607">INDEX(C:C,SMALL(IF(ISNUMBER(FIND(CELL("contents"),$C$2:$C$4852)),ROW($C$2:$C$4852),4^8),ROW(C607)))&amp;""</f>
        <v>#N/A</v>
      </c>
    </row>
    <row r="608" ht="14.100000000000001" customHeight="1">
      <c r="B608" s="20" t="s">
        <v>1363</v>
      </c>
      <c r="C608" s="20" t="s">
        <v>1364</v>
      </c>
      <c r="D608" s="20" t="s">
        <v>1363</v>
      </c>
      <c r="E608" s="20" t="e">
        <f t="array" ref="E608">INDEX(C:C,SMALL(IF(ISNUMBER(FIND(CELL("contents"),$C$2:$C$4852)),ROW($C$2:$C$4852),4^8),ROW(C608)))&amp;""</f>
        <v>#N/A</v>
      </c>
    </row>
    <row r="609" ht="14.100000000000001" customHeight="1">
      <c r="B609" s="20" t="s">
        <v>1365</v>
      </c>
      <c r="C609" s="20" t="s">
        <v>1366</v>
      </c>
      <c r="D609" s="20" t="s">
        <v>1365</v>
      </c>
      <c r="E609" s="20" t="e">
        <f t="array" ref="E609">INDEX(C:C,SMALL(IF(ISNUMBER(FIND(CELL("contents"),$C$2:$C$4852)),ROW($C$2:$C$4852),4^8),ROW(C609)))&amp;""</f>
        <v>#N/A</v>
      </c>
    </row>
    <row r="610" ht="14.100000000000001" customHeight="1">
      <c r="B610" s="20" t="s">
        <v>1367</v>
      </c>
      <c r="C610" s="20" t="s">
        <v>1368</v>
      </c>
      <c r="D610" s="20" t="s">
        <v>1367</v>
      </c>
      <c r="E610" s="20" t="e">
        <f t="array" ref="E610">INDEX(C:C,SMALL(IF(ISNUMBER(FIND(CELL("contents"),$C$2:$C$4852)),ROW($C$2:$C$4852),4^8),ROW(C610)))&amp;""</f>
        <v>#N/A</v>
      </c>
    </row>
    <row r="611" ht="14.100000000000001" customHeight="1">
      <c r="B611" s="20" t="s">
        <v>1369</v>
      </c>
      <c r="C611" s="20" t="s">
        <v>1370</v>
      </c>
      <c r="D611" s="20" t="s">
        <v>1369</v>
      </c>
      <c r="E611" s="20" t="e">
        <f t="array" ref="E611">INDEX(C:C,SMALL(IF(ISNUMBER(FIND(CELL("contents"),$C$2:$C$4852)),ROW($C$2:$C$4852),4^8),ROW(C611)))&amp;""</f>
        <v>#N/A</v>
      </c>
    </row>
    <row r="612" ht="14.100000000000001" customHeight="1">
      <c r="B612" s="20" t="s">
        <v>1371</v>
      </c>
      <c r="C612" s="20" t="s">
        <v>1372</v>
      </c>
      <c r="D612" s="20" t="s">
        <v>1371</v>
      </c>
      <c r="E612" s="20" t="e">
        <f t="array" ref="E612">INDEX(C:C,SMALL(IF(ISNUMBER(FIND(CELL("contents"),$C$2:$C$4852)),ROW($C$2:$C$4852),4^8),ROW(C612)))&amp;""</f>
        <v>#N/A</v>
      </c>
    </row>
    <row r="613" ht="14.100000000000001" customHeight="1">
      <c r="B613" s="20" t="s">
        <v>1373</v>
      </c>
      <c r="C613" s="20" t="s">
        <v>1374</v>
      </c>
      <c r="D613" s="20" t="s">
        <v>1373</v>
      </c>
      <c r="E613" s="20" t="e">
        <f t="array" ref="E613">INDEX(C:C,SMALL(IF(ISNUMBER(FIND(CELL("contents"),$C$2:$C$4852)),ROW($C$2:$C$4852),4^8),ROW(C613)))&amp;""</f>
        <v>#N/A</v>
      </c>
    </row>
    <row r="614" ht="14.100000000000001" customHeight="1">
      <c r="B614" s="20" t="s">
        <v>1375</v>
      </c>
      <c r="C614" s="20" t="s">
        <v>1376</v>
      </c>
      <c r="D614" s="20" t="s">
        <v>1375</v>
      </c>
      <c r="E614" s="20" t="e">
        <f t="array" ref="E614">INDEX(C:C,SMALL(IF(ISNUMBER(FIND(CELL("contents"),$C$2:$C$4852)),ROW($C$2:$C$4852),4^8),ROW(C614)))&amp;""</f>
        <v>#N/A</v>
      </c>
    </row>
    <row r="615" ht="14.100000000000001" customHeight="1">
      <c r="B615" s="20" t="s">
        <v>1377</v>
      </c>
      <c r="C615" s="20" t="s">
        <v>1378</v>
      </c>
      <c r="D615" s="20" t="s">
        <v>1377</v>
      </c>
      <c r="E615" s="20" t="e">
        <f t="array" ref="E615">INDEX(C:C,SMALL(IF(ISNUMBER(FIND(CELL("contents"),$C$2:$C$4852)),ROW($C$2:$C$4852),4^8),ROW(C615)))&amp;""</f>
        <v>#N/A</v>
      </c>
    </row>
    <row r="616" ht="14.100000000000001" customHeight="1">
      <c r="B616" s="20" t="s">
        <v>1379</v>
      </c>
      <c r="C616" s="20" t="s">
        <v>1380</v>
      </c>
      <c r="D616" s="20" t="s">
        <v>1379</v>
      </c>
      <c r="E616" s="20" t="e">
        <f t="array" ref="E616">INDEX(C:C,SMALL(IF(ISNUMBER(FIND(CELL("contents"),$C$2:$C$4852)),ROW($C$2:$C$4852),4^8),ROW(C616)))&amp;""</f>
        <v>#N/A</v>
      </c>
    </row>
    <row r="617" ht="14.100000000000001" customHeight="1">
      <c r="B617" s="20" t="s">
        <v>1381</v>
      </c>
      <c r="C617" s="20" t="s">
        <v>1382</v>
      </c>
      <c r="D617" s="20" t="s">
        <v>1381</v>
      </c>
      <c r="E617" s="20" t="e">
        <f t="array" ref="E617">INDEX(C:C,SMALL(IF(ISNUMBER(FIND(CELL("contents"),$C$2:$C$4852)),ROW($C$2:$C$4852),4^8),ROW(C617)))&amp;""</f>
        <v>#N/A</v>
      </c>
    </row>
    <row r="618" ht="14.100000000000001" customHeight="1">
      <c r="B618" s="20" t="s">
        <v>1383</v>
      </c>
      <c r="C618" s="20" t="s">
        <v>1384</v>
      </c>
      <c r="D618" s="20" t="s">
        <v>1383</v>
      </c>
      <c r="E618" s="20" t="e">
        <f t="array" ref="E618">INDEX(C:C,SMALL(IF(ISNUMBER(FIND(CELL("contents"),$C$2:$C$4852)),ROW($C$2:$C$4852),4^8),ROW(C618)))&amp;""</f>
        <v>#N/A</v>
      </c>
    </row>
    <row r="619" ht="14.100000000000001" customHeight="1">
      <c r="B619" s="20" t="s">
        <v>1385</v>
      </c>
      <c r="C619" s="20" t="s">
        <v>1386</v>
      </c>
      <c r="D619" s="20" t="s">
        <v>1385</v>
      </c>
      <c r="E619" s="20" t="e">
        <f t="array" ref="E619">INDEX(C:C,SMALL(IF(ISNUMBER(FIND(CELL("contents"),$C$2:$C$4852)),ROW($C$2:$C$4852),4^8),ROW(C619)))&amp;""</f>
        <v>#N/A</v>
      </c>
    </row>
    <row r="620" ht="14.100000000000001" customHeight="1">
      <c r="B620" s="20" t="s">
        <v>1387</v>
      </c>
      <c r="C620" s="20" t="s">
        <v>1388</v>
      </c>
      <c r="D620" s="20" t="s">
        <v>1387</v>
      </c>
      <c r="E620" s="20" t="e">
        <f t="array" ref="E620">INDEX(C:C,SMALL(IF(ISNUMBER(FIND(CELL("contents"),$C$2:$C$4852)),ROW($C$2:$C$4852),4^8),ROW(C620)))&amp;""</f>
        <v>#N/A</v>
      </c>
    </row>
    <row r="621" ht="14.100000000000001" customHeight="1">
      <c r="B621" s="20" t="s">
        <v>1389</v>
      </c>
      <c r="C621" s="20" t="s">
        <v>1390</v>
      </c>
      <c r="D621" s="20" t="s">
        <v>1389</v>
      </c>
      <c r="E621" s="20" t="e">
        <f t="array" ref="E621">INDEX(C:C,SMALL(IF(ISNUMBER(FIND(CELL("contents"),$C$2:$C$4852)),ROW($C$2:$C$4852),4^8),ROW(C621)))&amp;""</f>
        <v>#N/A</v>
      </c>
    </row>
    <row r="622" ht="14.100000000000001" customHeight="1">
      <c r="B622" s="20" t="s">
        <v>1391</v>
      </c>
      <c r="C622" s="20" t="s">
        <v>1392</v>
      </c>
      <c r="D622" s="20" t="s">
        <v>1391</v>
      </c>
      <c r="E622" s="20" t="e">
        <f t="array" ref="E622">INDEX(C:C,SMALL(IF(ISNUMBER(FIND(CELL("contents"),$C$2:$C$4852)),ROW($C$2:$C$4852),4^8),ROW(C622)))&amp;""</f>
        <v>#N/A</v>
      </c>
    </row>
    <row r="623" ht="14.100000000000001" customHeight="1">
      <c r="B623" s="20" t="s">
        <v>1393</v>
      </c>
      <c r="C623" s="20" t="s">
        <v>1394</v>
      </c>
      <c r="D623" s="20" t="s">
        <v>1393</v>
      </c>
      <c r="E623" s="20" t="e">
        <f t="array" ref="E623">INDEX(C:C,SMALL(IF(ISNUMBER(FIND(CELL("contents"),$C$2:$C$4852)),ROW($C$2:$C$4852),4^8),ROW(C623)))&amp;""</f>
        <v>#N/A</v>
      </c>
    </row>
    <row r="624" ht="14.100000000000001" customHeight="1">
      <c r="B624" s="20" t="s">
        <v>1395</v>
      </c>
      <c r="C624" s="20" t="s">
        <v>1396</v>
      </c>
      <c r="D624" s="20" t="s">
        <v>1395</v>
      </c>
      <c r="E624" s="20" t="e">
        <f t="array" ref="E624">INDEX(C:C,SMALL(IF(ISNUMBER(FIND(CELL("contents"),$C$2:$C$4852)),ROW($C$2:$C$4852),4^8),ROW(C624)))&amp;""</f>
        <v>#N/A</v>
      </c>
    </row>
    <row r="625" ht="14.100000000000001" customHeight="1">
      <c r="B625" s="20" t="s">
        <v>1397</v>
      </c>
      <c r="C625" s="20" t="s">
        <v>1398</v>
      </c>
      <c r="D625" s="20" t="s">
        <v>1397</v>
      </c>
      <c r="E625" s="20" t="e">
        <f t="array" ref="E625">INDEX(C:C,SMALL(IF(ISNUMBER(FIND(CELL("contents"),$C$2:$C$4852)),ROW($C$2:$C$4852),4^8),ROW(C625)))&amp;""</f>
        <v>#N/A</v>
      </c>
    </row>
    <row r="626" ht="14.100000000000001" customHeight="1">
      <c r="B626" s="20" t="s">
        <v>1399</v>
      </c>
      <c r="C626" s="20" t="s">
        <v>1400</v>
      </c>
      <c r="D626" s="20" t="s">
        <v>1399</v>
      </c>
      <c r="E626" s="20" t="e">
        <f t="array" ref="E626">INDEX(C:C,SMALL(IF(ISNUMBER(FIND(CELL("contents"),$C$2:$C$4852)),ROW($C$2:$C$4852),4^8),ROW(C626)))&amp;""</f>
        <v>#N/A</v>
      </c>
    </row>
    <row r="627" ht="14.100000000000001" customHeight="1">
      <c r="B627" s="20" t="s">
        <v>1401</v>
      </c>
      <c r="C627" s="20" t="s">
        <v>1402</v>
      </c>
      <c r="D627" s="20" t="s">
        <v>1401</v>
      </c>
      <c r="E627" s="20" t="e">
        <f t="array" ref="E627">INDEX(C:C,SMALL(IF(ISNUMBER(FIND(CELL("contents"),$C$2:$C$4852)),ROW($C$2:$C$4852),4^8),ROW(C627)))&amp;""</f>
        <v>#N/A</v>
      </c>
    </row>
    <row r="628" ht="14.100000000000001" customHeight="1">
      <c r="B628" s="20" t="s">
        <v>1403</v>
      </c>
      <c r="C628" s="20" t="s">
        <v>1404</v>
      </c>
      <c r="D628" s="20" t="s">
        <v>1403</v>
      </c>
      <c r="E628" s="20" t="e">
        <f t="array" ref="E628">INDEX(C:C,SMALL(IF(ISNUMBER(FIND(CELL("contents"),$C$2:$C$4852)),ROW($C$2:$C$4852),4^8),ROW(C628)))&amp;""</f>
        <v>#N/A</v>
      </c>
    </row>
    <row r="629" ht="14.100000000000001" customHeight="1">
      <c r="B629" s="20" t="s">
        <v>1405</v>
      </c>
      <c r="C629" s="20" t="s">
        <v>1406</v>
      </c>
      <c r="D629" s="20" t="s">
        <v>1405</v>
      </c>
      <c r="E629" s="20" t="e">
        <f t="array" ref="E629">INDEX(C:C,SMALL(IF(ISNUMBER(FIND(CELL("contents"),$C$2:$C$4852)),ROW($C$2:$C$4852),4^8),ROW(C629)))&amp;""</f>
        <v>#N/A</v>
      </c>
    </row>
    <row r="630" ht="14.100000000000001" customHeight="1">
      <c r="B630" s="20" t="s">
        <v>1407</v>
      </c>
      <c r="C630" s="20" t="s">
        <v>1408</v>
      </c>
      <c r="D630" s="20" t="s">
        <v>1407</v>
      </c>
      <c r="E630" s="20" t="e">
        <f t="array" ref="E630">INDEX(C:C,SMALL(IF(ISNUMBER(FIND(CELL("contents"),$C$2:$C$4852)),ROW($C$2:$C$4852),4^8),ROW(C630)))&amp;""</f>
        <v>#N/A</v>
      </c>
    </row>
    <row r="631" ht="14.100000000000001" customHeight="1">
      <c r="B631" s="20" t="s">
        <v>1409</v>
      </c>
      <c r="C631" s="20" t="s">
        <v>1410</v>
      </c>
      <c r="D631" s="20" t="s">
        <v>1409</v>
      </c>
      <c r="E631" s="20" t="e">
        <f t="array" ref="E631">INDEX(C:C,SMALL(IF(ISNUMBER(FIND(CELL("contents"),$C$2:$C$4852)),ROW($C$2:$C$4852),4^8),ROW(C631)))&amp;""</f>
        <v>#N/A</v>
      </c>
    </row>
    <row r="632" ht="14.100000000000001" customHeight="1">
      <c r="B632" s="20" t="s">
        <v>1411</v>
      </c>
      <c r="C632" s="20" t="s">
        <v>1412</v>
      </c>
      <c r="D632" s="20" t="s">
        <v>1411</v>
      </c>
      <c r="E632" s="20" t="e">
        <f t="array" ref="E632">INDEX(C:C,SMALL(IF(ISNUMBER(FIND(CELL("contents"),$C$2:$C$4852)),ROW($C$2:$C$4852),4^8),ROW(C632)))&amp;""</f>
        <v>#N/A</v>
      </c>
    </row>
    <row r="633" ht="14.100000000000001" customHeight="1">
      <c r="B633" s="20" t="s">
        <v>1413</v>
      </c>
      <c r="C633" s="20" t="s">
        <v>1414</v>
      </c>
      <c r="D633" s="20" t="s">
        <v>1413</v>
      </c>
      <c r="E633" s="20" t="e">
        <f t="array" ref="E633">INDEX(C:C,SMALL(IF(ISNUMBER(FIND(CELL("contents"),$C$2:$C$4852)),ROW($C$2:$C$4852),4^8),ROW(C633)))&amp;""</f>
        <v>#N/A</v>
      </c>
    </row>
    <row r="634" ht="14.100000000000001" customHeight="1">
      <c r="B634" s="20" t="s">
        <v>1415</v>
      </c>
      <c r="C634" s="20" t="s">
        <v>1416</v>
      </c>
      <c r="D634" s="20" t="s">
        <v>1415</v>
      </c>
      <c r="E634" s="20" t="e">
        <f t="array" ref="E634">INDEX(C:C,SMALL(IF(ISNUMBER(FIND(CELL("contents"),$C$2:$C$4852)),ROW($C$2:$C$4852),4^8),ROW(C634)))&amp;""</f>
        <v>#N/A</v>
      </c>
    </row>
    <row r="635" ht="14.100000000000001" customHeight="1">
      <c r="B635" s="20" t="s">
        <v>1417</v>
      </c>
      <c r="C635" s="20" t="s">
        <v>1418</v>
      </c>
      <c r="D635" s="20" t="s">
        <v>1417</v>
      </c>
      <c r="E635" s="20" t="e">
        <f t="array" ref="E635">INDEX(C:C,SMALL(IF(ISNUMBER(FIND(CELL("contents"),$C$2:$C$4852)),ROW($C$2:$C$4852),4^8),ROW(C635)))&amp;""</f>
        <v>#N/A</v>
      </c>
    </row>
    <row r="636" ht="14.100000000000001" customHeight="1">
      <c r="B636" s="20" t="s">
        <v>1419</v>
      </c>
      <c r="C636" s="20" t="s">
        <v>1420</v>
      </c>
      <c r="D636" s="20" t="s">
        <v>1419</v>
      </c>
      <c r="E636" s="20" t="e">
        <f t="array" ref="E636">INDEX(C:C,SMALL(IF(ISNUMBER(FIND(CELL("contents"),$C$2:$C$4852)),ROW($C$2:$C$4852),4^8),ROW(C636)))&amp;""</f>
        <v>#N/A</v>
      </c>
    </row>
    <row r="637" ht="14.100000000000001" customHeight="1">
      <c r="B637" s="20" t="s">
        <v>1421</v>
      </c>
      <c r="C637" s="20" t="s">
        <v>1422</v>
      </c>
      <c r="D637" s="20" t="s">
        <v>1421</v>
      </c>
      <c r="E637" s="20" t="e">
        <f t="array" ref="E637">INDEX(C:C,SMALL(IF(ISNUMBER(FIND(CELL("contents"),$C$2:$C$4852)),ROW($C$2:$C$4852),4^8),ROW(C637)))&amp;""</f>
        <v>#N/A</v>
      </c>
    </row>
    <row r="638" ht="14.100000000000001" customHeight="1">
      <c r="B638" s="20" t="s">
        <v>1423</v>
      </c>
      <c r="C638" s="20" t="s">
        <v>1424</v>
      </c>
      <c r="D638" s="20" t="s">
        <v>1423</v>
      </c>
      <c r="E638" s="20" t="e">
        <f t="array" ref="E638">INDEX(C:C,SMALL(IF(ISNUMBER(FIND(CELL("contents"),$C$2:$C$4852)),ROW($C$2:$C$4852),4^8),ROW(C638)))&amp;""</f>
        <v>#N/A</v>
      </c>
    </row>
    <row r="639" ht="14.100000000000001" customHeight="1">
      <c r="B639" s="20" t="s">
        <v>1425</v>
      </c>
      <c r="C639" s="20" t="s">
        <v>1426</v>
      </c>
      <c r="D639" s="20" t="s">
        <v>1425</v>
      </c>
      <c r="E639" s="20" t="e">
        <f t="array" ref="E639">INDEX(C:C,SMALL(IF(ISNUMBER(FIND(CELL("contents"),$C$2:$C$4852)),ROW($C$2:$C$4852),4^8),ROW(C639)))&amp;""</f>
        <v>#N/A</v>
      </c>
    </row>
    <row r="640" ht="14.100000000000001" customHeight="1">
      <c r="B640" s="20" t="s">
        <v>1427</v>
      </c>
      <c r="C640" s="20" t="s">
        <v>1428</v>
      </c>
      <c r="D640" s="20" t="s">
        <v>1427</v>
      </c>
      <c r="E640" s="20" t="e">
        <f t="array" ref="E640">INDEX(C:C,SMALL(IF(ISNUMBER(FIND(CELL("contents"),$C$2:$C$4852)),ROW($C$2:$C$4852),4^8),ROW(C640)))&amp;""</f>
        <v>#N/A</v>
      </c>
    </row>
    <row r="641" ht="14.100000000000001" customHeight="1">
      <c r="B641" s="20" t="s">
        <v>1429</v>
      </c>
      <c r="C641" s="20" t="s">
        <v>1430</v>
      </c>
      <c r="D641" s="20" t="s">
        <v>1429</v>
      </c>
      <c r="E641" s="20" t="e">
        <f t="array" ref="E641">INDEX(C:C,SMALL(IF(ISNUMBER(FIND(CELL("contents"),$C$2:$C$4852)),ROW($C$2:$C$4852),4^8),ROW(C641)))&amp;""</f>
        <v>#N/A</v>
      </c>
    </row>
    <row r="642" ht="14.100000000000001" customHeight="1">
      <c r="B642" s="20" t="s">
        <v>1431</v>
      </c>
      <c r="C642" s="20" t="s">
        <v>1432</v>
      </c>
      <c r="D642" s="20" t="s">
        <v>1431</v>
      </c>
      <c r="E642" s="20" t="e">
        <f t="array" ref="E642">INDEX(C:C,SMALL(IF(ISNUMBER(FIND(CELL("contents"),$C$2:$C$4852)),ROW($C$2:$C$4852),4^8),ROW(C642)))&amp;""</f>
        <v>#N/A</v>
      </c>
    </row>
    <row r="643" ht="14.100000000000001" customHeight="1">
      <c r="B643" s="20" t="s">
        <v>1433</v>
      </c>
      <c r="C643" s="20" t="s">
        <v>1434</v>
      </c>
      <c r="D643" s="20" t="s">
        <v>1433</v>
      </c>
      <c r="E643" s="20" t="e">
        <f t="array" ref="E643">INDEX(C:C,SMALL(IF(ISNUMBER(FIND(CELL("contents"),$C$2:$C$4852)),ROW($C$2:$C$4852),4^8),ROW(C643)))&amp;""</f>
        <v>#N/A</v>
      </c>
    </row>
    <row r="644" ht="14.100000000000001" customHeight="1">
      <c r="B644" s="20" t="s">
        <v>1435</v>
      </c>
      <c r="C644" s="20" t="s">
        <v>1436</v>
      </c>
      <c r="D644" s="20" t="s">
        <v>1435</v>
      </c>
      <c r="E644" s="20" t="e">
        <f t="array" ref="E644">INDEX(C:C,SMALL(IF(ISNUMBER(FIND(CELL("contents"),$C$2:$C$4852)),ROW($C$2:$C$4852),4^8),ROW(C644)))&amp;""</f>
        <v>#N/A</v>
      </c>
    </row>
    <row r="645" ht="14.100000000000001" customHeight="1">
      <c r="B645" s="20" t="s">
        <v>1437</v>
      </c>
      <c r="C645" s="20" t="s">
        <v>1438</v>
      </c>
      <c r="D645" s="20" t="s">
        <v>1437</v>
      </c>
      <c r="E645" s="20" t="e">
        <f t="array" ref="E645">INDEX(C:C,SMALL(IF(ISNUMBER(FIND(CELL("contents"),$C$2:$C$4852)),ROW($C$2:$C$4852),4^8),ROW(C645)))&amp;""</f>
        <v>#N/A</v>
      </c>
    </row>
    <row r="646" ht="14.100000000000001" customHeight="1">
      <c r="B646" s="20" t="s">
        <v>1439</v>
      </c>
      <c r="C646" s="20" t="s">
        <v>1440</v>
      </c>
      <c r="D646" s="20" t="s">
        <v>1439</v>
      </c>
      <c r="E646" s="20" t="e">
        <f t="array" ref="E646">INDEX(C:C,SMALL(IF(ISNUMBER(FIND(CELL("contents"),$C$2:$C$4852)),ROW($C$2:$C$4852),4^8),ROW(C646)))&amp;""</f>
        <v>#N/A</v>
      </c>
    </row>
    <row r="647" ht="14.100000000000001" customHeight="1">
      <c r="B647" s="20" t="s">
        <v>1441</v>
      </c>
      <c r="C647" s="20" t="s">
        <v>1442</v>
      </c>
      <c r="D647" s="20" t="s">
        <v>1441</v>
      </c>
      <c r="E647" s="20" t="e">
        <f t="array" ref="E647">INDEX(C:C,SMALL(IF(ISNUMBER(FIND(CELL("contents"),$C$2:$C$4852)),ROW($C$2:$C$4852),4^8),ROW(C647)))&amp;""</f>
        <v>#N/A</v>
      </c>
    </row>
    <row r="648" ht="14.100000000000001" customHeight="1">
      <c r="B648" s="20" t="s">
        <v>1443</v>
      </c>
      <c r="C648" s="20" t="s">
        <v>1444</v>
      </c>
      <c r="D648" s="20" t="s">
        <v>1443</v>
      </c>
      <c r="E648" s="20" t="e">
        <f t="array" ref="E648">INDEX(C:C,SMALL(IF(ISNUMBER(FIND(CELL("contents"),$C$2:$C$4852)),ROW($C$2:$C$4852),4^8),ROW(C648)))&amp;""</f>
        <v>#N/A</v>
      </c>
    </row>
    <row r="649" ht="14.100000000000001" customHeight="1">
      <c r="B649" s="20" t="s">
        <v>1445</v>
      </c>
      <c r="C649" s="20" t="s">
        <v>1446</v>
      </c>
      <c r="D649" s="20" t="s">
        <v>1445</v>
      </c>
      <c r="E649" s="20" t="e">
        <f t="array" ref="E649">INDEX(C:C,SMALL(IF(ISNUMBER(FIND(CELL("contents"),$C$2:$C$4852)),ROW($C$2:$C$4852),4^8),ROW(C649)))&amp;""</f>
        <v>#N/A</v>
      </c>
    </row>
    <row r="650" ht="14.100000000000001" customHeight="1">
      <c r="B650" s="20" t="s">
        <v>1447</v>
      </c>
      <c r="C650" s="20" t="s">
        <v>1448</v>
      </c>
      <c r="D650" s="20" t="s">
        <v>1447</v>
      </c>
      <c r="E650" s="20" t="e">
        <f t="array" ref="E650">INDEX(C:C,SMALL(IF(ISNUMBER(FIND(CELL("contents"),$C$2:$C$4852)),ROW($C$2:$C$4852),4^8),ROW(C650)))&amp;""</f>
        <v>#N/A</v>
      </c>
    </row>
    <row r="651" ht="14.100000000000001" customHeight="1">
      <c r="B651" s="20" t="s">
        <v>1449</v>
      </c>
      <c r="C651" s="20" t="s">
        <v>1450</v>
      </c>
      <c r="D651" s="20" t="s">
        <v>1449</v>
      </c>
      <c r="E651" s="20" t="e">
        <f t="array" ref="E651">INDEX(C:C,SMALL(IF(ISNUMBER(FIND(CELL("contents"),$C$2:$C$4852)),ROW($C$2:$C$4852),4^8),ROW(C651)))&amp;""</f>
        <v>#N/A</v>
      </c>
    </row>
    <row r="652" ht="14.100000000000001" customHeight="1">
      <c r="B652" s="20" t="s">
        <v>1451</v>
      </c>
      <c r="C652" s="20" t="s">
        <v>1452</v>
      </c>
      <c r="D652" s="20" t="s">
        <v>1451</v>
      </c>
      <c r="E652" s="20" t="e">
        <f t="array" ref="E652">INDEX(C:C,SMALL(IF(ISNUMBER(FIND(CELL("contents"),$C$2:$C$4852)),ROW($C$2:$C$4852),4^8),ROW(C652)))&amp;""</f>
        <v>#N/A</v>
      </c>
    </row>
    <row r="653" ht="14.100000000000001" customHeight="1">
      <c r="B653" s="20" t="s">
        <v>1453</v>
      </c>
      <c r="C653" s="20" t="s">
        <v>1454</v>
      </c>
      <c r="D653" s="20" t="s">
        <v>1453</v>
      </c>
      <c r="E653" s="20" t="e">
        <f t="array" ref="E653">INDEX(C:C,SMALL(IF(ISNUMBER(FIND(CELL("contents"),$C$2:$C$4852)),ROW($C$2:$C$4852),4^8),ROW(C653)))&amp;""</f>
        <v>#N/A</v>
      </c>
    </row>
    <row r="654" ht="14.100000000000001" customHeight="1">
      <c r="B654" s="20" t="s">
        <v>1455</v>
      </c>
      <c r="C654" s="20" t="s">
        <v>1456</v>
      </c>
      <c r="D654" s="20" t="s">
        <v>1455</v>
      </c>
      <c r="E654" s="20" t="e">
        <f t="array" ref="E654">INDEX(C:C,SMALL(IF(ISNUMBER(FIND(CELL("contents"),$C$2:$C$4852)),ROW($C$2:$C$4852),4^8),ROW(C654)))&amp;""</f>
        <v>#N/A</v>
      </c>
    </row>
    <row r="655" ht="14.100000000000001" customHeight="1">
      <c r="B655" s="20" t="s">
        <v>1457</v>
      </c>
      <c r="C655" s="20" t="s">
        <v>1458</v>
      </c>
      <c r="D655" s="20" t="s">
        <v>1457</v>
      </c>
      <c r="E655" s="20" t="e">
        <f t="array" ref="E655">INDEX(C:C,SMALL(IF(ISNUMBER(FIND(CELL("contents"),$C$2:$C$4852)),ROW($C$2:$C$4852),4^8),ROW(C655)))&amp;""</f>
        <v>#N/A</v>
      </c>
    </row>
    <row r="656" ht="14.100000000000001" customHeight="1">
      <c r="B656" s="20" t="s">
        <v>1459</v>
      </c>
      <c r="C656" s="20" t="s">
        <v>1460</v>
      </c>
      <c r="D656" s="20" t="s">
        <v>1459</v>
      </c>
      <c r="E656" s="20" t="e">
        <f t="array" ref="E656">INDEX(C:C,SMALL(IF(ISNUMBER(FIND(CELL("contents"),$C$2:$C$4852)),ROW($C$2:$C$4852),4^8),ROW(C656)))&amp;""</f>
        <v>#N/A</v>
      </c>
    </row>
    <row r="657" ht="14.100000000000001" customHeight="1">
      <c r="B657" s="20" t="s">
        <v>1461</v>
      </c>
      <c r="C657" s="20" t="s">
        <v>1462</v>
      </c>
      <c r="D657" s="20" t="s">
        <v>1461</v>
      </c>
      <c r="E657" s="20" t="e">
        <f t="array" ref="E657">INDEX(C:C,SMALL(IF(ISNUMBER(FIND(CELL("contents"),$C$2:$C$4852)),ROW($C$2:$C$4852),4^8),ROW(C657)))&amp;""</f>
        <v>#N/A</v>
      </c>
    </row>
    <row r="658" ht="14.100000000000001" customHeight="1">
      <c r="B658" s="20" t="s">
        <v>1463</v>
      </c>
      <c r="C658" s="20" t="s">
        <v>1464</v>
      </c>
      <c r="D658" s="20" t="s">
        <v>1463</v>
      </c>
      <c r="E658" s="20" t="e">
        <f t="array" ref="E658">INDEX(C:C,SMALL(IF(ISNUMBER(FIND(CELL("contents"),$C$2:$C$4852)),ROW($C$2:$C$4852),4^8),ROW(C658)))&amp;""</f>
        <v>#N/A</v>
      </c>
    </row>
    <row r="659" ht="14.100000000000001" customHeight="1">
      <c r="B659" s="20" t="s">
        <v>1465</v>
      </c>
      <c r="C659" s="20" t="s">
        <v>1466</v>
      </c>
      <c r="D659" s="20" t="s">
        <v>1465</v>
      </c>
      <c r="E659" s="20" t="e">
        <f t="array" ref="E659">INDEX(C:C,SMALL(IF(ISNUMBER(FIND(CELL("contents"),$C$2:$C$4852)),ROW($C$2:$C$4852),4^8),ROW(C659)))&amp;""</f>
        <v>#N/A</v>
      </c>
    </row>
    <row r="660" ht="14.100000000000001" customHeight="1">
      <c r="B660" s="20" t="s">
        <v>1467</v>
      </c>
      <c r="C660" s="20" t="s">
        <v>1468</v>
      </c>
      <c r="D660" s="20" t="s">
        <v>1467</v>
      </c>
      <c r="E660" s="20" t="e">
        <f t="array" ref="E660">INDEX(C:C,SMALL(IF(ISNUMBER(FIND(CELL("contents"),$C$2:$C$4852)),ROW($C$2:$C$4852),4^8),ROW(C660)))&amp;""</f>
        <v>#N/A</v>
      </c>
    </row>
    <row r="661" ht="14.100000000000001" customHeight="1">
      <c r="B661" s="20" t="s">
        <v>1469</v>
      </c>
      <c r="C661" s="20" t="s">
        <v>1470</v>
      </c>
      <c r="D661" s="20" t="s">
        <v>1469</v>
      </c>
      <c r="E661" s="20" t="e">
        <f t="array" ref="E661">INDEX(C:C,SMALL(IF(ISNUMBER(FIND(CELL("contents"),$C$2:$C$4852)),ROW($C$2:$C$4852),4^8),ROW(C661)))&amp;""</f>
        <v>#N/A</v>
      </c>
    </row>
    <row r="662" ht="14.100000000000001" customHeight="1">
      <c r="B662" s="20" t="s">
        <v>1471</v>
      </c>
      <c r="C662" s="20" t="s">
        <v>1472</v>
      </c>
      <c r="D662" s="20" t="s">
        <v>1471</v>
      </c>
      <c r="E662" s="20" t="e">
        <f t="array" ref="E662">INDEX(C:C,SMALL(IF(ISNUMBER(FIND(CELL("contents"),$C$2:$C$4852)),ROW($C$2:$C$4852),4^8),ROW(C662)))&amp;""</f>
        <v>#N/A</v>
      </c>
    </row>
    <row r="663" ht="14.100000000000001" customHeight="1">
      <c r="B663" s="20" t="s">
        <v>1473</v>
      </c>
      <c r="C663" s="20" t="s">
        <v>1474</v>
      </c>
      <c r="D663" s="20" t="s">
        <v>1473</v>
      </c>
      <c r="E663" s="20" t="e">
        <f t="array" ref="E663">INDEX(C:C,SMALL(IF(ISNUMBER(FIND(CELL("contents"),$C$2:$C$4852)),ROW($C$2:$C$4852),4^8),ROW(C663)))&amp;""</f>
        <v>#N/A</v>
      </c>
    </row>
    <row r="664" ht="14.100000000000001" customHeight="1">
      <c r="B664" s="20" t="s">
        <v>1475</v>
      </c>
      <c r="C664" s="20" t="s">
        <v>1476</v>
      </c>
      <c r="D664" s="20" t="s">
        <v>1475</v>
      </c>
      <c r="E664" s="20" t="e">
        <f t="array" ref="E664">INDEX(C:C,SMALL(IF(ISNUMBER(FIND(CELL("contents"),$C$2:$C$4852)),ROW($C$2:$C$4852),4^8),ROW(C664)))&amp;""</f>
        <v>#N/A</v>
      </c>
    </row>
    <row r="665" ht="14.100000000000001" customHeight="1">
      <c r="B665" s="20" t="s">
        <v>1477</v>
      </c>
      <c r="C665" s="20" t="s">
        <v>1478</v>
      </c>
      <c r="D665" s="20" t="s">
        <v>1477</v>
      </c>
      <c r="E665" s="20" t="e">
        <f t="array" ref="E665">INDEX(C:C,SMALL(IF(ISNUMBER(FIND(CELL("contents"),$C$2:$C$4852)),ROW($C$2:$C$4852),4^8),ROW(C665)))&amp;""</f>
        <v>#N/A</v>
      </c>
    </row>
    <row r="666" ht="14.100000000000001" customHeight="1">
      <c r="B666" s="20" t="s">
        <v>1479</v>
      </c>
      <c r="C666" s="20" t="s">
        <v>1480</v>
      </c>
      <c r="D666" s="20" t="s">
        <v>1479</v>
      </c>
      <c r="E666" s="20" t="e">
        <f t="array" ref="E666">INDEX(C:C,SMALL(IF(ISNUMBER(FIND(CELL("contents"),$C$2:$C$4852)),ROW($C$2:$C$4852),4^8),ROW(C666)))&amp;""</f>
        <v>#N/A</v>
      </c>
    </row>
    <row r="667" ht="14.100000000000001" customHeight="1">
      <c r="B667" s="20" t="s">
        <v>1481</v>
      </c>
      <c r="C667" s="20" t="s">
        <v>1482</v>
      </c>
      <c r="D667" s="20" t="s">
        <v>1481</v>
      </c>
      <c r="E667" s="20" t="e">
        <f t="array" ref="E667">INDEX(C:C,SMALL(IF(ISNUMBER(FIND(CELL("contents"),$C$2:$C$4852)),ROW($C$2:$C$4852),4^8),ROW(C667)))&amp;""</f>
        <v>#N/A</v>
      </c>
    </row>
    <row r="668" ht="14.100000000000001" customHeight="1">
      <c r="B668" s="20" t="s">
        <v>1483</v>
      </c>
      <c r="C668" s="20" t="s">
        <v>1484</v>
      </c>
      <c r="D668" s="20" t="s">
        <v>1483</v>
      </c>
      <c r="E668" s="20" t="e">
        <f t="array" ref="E668">INDEX(C:C,SMALL(IF(ISNUMBER(FIND(CELL("contents"),$C$2:$C$4852)),ROW($C$2:$C$4852),4^8),ROW(C668)))&amp;""</f>
        <v>#N/A</v>
      </c>
    </row>
    <row r="669" ht="14.100000000000001" customHeight="1">
      <c r="B669" s="20" t="s">
        <v>1485</v>
      </c>
      <c r="C669" s="20" t="s">
        <v>1486</v>
      </c>
      <c r="D669" s="20" t="s">
        <v>1485</v>
      </c>
      <c r="E669" s="20" t="e">
        <f t="array" ref="E669">INDEX(C:C,SMALL(IF(ISNUMBER(FIND(CELL("contents"),$C$2:$C$4852)),ROW($C$2:$C$4852),4^8),ROW(C669)))&amp;""</f>
        <v>#N/A</v>
      </c>
    </row>
    <row r="670" ht="14.100000000000001" customHeight="1">
      <c r="B670" s="20" t="s">
        <v>1487</v>
      </c>
      <c r="C670" s="20" t="s">
        <v>1488</v>
      </c>
      <c r="D670" s="20" t="s">
        <v>1487</v>
      </c>
      <c r="E670" s="20" t="e">
        <f t="array" ref="E670">INDEX(C:C,SMALL(IF(ISNUMBER(FIND(CELL("contents"),$C$2:$C$4852)),ROW($C$2:$C$4852),4^8),ROW(C670)))&amp;""</f>
        <v>#N/A</v>
      </c>
    </row>
    <row r="671" ht="14.100000000000001" customHeight="1">
      <c r="B671" s="20" t="s">
        <v>1489</v>
      </c>
      <c r="C671" s="20" t="s">
        <v>1490</v>
      </c>
      <c r="D671" s="20" t="s">
        <v>1489</v>
      </c>
      <c r="E671" s="20" t="e">
        <f t="array" ref="E671">INDEX(C:C,SMALL(IF(ISNUMBER(FIND(CELL("contents"),$C$2:$C$4852)),ROW($C$2:$C$4852),4^8),ROW(C671)))&amp;""</f>
        <v>#N/A</v>
      </c>
    </row>
    <row r="672" ht="14.100000000000001" customHeight="1">
      <c r="B672" s="20" t="s">
        <v>1491</v>
      </c>
      <c r="C672" s="20" t="s">
        <v>1492</v>
      </c>
      <c r="D672" s="20" t="s">
        <v>1491</v>
      </c>
      <c r="E672" s="20" t="e">
        <f t="array" ref="E672">INDEX(C:C,SMALL(IF(ISNUMBER(FIND(CELL("contents"),$C$2:$C$4852)),ROW($C$2:$C$4852),4^8),ROW(C672)))&amp;""</f>
        <v>#N/A</v>
      </c>
    </row>
    <row r="673" ht="14.100000000000001" customHeight="1">
      <c r="B673" s="20" t="s">
        <v>1493</v>
      </c>
      <c r="C673" s="20" t="s">
        <v>1494</v>
      </c>
      <c r="D673" s="20" t="s">
        <v>1493</v>
      </c>
      <c r="E673" s="20" t="e">
        <f t="array" ref="E673">INDEX(C:C,SMALL(IF(ISNUMBER(FIND(CELL("contents"),$C$2:$C$4852)),ROW($C$2:$C$4852),4^8),ROW(C673)))&amp;""</f>
        <v>#N/A</v>
      </c>
    </row>
    <row r="674" ht="14.100000000000001" customHeight="1">
      <c r="B674" s="20" t="s">
        <v>1495</v>
      </c>
      <c r="C674" s="20" t="s">
        <v>1496</v>
      </c>
      <c r="D674" s="20" t="s">
        <v>1495</v>
      </c>
      <c r="E674" s="20" t="e">
        <f t="array" ref="E674">INDEX(C:C,SMALL(IF(ISNUMBER(FIND(CELL("contents"),$C$2:$C$4852)),ROW($C$2:$C$4852),4^8),ROW(C674)))&amp;""</f>
        <v>#N/A</v>
      </c>
    </row>
    <row r="675" ht="14.100000000000001" customHeight="1">
      <c r="B675" s="20" t="s">
        <v>1497</v>
      </c>
      <c r="C675" s="20" t="s">
        <v>1498</v>
      </c>
      <c r="D675" s="20" t="s">
        <v>1497</v>
      </c>
      <c r="E675" s="20" t="e">
        <f t="array" ref="E675">INDEX(C:C,SMALL(IF(ISNUMBER(FIND(CELL("contents"),$C$2:$C$4852)),ROW($C$2:$C$4852),4^8),ROW(C675)))&amp;""</f>
        <v>#N/A</v>
      </c>
    </row>
    <row r="676" ht="14.100000000000001" customHeight="1">
      <c r="B676" s="20" t="s">
        <v>1499</v>
      </c>
      <c r="C676" s="20" t="s">
        <v>1500</v>
      </c>
      <c r="D676" s="20" t="s">
        <v>1499</v>
      </c>
      <c r="E676" s="20" t="e">
        <f t="array" ref="E676">INDEX(C:C,SMALL(IF(ISNUMBER(FIND(CELL("contents"),$C$2:$C$4852)),ROW($C$2:$C$4852),4^8),ROW(C676)))&amp;""</f>
        <v>#N/A</v>
      </c>
    </row>
    <row r="677" ht="14.100000000000001" customHeight="1">
      <c r="B677" s="20" t="s">
        <v>1501</v>
      </c>
      <c r="C677" s="20" t="s">
        <v>1502</v>
      </c>
      <c r="D677" s="20" t="s">
        <v>1501</v>
      </c>
      <c r="E677" s="20" t="e">
        <f t="array" ref="E677">INDEX(C:C,SMALL(IF(ISNUMBER(FIND(CELL("contents"),$C$2:$C$4852)),ROW($C$2:$C$4852),4^8),ROW(C677)))&amp;""</f>
        <v>#N/A</v>
      </c>
    </row>
    <row r="678" ht="14.100000000000001" customHeight="1">
      <c r="B678" s="20" t="s">
        <v>1503</v>
      </c>
      <c r="C678" s="20" t="s">
        <v>1504</v>
      </c>
      <c r="D678" s="20" t="s">
        <v>1503</v>
      </c>
      <c r="E678" s="20" t="e">
        <f t="array" ref="E678">INDEX(C:C,SMALL(IF(ISNUMBER(FIND(CELL("contents"),$C$2:$C$4852)),ROW($C$2:$C$4852),4^8),ROW(C678)))&amp;""</f>
        <v>#N/A</v>
      </c>
    </row>
    <row r="679" ht="14.100000000000001" customHeight="1">
      <c r="B679" s="20" t="s">
        <v>1505</v>
      </c>
      <c r="C679" s="20" t="s">
        <v>1506</v>
      </c>
      <c r="D679" s="20" t="s">
        <v>1505</v>
      </c>
      <c r="E679" s="20" t="e">
        <f t="array" ref="E679">INDEX(C:C,SMALL(IF(ISNUMBER(FIND(CELL("contents"),$C$2:$C$4852)),ROW($C$2:$C$4852),4^8),ROW(C679)))&amp;""</f>
        <v>#N/A</v>
      </c>
    </row>
    <row r="680" ht="14.100000000000001" customHeight="1">
      <c r="B680" s="20" t="s">
        <v>1507</v>
      </c>
      <c r="C680" s="20" t="s">
        <v>1508</v>
      </c>
      <c r="D680" s="20" t="s">
        <v>1507</v>
      </c>
      <c r="E680" s="20" t="e">
        <f t="array" ref="E680">INDEX(C:C,SMALL(IF(ISNUMBER(FIND(CELL("contents"),$C$2:$C$4852)),ROW($C$2:$C$4852),4^8),ROW(C680)))&amp;""</f>
        <v>#N/A</v>
      </c>
    </row>
    <row r="681" ht="14.100000000000001" customHeight="1">
      <c r="B681" s="20" t="s">
        <v>1509</v>
      </c>
      <c r="C681" s="20" t="s">
        <v>1510</v>
      </c>
      <c r="D681" s="20" t="s">
        <v>1509</v>
      </c>
      <c r="E681" s="20" t="e">
        <f t="array" ref="E681">INDEX(C:C,SMALL(IF(ISNUMBER(FIND(CELL("contents"),$C$2:$C$4852)),ROW($C$2:$C$4852),4^8),ROW(C681)))&amp;""</f>
        <v>#N/A</v>
      </c>
    </row>
    <row r="682" ht="14.100000000000001" customHeight="1">
      <c r="B682" s="20" t="s">
        <v>1511</v>
      </c>
      <c r="C682" s="20" t="s">
        <v>1512</v>
      </c>
      <c r="D682" s="20" t="s">
        <v>1511</v>
      </c>
      <c r="E682" s="20" t="e">
        <f t="array" ref="E682">INDEX(C:C,SMALL(IF(ISNUMBER(FIND(CELL("contents"),$C$2:$C$4852)),ROW($C$2:$C$4852),4^8),ROW(C682)))&amp;""</f>
        <v>#N/A</v>
      </c>
    </row>
    <row r="683" ht="14.100000000000001" customHeight="1">
      <c r="B683" s="20" t="s">
        <v>1513</v>
      </c>
      <c r="C683" s="20" t="s">
        <v>1514</v>
      </c>
      <c r="D683" s="20" t="s">
        <v>1513</v>
      </c>
      <c r="E683" s="20" t="e">
        <f t="array" ref="E683">INDEX(C:C,SMALL(IF(ISNUMBER(FIND(CELL("contents"),$C$2:$C$4852)),ROW($C$2:$C$4852),4^8),ROW(C683)))&amp;""</f>
        <v>#N/A</v>
      </c>
    </row>
    <row r="684" ht="14.100000000000001" customHeight="1">
      <c r="B684" s="20" t="s">
        <v>1515</v>
      </c>
      <c r="C684" s="20" t="s">
        <v>1516</v>
      </c>
      <c r="D684" s="20" t="s">
        <v>1515</v>
      </c>
      <c r="E684" s="20" t="e">
        <f t="array" ref="E684">INDEX(C:C,SMALL(IF(ISNUMBER(FIND(CELL("contents"),$C$2:$C$4852)),ROW($C$2:$C$4852),4^8),ROW(C684)))&amp;""</f>
        <v>#N/A</v>
      </c>
    </row>
    <row r="685" ht="14.100000000000001" customHeight="1">
      <c r="B685" s="20" t="s">
        <v>1517</v>
      </c>
      <c r="C685" s="20" t="s">
        <v>1518</v>
      </c>
      <c r="D685" s="20" t="s">
        <v>1517</v>
      </c>
      <c r="E685" s="20" t="e">
        <f t="array" ref="E685">INDEX(C:C,SMALL(IF(ISNUMBER(FIND(CELL("contents"),$C$2:$C$4852)),ROW($C$2:$C$4852),4^8),ROW(C685)))&amp;""</f>
        <v>#N/A</v>
      </c>
    </row>
    <row r="686" ht="14.100000000000001" customHeight="1">
      <c r="B686" s="20" t="s">
        <v>1519</v>
      </c>
      <c r="C686" s="20" t="s">
        <v>1520</v>
      </c>
      <c r="D686" s="20" t="s">
        <v>1519</v>
      </c>
      <c r="E686" s="20" t="e">
        <f t="array" ref="E686">INDEX(C:C,SMALL(IF(ISNUMBER(FIND(CELL("contents"),$C$2:$C$4852)),ROW($C$2:$C$4852),4^8),ROW(C686)))&amp;""</f>
        <v>#N/A</v>
      </c>
    </row>
    <row r="687" ht="14.100000000000001" customHeight="1">
      <c r="B687" s="20" t="s">
        <v>1521</v>
      </c>
      <c r="C687" s="20" t="s">
        <v>1522</v>
      </c>
      <c r="D687" s="20" t="s">
        <v>1521</v>
      </c>
      <c r="E687" s="20" t="e">
        <f t="array" ref="E687">INDEX(C:C,SMALL(IF(ISNUMBER(FIND(CELL("contents"),$C$2:$C$4852)),ROW($C$2:$C$4852),4^8),ROW(C687)))&amp;""</f>
        <v>#N/A</v>
      </c>
    </row>
    <row r="688" ht="14.100000000000001" customHeight="1">
      <c r="B688" s="20" t="s">
        <v>1523</v>
      </c>
      <c r="C688" s="20" t="s">
        <v>1524</v>
      </c>
      <c r="D688" s="20" t="s">
        <v>1523</v>
      </c>
      <c r="E688" s="20" t="e">
        <f t="array" ref="E688">INDEX(C:C,SMALL(IF(ISNUMBER(FIND(CELL("contents"),$C$2:$C$4852)),ROW($C$2:$C$4852),4^8),ROW(C688)))&amp;""</f>
        <v>#N/A</v>
      </c>
    </row>
    <row r="689" ht="14.100000000000001" customHeight="1">
      <c r="B689" s="20" t="s">
        <v>1525</v>
      </c>
      <c r="C689" s="20" t="s">
        <v>1526</v>
      </c>
      <c r="D689" s="20" t="s">
        <v>1525</v>
      </c>
      <c r="E689" s="20" t="e">
        <f t="array" ref="E689">INDEX(C:C,SMALL(IF(ISNUMBER(FIND(CELL("contents"),$C$2:$C$4852)),ROW($C$2:$C$4852),4^8),ROW(C689)))&amp;""</f>
        <v>#N/A</v>
      </c>
    </row>
    <row r="690" ht="14.100000000000001" customHeight="1">
      <c r="B690" s="20" t="s">
        <v>1527</v>
      </c>
      <c r="C690" s="20" t="s">
        <v>1528</v>
      </c>
      <c r="D690" s="20" t="s">
        <v>1527</v>
      </c>
      <c r="E690" s="20" t="e">
        <f t="array" ref="E690">INDEX(C:C,SMALL(IF(ISNUMBER(FIND(CELL("contents"),$C$2:$C$4852)),ROW($C$2:$C$4852),4^8),ROW(C690)))&amp;""</f>
        <v>#N/A</v>
      </c>
    </row>
    <row r="691" ht="14.100000000000001" customHeight="1">
      <c r="B691" s="20" t="s">
        <v>1529</v>
      </c>
      <c r="C691" s="20" t="s">
        <v>1530</v>
      </c>
      <c r="D691" s="20" t="s">
        <v>1529</v>
      </c>
      <c r="E691" s="20" t="e">
        <f t="array" ref="E691">INDEX(C:C,SMALL(IF(ISNUMBER(FIND(CELL("contents"),$C$2:$C$4852)),ROW($C$2:$C$4852),4^8),ROW(C691)))&amp;""</f>
        <v>#N/A</v>
      </c>
    </row>
    <row r="692" ht="14.100000000000001" customHeight="1">
      <c r="B692" s="20" t="s">
        <v>1531</v>
      </c>
      <c r="C692" s="20" t="s">
        <v>1532</v>
      </c>
      <c r="D692" s="20" t="s">
        <v>1531</v>
      </c>
      <c r="E692" s="20" t="e">
        <f t="array" ref="E692">INDEX(C:C,SMALL(IF(ISNUMBER(FIND(CELL("contents"),$C$2:$C$4852)),ROW($C$2:$C$4852),4^8),ROW(C692)))&amp;""</f>
        <v>#N/A</v>
      </c>
    </row>
    <row r="693" ht="14.100000000000001" customHeight="1">
      <c r="B693" s="20" t="s">
        <v>1533</v>
      </c>
      <c r="C693" s="20" t="s">
        <v>1534</v>
      </c>
      <c r="D693" s="20" t="s">
        <v>1533</v>
      </c>
      <c r="E693" s="20" t="e">
        <f t="array" ref="E693">INDEX(C:C,SMALL(IF(ISNUMBER(FIND(CELL("contents"),$C$2:$C$4852)),ROW($C$2:$C$4852),4^8),ROW(C693)))&amp;""</f>
        <v>#N/A</v>
      </c>
    </row>
    <row r="694" ht="14.100000000000001" customHeight="1">
      <c r="B694" s="20" t="s">
        <v>1535</v>
      </c>
      <c r="C694" s="20" t="s">
        <v>1536</v>
      </c>
      <c r="D694" s="20" t="s">
        <v>1535</v>
      </c>
      <c r="E694" s="20" t="e">
        <f t="array" ref="E694">INDEX(C:C,SMALL(IF(ISNUMBER(FIND(CELL("contents"),$C$2:$C$4852)),ROW($C$2:$C$4852),4^8),ROW(C694)))&amp;""</f>
        <v>#N/A</v>
      </c>
    </row>
    <row r="695" ht="14.100000000000001" customHeight="1">
      <c r="B695" s="20" t="s">
        <v>1537</v>
      </c>
      <c r="C695" s="20" t="s">
        <v>1538</v>
      </c>
      <c r="D695" s="20" t="s">
        <v>1537</v>
      </c>
      <c r="E695" s="20" t="e">
        <f t="array" ref="E695">INDEX(C:C,SMALL(IF(ISNUMBER(FIND(CELL("contents"),$C$2:$C$4852)),ROW($C$2:$C$4852),4^8),ROW(C695)))&amp;""</f>
        <v>#N/A</v>
      </c>
    </row>
    <row r="696" ht="14.100000000000001" customHeight="1">
      <c r="B696" s="20" t="s">
        <v>1539</v>
      </c>
      <c r="C696" s="20" t="s">
        <v>1540</v>
      </c>
      <c r="D696" s="20" t="s">
        <v>1539</v>
      </c>
      <c r="E696" s="20" t="e">
        <f t="array" ref="E696">INDEX(C:C,SMALL(IF(ISNUMBER(FIND(CELL("contents"),$C$2:$C$4852)),ROW($C$2:$C$4852),4^8),ROW(C696)))&amp;""</f>
        <v>#N/A</v>
      </c>
    </row>
    <row r="697" ht="14.100000000000001" customHeight="1">
      <c r="B697" s="20" t="s">
        <v>1541</v>
      </c>
      <c r="C697" s="20" t="s">
        <v>1542</v>
      </c>
      <c r="D697" s="20" t="s">
        <v>1541</v>
      </c>
      <c r="E697" s="20" t="e">
        <f t="array" ref="E697">INDEX(C:C,SMALL(IF(ISNUMBER(FIND(CELL("contents"),$C$2:$C$4852)),ROW($C$2:$C$4852),4^8),ROW(C697)))&amp;""</f>
        <v>#N/A</v>
      </c>
    </row>
    <row r="698" ht="14.100000000000001" customHeight="1">
      <c r="B698" s="20" t="s">
        <v>1543</v>
      </c>
      <c r="C698" s="20" t="s">
        <v>1544</v>
      </c>
      <c r="D698" s="20" t="s">
        <v>1543</v>
      </c>
      <c r="E698" s="20" t="e">
        <f t="array" ref="E698">INDEX(C:C,SMALL(IF(ISNUMBER(FIND(CELL("contents"),$C$2:$C$4852)),ROW($C$2:$C$4852),4^8),ROW(C698)))&amp;""</f>
        <v>#N/A</v>
      </c>
    </row>
    <row r="699" ht="14.100000000000001" customHeight="1">
      <c r="B699" s="20" t="s">
        <v>1545</v>
      </c>
      <c r="C699" s="20" t="s">
        <v>1546</v>
      </c>
      <c r="D699" s="20" t="s">
        <v>1545</v>
      </c>
      <c r="E699" s="20" t="e">
        <f t="array" ref="E699">INDEX(C:C,SMALL(IF(ISNUMBER(FIND(CELL("contents"),$C$2:$C$4852)),ROW($C$2:$C$4852),4^8),ROW(C699)))&amp;""</f>
        <v>#N/A</v>
      </c>
    </row>
    <row r="700" ht="14.100000000000001" customHeight="1">
      <c r="B700" s="20" t="s">
        <v>1547</v>
      </c>
      <c r="C700" s="20" t="s">
        <v>1548</v>
      </c>
      <c r="D700" s="20" t="s">
        <v>1547</v>
      </c>
      <c r="E700" s="20" t="e">
        <f t="array" ref="E700">INDEX(C:C,SMALL(IF(ISNUMBER(FIND(CELL("contents"),$C$2:$C$4852)),ROW($C$2:$C$4852),4^8),ROW(C700)))&amp;""</f>
        <v>#N/A</v>
      </c>
    </row>
    <row r="701" ht="14.100000000000001" customHeight="1">
      <c r="B701" s="20" t="s">
        <v>1549</v>
      </c>
      <c r="C701" s="20" t="s">
        <v>1550</v>
      </c>
      <c r="D701" s="20" t="s">
        <v>1549</v>
      </c>
      <c r="E701" s="20" t="e">
        <f t="array" ref="E701">INDEX(C:C,SMALL(IF(ISNUMBER(FIND(CELL("contents"),$C$2:$C$4852)),ROW($C$2:$C$4852),4^8),ROW(C701)))&amp;""</f>
        <v>#N/A</v>
      </c>
    </row>
    <row r="702" ht="14.100000000000001" customHeight="1">
      <c r="B702" s="20" t="s">
        <v>1551</v>
      </c>
      <c r="C702" s="20" t="s">
        <v>1552</v>
      </c>
      <c r="D702" s="20" t="s">
        <v>1551</v>
      </c>
      <c r="E702" s="20" t="e">
        <f t="array" ref="E702">INDEX(C:C,SMALL(IF(ISNUMBER(FIND(CELL("contents"),$C$2:$C$4852)),ROW($C$2:$C$4852),4^8),ROW(C702)))&amp;""</f>
        <v>#N/A</v>
      </c>
    </row>
    <row r="703" ht="14.100000000000001" customHeight="1">
      <c r="B703" s="20" t="s">
        <v>1553</v>
      </c>
      <c r="C703" s="20" t="s">
        <v>1554</v>
      </c>
      <c r="D703" s="20" t="s">
        <v>1553</v>
      </c>
      <c r="E703" s="20" t="e">
        <f t="array" ref="E703">INDEX(C:C,SMALL(IF(ISNUMBER(FIND(CELL("contents"),$C$2:$C$4852)),ROW($C$2:$C$4852),4^8),ROW(C703)))&amp;""</f>
        <v>#N/A</v>
      </c>
    </row>
    <row r="704" ht="14.100000000000001" customHeight="1">
      <c r="B704" s="20" t="s">
        <v>1555</v>
      </c>
      <c r="C704" s="20" t="s">
        <v>1556</v>
      </c>
      <c r="D704" s="20" t="s">
        <v>1555</v>
      </c>
      <c r="E704" s="20" t="e">
        <f t="array" ref="E704">INDEX(C:C,SMALL(IF(ISNUMBER(FIND(CELL("contents"),$C$2:$C$4852)),ROW($C$2:$C$4852),4^8),ROW(C704)))&amp;""</f>
        <v>#N/A</v>
      </c>
    </row>
    <row r="705" ht="14.100000000000001" customHeight="1">
      <c r="B705" s="20" t="s">
        <v>1557</v>
      </c>
      <c r="C705" s="20" t="s">
        <v>1558</v>
      </c>
      <c r="D705" s="20" t="s">
        <v>1557</v>
      </c>
      <c r="E705" s="20" t="e">
        <f t="array" ref="E705">INDEX(C:C,SMALL(IF(ISNUMBER(FIND(CELL("contents"),$C$2:$C$4852)),ROW($C$2:$C$4852),4^8),ROW(C705)))&amp;""</f>
        <v>#N/A</v>
      </c>
    </row>
    <row r="706" ht="14.100000000000001" customHeight="1">
      <c r="B706" s="20" t="s">
        <v>1559</v>
      </c>
      <c r="C706" s="20" t="s">
        <v>1560</v>
      </c>
      <c r="D706" s="20" t="s">
        <v>1559</v>
      </c>
      <c r="E706" s="20" t="e">
        <f t="array" ref="E706">INDEX(C:C,SMALL(IF(ISNUMBER(FIND(CELL("contents"),$C$2:$C$4852)),ROW($C$2:$C$4852),4^8),ROW(C706)))&amp;""</f>
        <v>#N/A</v>
      </c>
    </row>
    <row r="707" ht="14.100000000000001" customHeight="1">
      <c r="B707" s="20" t="s">
        <v>1561</v>
      </c>
      <c r="C707" s="20" t="s">
        <v>1562</v>
      </c>
      <c r="D707" s="20" t="s">
        <v>1561</v>
      </c>
      <c r="E707" s="20" t="e">
        <f t="array" ref="E707">INDEX(C:C,SMALL(IF(ISNUMBER(FIND(CELL("contents"),$C$2:$C$4852)),ROW($C$2:$C$4852),4^8),ROW(C707)))&amp;""</f>
        <v>#N/A</v>
      </c>
    </row>
    <row r="708" ht="14.100000000000001" customHeight="1">
      <c r="B708" s="20" t="s">
        <v>1563</v>
      </c>
      <c r="C708" s="20" t="s">
        <v>1564</v>
      </c>
      <c r="D708" s="20" t="s">
        <v>1563</v>
      </c>
      <c r="E708" s="20" t="e">
        <f t="array" ref="E708">INDEX(C:C,SMALL(IF(ISNUMBER(FIND(CELL("contents"),$C$2:$C$4852)),ROW($C$2:$C$4852),4^8),ROW(C708)))&amp;""</f>
        <v>#N/A</v>
      </c>
    </row>
    <row r="709" ht="14.100000000000001" customHeight="1">
      <c r="B709" s="20" t="s">
        <v>1565</v>
      </c>
      <c r="C709" s="20" t="s">
        <v>1566</v>
      </c>
      <c r="D709" s="20" t="s">
        <v>1565</v>
      </c>
      <c r="E709" s="20" t="e">
        <f t="array" ref="E709">INDEX(C:C,SMALL(IF(ISNUMBER(FIND(CELL("contents"),$C$2:$C$4852)),ROW($C$2:$C$4852),4^8),ROW(C709)))&amp;""</f>
        <v>#N/A</v>
      </c>
    </row>
    <row r="710" ht="14.100000000000001" customHeight="1">
      <c r="B710" s="20" t="s">
        <v>1567</v>
      </c>
      <c r="C710" s="20" t="s">
        <v>1568</v>
      </c>
      <c r="D710" s="20" t="s">
        <v>1567</v>
      </c>
      <c r="E710" s="20" t="e">
        <f t="array" ref="E710">INDEX(C:C,SMALL(IF(ISNUMBER(FIND(CELL("contents"),$C$2:$C$4852)),ROW($C$2:$C$4852),4^8),ROW(C710)))&amp;""</f>
        <v>#N/A</v>
      </c>
    </row>
    <row r="711" ht="14.100000000000001" customHeight="1">
      <c r="B711" s="20" t="s">
        <v>1569</v>
      </c>
      <c r="C711" s="20" t="s">
        <v>1570</v>
      </c>
      <c r="D711" s="20" t="s">
        <v>1569</v>
      </c>
      <c r="E711" s="20" t="e">
        <f t="array" ref="E711">INDEX(C:C,SMALL(IF(ISNUMBER(FIND(CELL("contents"),$C$2:$C$4852)),ROW($C$2:$C$4852),4^8),ROW(C711)))&amp;""</f>
        <v>#N/A</v>
      </c>
    </row>
    <row r="712" ht="14.100000000000001" customHeight="1">
      <c r="B712" s="20" t="s">
        <v>1571</v>
      </c>
      <c r="C712" s="20" t="s">
        <v>1572</v>
      </c>
      <c r="D712" s="20" t="s">
        <v>1571</v>
      </c>
      <c r="E712" s="20" t="e">
        <f t="array" ref="E712">INDEX(C:C,SMALL(IF(ISNUMBER(FIND(CELL("contents"),$C$2:$C$4852)),ROW($C$2:$C$4852),4^8),ROW(C712)))&amp;""</f>
        <v>#N/A</v>
      </c>
    </row>
    <row r="713" ht="14.100000000000001" customHeight="1">
      <c r="B713" s="20" t="s">
        <v>1573</v>
      </c>
      <c r="C713" s="20" t="s">
        <v>1574</v>
      </c>
      <c r="D713" s="20" t="s">
        <v>1573</v>
      </c>
      <c r="E713" s="20" t="e">
        <f t="array" ref="E713">INDEX(C:C,SMALL(IF(ISNUMBER(FIND(CELL("contents"),$C$2:$C$4852)),ROW($C$2:$C$4852),4^8),ROW(C713)))&amp;""</f>
        <v>#N/A</v>
      </c>
    </row>
    <row r="714" ht="14.100000000000001" customHeight="1">
      <c r="B714" s="20" t="s">
        <v>1575</v>
      </c>
      <c r="C714" s="20" t="s">
        <v>1576</v>
      </c>
      <c r="D714" s="20" t="s">
        <v>1575</v>
      </c>
      <c r="E714" s="20" t="e">
        <f t="array" ref="E714">INDEX(C:C,SMALL(IF(ISNUMBER(FIND(CELL("contents"),$C$2:$C$4852)),ROW($C$2:$C$4852),4^8),ROW(C714)))&amp;""</f>
        <v>#N/A</v>
      </c>
    </row>
    <row r="715" ht="14.100000000000001" customHeight="1">
      <c r="B715" s="20" t="s">
        <v>1577</v>
      </c>
      <c r="C715" s="20" t="s">
        <v>1578</v>
      </c>
      <c r="D715" s="20" t="s">
        <v>1577</v>
      </c>
      <c r="E715" s="20" t="e">
        <f t="array" ref="E715">INDEX(C:C,SMALL(IF(ISNUMBER(FIND(CELL("contents"),$C$2:$C$4852)),ROW($C$2:$C$4852),4^8),ROW(C715)))&amp;""</f>
        <v>#N/A</v>
      </c>
    </row>
    <row r="716" ht="14.100000000000001" customHeight="1">
      <c r="B716" s="20" t="s">
        <v>1579</v>
      </c>
      <c r="C716" s="20" t="s">
        <v>1580</v>
      </c>
      <c r="D716" s="20" t="s">
        <v>1579</v>
      </c>
      <c r="E716" s="20" t="e">
        <f t="array" ref="E716">INDEX(C:C,SMALL(IF(ISNUMBER(FIND(CELL("contents"),$C$2:$C$4852)),ROW($C$2:$C$4852),4^8),ROW(C716)))&amp;""</f>
        <v>#N/A</v>
      </c>
    </row>
    <row r="717" ht="14.100000000000001" customHeight="1">
      <c r="B717" s="20" t="s">
        <v>1581</v>
      </c>
      <c r="C717" s="20" t="s">
        <v>1582</v>
      </c>
      <c r="D717" s="20" t="s">
        <v>1581</v>
      </c>
      <c r="E717" s="20" t="e">
        <f t="array" ref="E717">INDEX(C:C,SMALL(IF(ISNUMBER(FIND(CELL("contents"),$C$2:$C$4852)),ROW($C$2:$C$4852),4^8),ROW(C717)))&amp;""</f>
        <v>#N/A</v>
      </c>
    </row>
    <row r="718" ht="14.100000000000001" customHeight="1">
      <c r="B718" s="20" t="s">
        <v>1583</v>
      </c>
      <c r="C718" s="20" t="s">
        <v>1584</v>
      </c>
      <c r="D718" s="20" t="s">
        <v>1583</v>
      </c>
      <c r="E718" s="20" t="e">
        <f t="array" ref="E718">INDEX(C:C,SMALL(IF(ISNUMBER(FIND(CELL("contents"),$C$2:$C$4852)),ROW($C$2:$C$4852),4^8),ROW(C718)))&amp;""</f>
        <v>#N/A</v>
      </c>
    </row>
    <row r="719" ht="14.100000000000001" customHeight="1">
      <c r="B719" s="20" t="s">
        <v>1585</v>
      </c>
      <c r="C719" s="20" t="s">
        <v>1586</v>
      </c>
      <c r="D719" s="20" t="s">
        <v>1585</v>
      </c>
      <c r="E719" s="20" t="e">
        <f t="array" ref="E719">INDEX(C:C,SMALL(IF(ISNUMBER(FIND(CELL("contents"),$C$2:$C$4852)),ROW($C$2:$C$4852),4^8),ROW(C719)))&amp;""</f>
        <v>#N/A</v>
      </c>
    </row>
    <row r="720" ht="14.100000000000001" customHeight="1">
      <c r="B720" s="20" t="s">
        <v>1587</v>
      </c>
      <c r="C720" s="20" t="s">
        <v>1588</v>
      </c>
      <c r="D720" s="20" t="s">
        <v>1587</v>
      </c>
      <c r="E720" s="20" t="e">
        <f t="array" ref="E720">INDEX(C:C,SMALL(IF(ISNUMBER(FIND(CELL("contents"),$C$2:$C$4852)),ROW($C$2:$C$4852),4^8),ROW(C720)))&amp;""</f>
        <v>#N/A</v>
      </c>
    </row>
    <row r="721" ht="14.100000000000001" customHeight="1">
      <c r="B721" s="20" t="s">
        <v>1589</v>
      </c>
      <c r="C721" s="20" t="s">
        <v>1590</v>
      </c>
      <c r="D721" s="20" t="s">
        <v>1589</v>
      </c>
      <c r="E721" s="20" t="e">
        <f t="array" ref="E721">INDEX(C:C,SMALL(IF(ISNUMBER(FIND(CELL("contents"),$C$2:$C$4852)),ROW($C$2:$C$4852),4^8),ROW(C721)))&amp;""</f>
        <v>#N/A</v>
      </c>
    </row>
    <row r="722" ht="14.100000000000001" customHeight="1">
      <c r="B722" s="20" t="s">
        <v>1591</v>
      </c>
      <c r="C722" s="20" t="s">
        <v>1592</v>
      </c>
      <c r="D722" s="20" t="s">
        <v>1591</v>
      </c>
      <c r="E722" s="20" t="e">
        <f t="array" ref="E722">INDEX(C:C,SMALL(IF(ISNUMBER(FIND(CELL("contents"),$C$2:$C$4852)),ROW($C$2:$C$4852),4^8),ROW(C722)))&amp;""</f>
        <v>#N/A</v>
      </c>
    </row>
    <row r="723" ht="14.100000000000001" customHeight="1">
      <c r="B723" s="20" t="s">
        <v>1593</v>
      </c>
      <c r="C723" s="20" t="s">
        <v>1594</v>
      </c>
      <c r="D723" s="20" t="s">
        <v>1593</v>
      </c>
      <c r="E723" s="20" t="e">
        <f t="array" ref="E723">INDEX(C:C,SMALL(IF(ISNUMBER(FIND(CELL("contents"),$C$2:$C$4852)),ROW($C$2:$C$4852),4^8),ROW(C723)))&amp;""</f>
        <v>#N/A</v>
      </c>
    </row>
    <row r="724" ht="14.100000000000001" customHeight="1">
      <c r="B724" s="20" t="s">
        <v>1595</v>
      </c>
      <c r="C724" s="20" t="s">
        <v>1596</v>
      </c>
      <c r="D724" s="20" t="s">
        <v>1595</v>
      </c>
      <c r="E724" s="20" t="e">
        <f t="array" ref="E724">INDEX(C:C,SMALL(IF(ISNUMBER(FIND(CELL("contents"),$C$2:$C$4852)),ROW($C$2:$C$4852),4^8),ROW(C724)))&amp;""</f>
        <v>#N/A</v>
      </c>
    </row>
    <row r="725" ht="14.100000000000001" customHeight="1">
      <c r="B725" s="20" t="s">
        <v>1597</v>
      </c>
      <c r="C725" s="20" t="s">
        <v>1598</v>
      </c>
      <c r="D725" s="20" t="s">
        <v>1597</v>
      </c>
      <c r="E725" s="20" t="e">
        <f t="array" ref="E725">INDEX(C:C,SMALL(IF(ISNUMBER(FIND(CELL("contents"),$C$2:$C$4852)),ROW($C$2:$C$4852),4^8),ROW(C725)))&amp;""</f>
        <v>#N/A</v>
      </c>
    </row>
    <row r="726" ht="14.100000000000001" customHeight="1">
      <c r="B726" s="20" t="s">
        <v>1599</v>
      </c>
      <c r="C726" s="20" t="s">
        <v>1600</v>
      </c>
      <c r="D726" s="20" t="s">
        <v>1599</v>
      </c>
      <c r="E726" s="20" t="e">
        <f t="array" ref="E726">INDEX(C:C,SMALL(IF(ISNUMBER(FIND(CELL("contents"),$C$2:$C$4852)),ROW($C$2:$C$4852),4^8),ROW(C726)))&amp;""</f>
        <v>#N/A</v>
      </c>
    </row>
    <row r="727" ht="14.100000000000001" customHeight="1">
      <c r="B727" s="20" t="s">
        <v>1601</v>
      </c>
      <c r="C727" s="20" t="s">
        <v>1602</v>
      </c>
      <c r="D727" s="20" t="s">
        <v>1601</v>
      </c>
      <c r="E727" s="20" t="e">
        <f t="array" ref="E727">INDEX(C:C,SMALL(IF(ISNUMBER(FIND(CELL("contents"),$C$2:$C$4852)),ROW($C$2:$C$4852),4^8),ROW(C727)))&amp;""</f>
        <v>#N/A</v>
      </c>
    </row>
    <row r="728" ht="14.100000000000001" customHeight="1">
      <c r="B728" s="20" t="s">
        <v>1603</v>
      </c>
      <c r="C728" s="20" t="s">
        <v>1604</v>
      </c>
      <c r="D728" s="20" t="s">
        <v>1603</v>
      </c>
      <c r="E728" s="20" t="e">
        <f t="array" ref="E728">INDEX(C:C,SMALL(IF(ISNUMBER(FIND(CELL("contents"),$C$2:$C$4852)),ROW($C$2:$C$4852),4^8),ROW(C728)))&amp;""</f>
        <v>#N/A</v>
      </c>
    </row>
    <row r="729" ht="14.100000000000001" customHeight="1">
      <c r="B729" s="20" t="s">
        <v>1605</v>
      </c>
      <c r="C729" s="20" t="s">
        <v>1606</v>
      </c>
      <c r="D729" s="20" t="s">
        <v>1605</v>
      </c>
      <c r="E729" s="20" t="e">
        <f t="array" ref="E729">INDEX(C:C,SMALL(IF(ISNUMBER(FIND(CELL("contents"),$C$2:$C$4852)),ROW($C$2:$C$4852),4^8),ROW(C729)))&amp;""</f>
        <v>#N/A</v>
      </c>
    </row>
    <row r="730" ht="14.100000000000001" customHeight="1">
      <c r="B730" s="20" t="s">
        <v>1607</v>
      </c>
      <c r="C730" s="20" t="s">
        <v>1608</v>
      </c>
      <c r="D730" s="20" t="s">
        <v>1607</v>
      </c>
      <c r="E730" s="20" t="e">
        <f t="array" ref="E730">INDEX(C:C,SMALL(IF(ISNUMBER(FIND(CELL("contents"),$C$2:$C$4852)),ROW($C$2:$C$4852),4^8),ROW(C730)))&amp;""</f>
        <v>#N/A</v>
      </c>
    </row>
    <row r="731" ht="14.100000000000001" customHeight="1">
      <c r="B731" s="20" t="s">
        <v>1609</v>
      </c>
      <c r="C731" s="20" t="s">
        <v>1610</v>
      </c>
      <c r="D731" s="20" t="s">
        <v>1609</v>
      </c>
      <c r="E731" s="20" t="e">
        <f t="array" ref="E731">INDEX(C:C,SMALL(IF(ISNUMBER(FIND(CELL("contents"),$C$2:$C$4852)),ROW($C$2:$C$4852),4^8),ROW(C731)))&amp;""</f>
        <v>#N/A</v>
      </c>
    </row>
    <row r="732" ht="14.100000000000001" customHeight="1">
      <c r="B732" s="20" t="s">
        <v>1611</v>
      </c>
      <c r="C732" s="20" t="s">
        <v>1612</v>
      </c>
      <c r="D732" s="20" t="s">
        <v>1611</v>
      </c>
      <c r="E732" s="20" t="e">
        <f t="array" ref="E732">INDEX(C:C,SMALL(IF(ISNUMBER(FIND(CELL("contents"),$C$2:$C$4852)),ROW($C$2:$C$4852),4^8),ROW(C732)))&amp;""</f>
        <v>#N/A</v>
      </c>
    </row>
    <row r="733" ht="14.100000000000001" customHeight="1">
      <c r="B733" s="20" t="s">
        <v>1613</v>
      </c>
      <c r="C733" s="20" t="s">
        <v>1614</v>
      </c>
      <c r="D733" s="20" t="s">
        <v>1613</v>
      </c>
      <c r="E733" s="20" t="e">
        <f t="array" ref="E733">INDEX(C:C,SMALL(IF(ISNUMBER(FIND(CELL("contents"),$C$2:$C$4852)),ROW($C$2:$C$4852),4^8),ROW(C733)))&amp;""</f>
        <v>#N/A</v>
      </c>
    </row>
    <row r="734" ht="14.100000000000001" customHeight="1">
      <c r="B734" s="20" t="s">
        <v>1615</v>
      </c>
      <c r="C734" s="20" t="s">
        <v>1616</v>
      </c>
      <c r="D734" s="20" t="s">
        <v>1615</v>
      </c>
      <c r="E734" s="20" t="e">
        <f t="array" ref="E734">INDEX(C:C,SMALL(IF(ISNUMBER(FIND(CELL("contents"),$C$2:$C$4852)),ROW($C$2:$C$4852),4^8),ROW(C734)))&amp;""</f>
        <v>#N/A</v>
      </c>
    </row>
    <row r="735" ht="14.100000000000001" customHeight="1">
      <c r="B735" s="20" t="s">
        <v>1617</v>
      </c>
      <c r="C735" s="20" t="s">
        <v>1618</v>
      </c>
      <c r="D735" s="20" t="s">
        <v>1617</v>
      </c>
      <c r="E735" s="20" t="e">
        <f t="array" ref="E735">INDEX(C:C,SMALL(IF(ISNUMBER(FIND(CELL("contents"),$C$2:$C$4852)),ROW($C$2:$C$4852),4^8),ROW(C735)))&amp;""</f>
        <v>#N/A</v>
      </c>
    </row>
    <row r="736" ht="14.100000000000001" customHeight="1">
      <c r="B736" s="20" t="s">
        <v>1619</v>
      </c>
      <c r="C736" s="20" t="s">
        <v>1620</v>
      </c>
      <c r="D736" s="20" t="s">
        <v>1619</v>
      </c>
      <c r="E736" s="20" t="e">
        <f t="array" ref="E736">INDEX(C:C,SMALL(IF(ISNUMBER(FIND(CELL("contents"),$C$2:$C$4852)),ROW($C$2:$C$4852),4^8),ROW(C736)))&amp;""</f>
        <v>#N/A</v>
      </c>
    </row>
    <row r="737" ht="14.100000000000001" customHeight="1">
      <c r="B737" s="20" t="s">
        <v>1621</v>
      </c>
      <c r="C737" s="20" t="s">
        <v>1622</v>
      </c>
      <c r="D737" s="20" t="s">
        <v>1621</v>
      </c>
      <c r="E737" s="20" t="e">
        <f t="array" ref="E737">INDEX(C:C,SMALL(IF(ISNUMBER(FIND(CELL("contents"),$C$2:$C$4852)),ROW($C$2:$C$4852),4^8),ROW(C737)))&amp;""</f>
        <v>#N/A</v>
      </c>
    </row>
    <row r="738" ht="14.100000000000001" customHeight="1">
      <c r="B738" s="20" t="s">
        <v>1623</v>
      </c>
      <c r="C738" s="20" t="s">
        <v>1624</v>
      </c>
      <c r="D738" s="20" t="s">
        <v>1623</v>
      </c>
      <c r="E738" s="20" t="e">
        <f t="array" ref="E738">INDEX(C:C,SMALL(IF(ISNUMBER(FIND(CELL("contents"),$C$2:$C$4852)),ROW($C$2:$C$4852),4^8),ROW(C738)))&amp;""</f>
        <v>#N/A</v>
      </c>
    </row>
    <row r="739" ht="14.100000000000001" customHeight="1">
      <c r="B739" s="20" t="s">
        <v>1625</v>
      </c>
      <c r="C739" s="20" t="s">
        <v>1626</v>
      </c>
      <c r="D739" s="20" t="s">
        <v>1625</v>
      </c>
      <c r="E739" s="20" t="e">
        <f t="array" ref="E739">INDEX(C:C,SMALL(IF(ISNUMBER(FIND(CELL("contents"),$C$2:$C$4852)),ROW($C$2:$C$4852),4^8),ROW(C739)))&amp;""</f>
        <v>#N/A</v>
      </c>
    </row>
    <row r="740" ht="14.100000000000001" customHeight="1">
      <c r="B740" s="20" t="s">
        <v>1627</v>
      </c>
      <c r="C740" s="20" t="s">
        <v>1628</v>
      </c>
      <c r="D740" s="20" t="s">
        <v>1627</v>
      </c>
      <c r="E740" s="20" t="e">
        <f t="array" ref="E740">INDEX(C:C,SMALL(IF(ISNUMBER(FIND(CELL("contents"),$C$2:$C$4852)),ROW($C$2:$C$4852),4^8),ROW(C740)))&amp;""</f>
        <v>#N/A</v>
      </c>
    </row>
    <row r="741" ht="14.100000000000001" customHeight="1">
      <c r="B741" s="20" t="s">
        <v>1629</v>
      </c>
      <c r="C741" s="20" t="s">
        <v>1630</v>
      </c>
      <c r="D741" s="20" t="s">
        <v>1629</v>
      </c>
      <c r="E741" s="20" t="e">
        <f t="array" ref="E741">INDEX(C:C,SMALL(IF(ISNUMBER(FIND(CELL("contents"),$C$2:$C$4852)),ROW($C$2:$C$4852),4^8),ROW(C741)))&amp;""</f>
        <v>#N/A</v>
      </c>
    </row>
    <row r="742" ht="14.100000000000001" customHeight="1">
      <c r="B742" s="20" t="s">
        <v>1631</v>
      </c>
      <c r="C742" s="20" t="s">
        <v>1632</v>
      </c>
      <c r="D742" s="20" t="s">
        <v>1631</v>
      </c>
      <c r="E742" s="20" t="e">
        <f t="array" ref="E742">INDEX(C:C,SMALL(IF(ISNUMBER(FIND(CELL("contents"),$C$2:$C$4852)),ROW($C$2:$C$4852),4^8),ROW(C742)))&amp;""</f>
        <v>#N/A</v>
      </c>
    </row>
    <row r="743" ht="14.100000000000001" customHeight="1">
      <c r="B743" s="20" t="s">
        <v>1633</v>
      </c>
      <c r="C743" s="20" t="s">
        <v>1634</v>
      </c>
      <c r="D743" s="20" t="s">
        <v>1633</v>
      </c>
      <c r="E743" s="20" t="e">
        <f t="array" ref="E743">INDEX(C:C,SMALL(IF(ISNUMBER(FIND(CELL("contents"),$C$2:$C$4852)),ROW($C$2:$C$4852),4^8),ROW(C743)))&amp;""</f>
        <v>#N/A</v>
      </c>
    </row>
    <row r="744" ht="14.100000000000001" customHeight="1">
      <c r="B744" s="20" t="s">
        <v>1635</v>
      </c>
      <c r="C744" s="20" t="s">
        <v>1636</v>
      </c>
      <c r="D744" s="20" t="s">
        <v>1635</v>
      </c>
      <c r="E744" s="20" t="e">
        <f t="array" ref="E744">INDEX(C:C,SMALL(IF(ISNUMBER(FIND(CELL("contents"),$C$2:$C$4852)),ROW($C$2:$C$4852),4^8),ROW(C744)))&amp;""</f>
        <v>#N/A</v>
      </c>
    </row>
    <row r="745" ht="14.100000000000001" customHeight="1">
      <c r="B745" s="20" t="s">
        <v>1637</v>
      </c>
      <c r="C745" s="20" t="s">
        <v>1638</v>
      </c>
      <c r="D745" s="20" t="s">
        <v>1637</v>
      </c>
      <c r="E745" s="20" t="e">
        <f t="array" ref="E745">INDEX(C:C,SMALL(IF(ISNUMBER(FIND(CELL("contents"),$C$2:$C$4852)),ROW($C$2:$C$4852),4^8),ROW(C745)))&amp;""</f>
        <v>#N/A</v>
      </c>
    </row>
    <row r="746" ht="14.100000000000001" customHeight="1">
      <c r="B746" s="20" t="s">
        <v>1639</v>
      </c>
      <c r="C746" s="20" t="s">
        <v>1640</v>
      </c>
      <c r="D746" s="20" t="s">
        <v>1639</v>
      </c>
      <c r="E746" s="20" t="e">
        <f t="array" ref="E746">INDEX(C:C,SMALL(IF(ISNUMBER(FIND(CELL("contents"),$C$2:$C$4852)),ROW($C$2:$C$4852),4^8),ROW(C746)))&amp;""</f>
        <v>#N/A</v>
      </c>
    </row>
    <row r="747" ht="14.100000000000001" customHeight="1">
      <c r="B747" s="20" t="s">
        <v>1641</v>
      </c>
      <c r="C747" s="20" t="s">
        <v>1642</v>
      </c>
      <c r="D747" s="20" t="s">
        <v>1641</v>
      </c>
      <c r="E747" s="20" t="e">
        <f t="array" ref="E747">INDEX(C:C,SMALL(IF(ISNUMBER(FIND(CELL("contents"),$C$2:$C$4852)),ROW($C$2:$C$4852),4^8),ROW(C747)))&amp;""</f>
        <v>#N/A</v>
      </c>
    </row>
    <row r="748" ht="14.100000000000001" customHeight="1">
      <c r="B748" s="20" t="s">
        <v>1643</v>
      </c>
      <c r="C748" s="20" t="s">
        <v>1644</v>
      </c>
      <c r="D748" s="20" t="s">
        <v>1643</v>
      </c>
      <c r="E748" s="20" t="e">
        <f t="array" ref="E748">INDEX(C:C,SMALL(IF(ISNUMBER(FIND(CELL("contents"),$C$2:$C$4852)),ROW($C$2:$C$4852),4^8),ROW(C748)))&amp;""</f>
        <v>#N/A</v>
      </c>
    </row>
    <row r="749" ht="14.100000000000001" customHeight="1">
      <c r="B749" s="20" t="s">
        <v>1645</v>
      </c>
      <c r="C749" s="20" t="s">
        <v>1646</v>
      </c>
      <c r="D749" s="20" t="s">
        <v>1645</v>
      </c>
      <c r="E749" s="20" t="e">
        <f t="array" ref="E749">INDEX(C:C,SMALL(IF(ISNUMBER(FIND(CELL("contents"),$C$2:$C$4852)),ROW($C$2:$C$4852),4^8),ROW(C749)))&amp;""</f>
        <v>#N/A</v>
      </c>
    </row>
    <row r="750" ht="14.100000000000001" customHeight="1">
      <c r="B750" s="20" t="s">
        <v>1647</v>
      </c>
      <c r="C750" s="20" t="s">
        <v>1648</v>
      </c>
      <c r="D750" s="20" t="s">
        <v>1647</v>
      </c>
      <c r="E750" s="20" t="e">
        <f t="array" ref="E750">INDEX(C:C,SMALL(IF(ISNUMBER(FIND(CELL("contents"),$C$2:$C$4852)),ROW($C$2:$C$4852),4^8),ROW(C750)))&amp;""</f>
        <v>#N/A</v>
      </c>
    </row>
    <row r="751" ht="14.100000000000001" customHeight="1">
      <c r="B751" s="20" t="s">
        <v>1649</v>
      </c>
      <c r="C751" s="20" t="s">
        <v>1650</v>
      </c>
      <c r="D751" s="20" t="s">
        <v>1649</v>
      </c>
      <c r="E751" s="20" t="e">
        <f t="array" ref="E751">INDEX(C:C,SMALL(IF(ISNUMBER(FIND(CELL("contents"),$C$2:$C$4852)),ROW($C$2:$C$4852),4^8),ROW(C751)))&amp;""</f>
        <v>#N/A</v>
      </c>
    </row>
    <row r="752" ht="14.100000000000001" customHeight="1">
      <c r="B752" s="20" t="s">
        <v>1651</v>
      </c>
      <c r="C752" s="20" t="s">
        <v>1652</v>
      </c>
      <c r="D752" s="20" t="s">
        <v>1651</v>
      </c>
      <c r="E752" s="20" t="e">
        <f t="array" ref="E752">INDEX(C:C,SMALL(IF(ISNUMBER(FIND(CELL("contents"),$C$2:$C$4852)),ROW($C$2:$C$4852),4^8),ROW(C752)))&amp;""</f>
        <v>#N/A</v>
      </c>
    </row>
    <row r="753" ht="14.100000000000001" customHeight="1">
      <c r="B753" s="20" t="s">
        <v>1653</v>
      </c>
      <c r="C753" s="20" t="s">
        <v>1654</v>
      </c>
      <c r="D753" s="20" t="s">
        <v>1653</v>
      </c>
      <c r="E753" s="20" t="e">
        <f t="array" ref="E753">INDEX(C:C,SMALL(IF(ISNUMBER(FIND(CELL("contents"),$C$2:$C$4852)),ROW($C$2:$C$4852),4^8),ROW(C753)))&amp;""</f>
        <v>#N/A</v>
      </c>
    </row>
    <row r="754" ht="14.100000000000001" customHeight="1">
      <c r="B754" s="20" t="s">
        <v>1655</v>
      </c>
      <c r="C754" s="20" t="s">
        <v>1656</v>
      </c>
      <c r="D754" s="20" t="s">
        <v>1655</v>
      </c>
      <c r="E754" s="20" t="e">
        <f t="array" ref="E754">INDEX(C:C,SMALL(IF(ISNUMBER(FIND(CELL("contents"),$C$2:$C$4852)),ROW($C$2:$C$4852),4^8),ROW(C754)))&amp;""</f>
        <v>#N/A</v>
      </c>
    </row>
    <row r="755" ht="14.100000000000001" customHeight="1">
      <c r="B755" s="20" t="s">
        <v>1657</v>
      </c>
      <c r="C755" s="20" t="s">
        <v>1658</v>
      </c>
      <c r="D755" s="20" t="s">
        <v>1657</v>
      </c>
      <c r="E755" s="20" t="e">
        <f t="array" ref="E755">INDEX(C:C,SMALL(IF(ISNUMBER(FIND(CELL("contents"),$C$2:$C$4852)),ROW($C$2:$C$4852),4^8),ROW(C755)))&amp;""</f>
        <v>#N/A</v>
      </c>
    </row>
    <row r="756" ht="14.100000000000001" customHeight="1">
      <c r="B756" s="20" t="s">
        <v>1659</v>
      </c>
      <c r="C756" s="20" t="s">
        <v>1660</v>
      </c>
      <c r="D756" s="20" t="s">
        <v>1659</v>
      </c>
      <c r="E756" s="20" t="e">
        <f t="array" ref="E756">INDEX(C:C,SMALL(IF(ISNUMBER(FIND(CELL("contents"),$C$2:$C$4852)),ROW($C$2:$C$4852),4^8),ROW(C756)))&amp;""</f>
        <v>#N/A</v>
      </c>
    </row>
    <row r="757" ht="14.100000000000001" customHeight="1">
      <c r="B757" s="20" t="s">
        <v>1661</v>
      </c>
      <c r="C757" s="20" t="s">
        <v>1662</v>
      </c>
      <c r="D757" s="20" t="s">
        <v>1661</v>
      </c>
      <c r="E757" s="20" t="e">
        <f t="array" ref="E757">INDEX(C:C,SMALL(IF(ISNUMBER(FIND(CELL("contents"),$C$2:$C$4852)),ROW($C$2:$C$4852),4^8),ROW(C757)))&amp;""</f>
        <v>#N/A</v>
      </c>
    </row>
    <row r="758" ht="14.100000000000001" customHeight="1">
      <c r="B758" s="20" t="s">
        <v>1663</v>
      </c>
      <c r="C758" s="20" t="s">
        <v>1664</v>
      </c>
      <c r="D758" s="20" t="s">
        <v>1663</v>
      </c>
      <c r="E758" s="20" t="e">
        <f t="array" ref="E758">INDEX(C:C,SMALL(IF(ISNUMBER(FIND(CELL("contents"),$C$2:$C$4852)),ROW($C$2:$C$4852),4^8),ROW(C758)))&amp;""</f>
        <v>#N/A</v>
      </c>
    </row>
    <row r="759" ht="14.100000000000001" customHeight="1">
      <c r="B759" s="20" t="s">
        <v>1665</v>
      </c>
      <c r="C759" s="20" t="s">
        <v>1666</v>
      </c>
      <c r="D759" s="20" t="s">
        <v>1665</v>
      </c>
      <c r="E759" s="20" t="e">
        <f t="array" ref="E759">INDEX(C:C,SMALL(IF(ISNUMBER(FIND(CELL("contents"),$C$2:$C$4852)),ROW($C$2:$C$4852),4^8),ROW(C759)))&amp;""</f>
        <v>#N/A</v>
      </c>
    </row>
    <row r="760" ht="14.100000000000001" customHeight="1">
      <c r="B760" s="20" t="s">
        <v>1667</v>
      </c>
      <c r="C760" s="20" t="s">
        <v>1668</v>
      </c>
      <c r="D760" s="20" t="s">
        <v>1667</v>
      </c>
      <c r="E760" s="20" t="e">
        <f t="array" ref="E760">INDEX(C:C,SMALL(IF(ISNUMBER(FIND(CELL("contents"),$C$2:$C$4852)),ROW($C$2:$C$4852),4^8),ROW(C760)))&amp;""</f>
        <v>#N/A</v>
      </c>
    </row>
    <row r="761" ht="14.100000000000001" customHeight="1">
      <c r="B761" s="20" t="s">
        <v>1669</v>
      </c>
      <c r="C761" s="20" t="s">
        <v>1670</v>
      </c>
      <c r="D761" s="20" t="s">
        <v>1669</v>
      </c>
      <c r="E761" s="20" t="e">
        <f t="array" ref="E761">INDEX(C:C,SMALL(IF(ISNUMBER(FIND(CELL("contents"),$C$2:$C$4852)),ROW($C$2:$C$4852),4^8),ROW(C761)))&amp;""</f>
        <v>#N/A</v>
      </c>
    </row>
    <row r="762" ht="14.100000000000001" customHeight="1">
      <c r="B762" s="20" t="s">
        <v>1671</v>
      </c>
      <c r="C762" s="20" t="s">
        <v>1672</v>
      </c>
      <c r="D762" s="20" t="s">
        <v>1671</v>
      </c>
      <c r="E762" s="20" t="e">
        <f t="array" ref="E762">INDEX(C:C,SMALL(IF(ISNUMBER(FIND(CELL("contents"),$C$2:$C$4852)),ROW($C$2:$C$4852),4^8),ROW(C762)))&amp;""</f>
        <v>#N/A</v>
      </c>
    </row>
    <row r="763" ht="14.100000000000001" customHeight="1">
      <c r="B763" s="20" t="s">
        <v>1673</v>
      </c>
      <c r="C763" s="20" t="s">
        <v>1674</v>
      </c>
      <c r="D763" s="20" t="s">
        <v>1673</v>
      </c>
      <c r="E763" s="20" t="e">
        <f t="array" ref="E763">INDEX(C:C,SMALL(IF(ISNUMBER(FIND(CELL("contents"),$C$2:$C$4852)),ROW($C$2:$C$4852),4^8),ROW(C763)))&amp;""</f>
        <v>#N/A</v>
      </c>
    </row>
    <row r="764" ht="14.100000000000001" customHeight="1">
      <c r="B764" s="20" t="s">
        <v>1675</v>
      </c>
      <c r="C764" s="20" t="s">
        <v>1676</v>
      </c>
      <c r="D764" s="20" t="s">
        <v>1675</v>
      </c>
      <c r="E764" s="20" t="e">
        <f t="array" ref="E764">INDEX(C:C,SMALL(IF(ISNUMBER(FIND(CELL("contents"),$C$2:$C$4852)),ROW($C$2:$C$4852),4^8),ROW(C764)))&amp;""</f>
        <v>#N/A</v>
      </c>
    </row>
    <row r="765" ht="14.100000000000001" customHeight="1">
      <c r="B765" s="20" t="s">
        <v>1677</v>
      </c>
      <c r="C765" s="20" t="s">
        <v>1678</v>
      </c>
      <c r="D765" s="20" t="s">
        <v>1677</v>
      </c>
      <c r="E765" s="20" t="e">
        <f t="array" ref="E765">INDEX(C:C,SMALL(IF(ISNUMBER(FIND(CELL("contents"),$C$2:$C$4852)),ROW($C$2:$C$4852),4^8),ROW(C765)))&amp;""</f>
        <v>#N/A</v>
      </c>
    </row>
    <row r="766" ht="14.100000000000001" customHeight="1">
      <c r="B766" s="20" t="s">
        <v>1679</v>
      </c>
      <c r="C766" s="20" t="s">
        <v>1680</v>
      </c>
      <c r="D766" s="20" t="s">
        <v>1679</v>
      </c>
      <c r="E766" s="20" t="e">
        <f t="array" ref="E766">INDEX(C:C,SMALL(IF(ISNUMBER(FIND(CELL("contents"),$C$2:$C$4852)),ROW($C$2:$C$4852),4^8),ROW(C766)))&amp;""</f>
        <v>#N/A</v>
      </c>
    </row>
    <row r="767" ht="14.100000000000001" customHeight="1">
      <c r="B767" s="20" t="s">
        <v>1681</v>
      </c>
      <c r="C767" s="20" t="s">
        <v>1682</v>
      </c>
      <c r="D767" s="20" t="s">
        <v>1681</v>
      </c>
      <c r="E767" s="20" t="e">
        <f t="array" ref="E767">INDEX(C:C,SMALL(IF(ISNUMBER(FIND(CELL("contents"),$C$2:$C$4852)),ROW($C$2:$C$4852),4^8),ROW(C767)))&amp;""</f>
        <v>#N/A</v>
      </c>
    </row>
    <row r="768" ht="14.100000000000001" customHeight="1">
      <c r="B768" s="20" t="s">
        <v>1683</v>
      </c>
      <c r="C768" s="20" t="s">
        <v>1684</v>
      </c>
      <c r="D768" s="20" t="s">
        <v>1683</v>
      </c>
      <c r="E768" s="20" t="e">
        <f t="array" ref="E768">INDEX(C:C,SMALL(IF(ISNUMBER(FIND(CELL("contents"),$C$2:$C$4852)),ROW($C$2:$C$4852),4^8),ROW(C768)))&amp;""</f>
        <v>#N/A</v>
      </c>
    </row>
    <row r="769" ht="14.100000000000001" customHeight="1">
      <c r="B769" s="20" t="s">
        <v>1685</v>
      </c>
      <c r="C769" s="20" t="s">
        <v>1686</v>
      </c>
      <c r="D769" s="20" t="s">
        <v>1685</v>
      </c>
      <c r="E769" s="20" t="e">
        <f t="array" ref="E769">INDEX(C:C,SMALL(IF(ISNUMBER(FIND(CELL("contents"),$C$2:$C$4852)),ROW($C$2:$C$4852),4^8),ROW(C769)))&amp;""</f>
        <v>#N/A</v>
      </c>
    </row>
    <row r="770" ht="14.100000000000001" customHeight="1">
      <c r="B770" s="20" t="s">
        <v>1687</v>
      </c>
      <c r="C770" s="20" t="s">
        <v>1688</v>
      </c>
      <c r="D770" s="20" t="s">
        <v>1687</v>
      </c>
      <c r="E770" s="20" t="e">
        <f t="array" ref="E770">INDEX(C:C,SMALL(IF(ISNUMBER(FIND(CELL("contents"),$C$2:$C$4852)),ROW($C$2:$C$4852),4^8),ROW(C770)))&amp;""</f>
        <v>#N/A</v>
      </c>
    </row>
    <row r="771" ht="14.100000000000001" customHeight="1">
      <c r="B771" s="20" t="s">
        <v>1689</v>
      </c>
      <c r="C771" s="20" t="s">
        <v>1690</v>
      </c>
      <c r="D771" s="20" t="s">
        <v>1689</v>
      </c>
      <c r="E771" s="20" t="e">
        <f t="array" ref="E771">INDEX(C:C,SMALL(IF(ISNUMBER(FIND(CELL("contents"),$C$2:$C$4852)),ROW($C$2:$C$4852),4^8),ROW(C771)))&amp;""</f>
        <v>#N/A</v>
      </c>
    </row>
    <row r="772" ht="14.100000000000001" customHeight="1">
      <c r="B772" s="20" t="s">
        <v>1691</v>
      </c>
      <c r="C772" s="20" t="s">
        <v>1692</v>
      </c>
      <c r="D772" s="20" t="s">
        <v>1691</v>
      </c>
      <c r="E772" s="20" t="e">
        <f t="array" ref="E772">INDEX(C:C,SMALL(IF(ISNUMBER(FIND(CELL("contents"),$C$2:$C$4852)),ROW($C$2:$C$4852),4^8),ROW(C772)))&amp;""</f>
        <v>#N/A</v>
      </c>
    </row>
    <row r="773" ht="14.100000000000001" customHeight="1">
      <c r="B773" s="20" t="s">
        <v>1693</v>
      </c>
      <c r="C773" s="20" t="s">
        <v>1694</v>
      </c>
      <c r="D773" s="20" t="s">
        <v>1693</v>
      </c>
      <c r="E773" s="20" t="e">
        <f t="array" ref="E773">INDEX(C:C,SMALL(IF(ISNUMBER(FIND(CELL("contents"),$C$2:$C$4852)),ROW($C$2:$C$4852),4^8),ROW(C773)))&amp;""</f>
        <v>#N/A</v>
      </c>
    </row>
    <row r="774" ht="14.100000000000001" customHeight="1">
      <c r="B774" s="20" t="s">
        <v>1695</v>
      </c>
      <c r="C774" s="20" t="s">
        <v>1696</v>
      </c>
      <c r="D774" s="20" t="s">
        <v>1695</v>
      </c>
      <c r="E774" s="20" t="e">
        <f t="array" ref="E774">INDEX(C:C,SMALL(IF(ISNUMBER(FIND(CELL("contents"),$C$2:$C$4852)),ROW($C$2:$C$4852),4^8),ROW(C774)))&amp;""</f>
        <v>#N/A</v>
      </c>
    </row>
    <row r="775" ht="14.100000000000001" customHeight="1">
      <c r="B775" s="20" t="s">
        <v>1697</v>
      </c>
      <c r="C775" s="20" t="s">
        <v>1698</v>
      </c>
      <c r="D775" s="20" t="s">
        <v>1697</v>
      </c>
      <c r="E775" s="20" t="e">
        <f t="array" ref="E775">INDEX(C:C,SMALL(IF(ISNUMBER(FIND(CELL("contents"),$C$2:$C$4852)),ROW($C$2:$C$4852),4^8),ROW(C775)))&amp;""</f>
        <v>#N/A</v>
      </c>
    </row>
    <row r="776" ht="14.100000000000001" customHeight="1">
      <c r="B776" s="20" t="s">
        <v>1699</v>
      </c>
      <c r="C776" s="20" t="s">
        <v>1700</v>
      </c>
      <c r="D776" s="20" t="s">
        <v>1699</v>
      </c>
      <c r="E776" s="20" t="e">
        <f t="array" ref="E776">INDEX(C:C,SMALL(IF(ISNUMBER(FIND(CELL("contents"),$C$2:$C$4852)),ROW($C$2:$C$4852),4^8),ROW(C776)))&amp;""</f>
        <v>#N/A</v>
      </c>
    </row>
    <row r="777" ht="14.100000000000001" customHeight="1">
      <c r="B777" s="20" t="s">
        <v>1701</v>
      </c>
      <c r="C777" s="20" t="s">
        <v>1702</v>
      </c>
      <c r="D777" s="20" t="s">
        <v>1701</v>
      </c>
      <c r="E777" s="20" t="e">
        <f t="array" ref="E777">INDEX(C:C,SMALL(IF(ISNUMBER(FIND(CELL("contents"),$C$2:$C$4852)),ROW($C$2:$C$4852),4^8),ROW(C777)))&amp;""</f>
        <v>#N/A</v>
      </c>
    </row>
    <row r="778" ht="14.100000000000001" customHeight="1">
      <c r="B778" s="20" t="s">
        <v>1703</v>
      </c>
      <c r="C778" s="20" t="s">
        <v>1704</v>
      </c>
      <c r="D778" s="20" t="s">
        <v>1703</v>
      </c>
      <c r="E778" s="20" t="e">
        <f t="array" ref="E778">INDEX(C:C,SMALL(IF(ISNUMBER(FIND(CELL("contents"),$C$2:$C$4852)),ROW($C$2:$C$4852),4^8),ROW(C778)))&amp;""</f>
        <v>#N/A</v>
      </c>
    </row>
    <row r="779" ht="14.100000000000001" customHeight="1">
      <c r="B779" s="20" t="s">
        <v>1705</v>
      </c>
      <c r="C779" s="20" t="s">
        <v>1706</v>
      </c>
      <c r="D779" s="20" t="s">
        <v>1705</v>
      </c>
      <c r="E779" s="20" t="e">
        <f t="array" ref="E779">INDEX(C:C,SMALL(IF(ISNUMBER(FIND(CELL("contents"),$C$2:$C$4852)),ROW($C$2:$C$4852),4^8),ROW(C779)))&amp;""</f>
        <v>#N/A</v>
      </c>
    </row>
    <row r="780" ht="14.100000000000001" customHeight="1">
      <c r="B780" s="20" t="s">
        <v>1707</v>
      </c>
      <c r="C780" s="20" t="s">
        <v>1708</v>
      </c>
      <c r="D780" s="20" t="s">
        <v>1707</v>
      </c>
      <c r="E780" s="20" t="e">
        <f t="array" ref="E780">INDEX(C:C,SMALL(IF(ISNUMBER(FIND(CELL("contents"),$C$2:$C$4852)),ROW($C$2:$C$4852),4^8),ROW(C780)))&amp;""</f>
        <v>#N/A</v>
      </c>
    </row>
    <row r="781" ht="14.100000000000001" customHeight="1">
      <c r="B781" s="20" t="s">
        <v>1709</v>
      </c>
      <c r="C781" s="20" t="s">
        <v>1710</v>
      </c>
      <c r="D781" s="20" t="s">
        <v>1709</v>
      </c>
      <c r="E781" s="20" t="e">
        <f t="array" ref="E781">INDEX(C:C,SMALL(IF(ISNUMBER(FIND(CELL("contents"),$C$2:$C$4852)),ROW($C$2:$C$4852),4^8),ROW(C781)))&amp;""</f>
        <v>#N/A</v>
      </c>
    </row>
    <row r="782" ht="14.100000000000001" customHeight="1">
      <c r="B782" s="20" t="s">
        <v>1711</v>
      </c>
      <c r="C782" s="20" t="s">
        <v>1712</v>
      </c>
      <c r="D782" s="20" t="s">
        <v>1711</v>
      </c>
      <c r="E782" s="20" t="e">
        <f t="array" ref="E782">INDEX(C:C,SMALL(IF(ISNUMBER(FIND(CELL("contents"),$C$2:$C$4852)),ROW($C$2:$C$4852),4^8),ROW(C782)))&amp;""</f>
        <v>#N/A</v>
      </c>
    </row>
    <row r="783" ht="14.100000000000001" customHeight="1">
      <c r="B783" s="20" t="s">
        <v>1713</v>
      </c>
      <c r="C783" s="20" t="s">
        <v>1714</v>
      </c>
      <c r="D783" s="20" t="s">
        <v>1713</v>
      </c>
      <c r="E783" s="20" t="e">
        <f t="array" ref="E783">INDEX(C:C,SMALL(IF(ISNUMBER(FIND(CELL("contents"),$C$2:$C$4852)),ROW($C$2:$C$4852),4^8),ROW(C783)))&amp;""</f>
        <v>#N/A</v>
      </c>
    </row>
    <row r="784" ht="14.100000000000001" customHeight="1">
      <c r="B784" s="20" t="s">
        <v>1715</v>
      </c>
      <c r="C784" s="20" t="s">
        <v>1716</v>
      </c>
      <c r="D784" s="20" t="s">
        <v>1715</v>
      </c>
      <c r="E784" s="20" t="e">
        <f t="array" ref="E784">INDEX(C:C,SMALL(IF(ISNUMBER(FIND(CELL("contents"),$C$2:$C$4852)),ROW($C$2:$C$4852),4^8),ROW(C784)))&amp;""</f>
        <v>#N/A</v>
      </c>
    </row>
    <row r="785" ht="14.100000000000001" customHeight="1">
      <c r="B785" s="20" t="s">
        <v>1717</v>
      </c>
      <c r="C785" s="20" t="s">
        <v>1718</v>
      </c>
      <c r="D785" s="20" t="s">
        <v>1717</v>
      </c>
      <c r="E785" s="20" t="e">
        <f t="array" ref="E785">INDEX(C:C,SMALL(IF(ISNUMBER(FIND(CELL("contents"),$C$2:$C$4852)),ROW($C$2:$C$4852),4^8),ROW(C785)))&amp;""</f>
        <v>#N/A</v>
      </c>
    </row>
    <row r="786" ht="14.100000000000001" customHeight="1">
      <c r="B786" s="20" t="s">
        <v>1719</v>
      </c>
      <c r="C786" s="20" t="s">
        <v>1720</v>
      </c>
      <c r="D786" s="20" t="s">
        <v>1719</v>
      </c>
      <c r="E786" s="20" t="e">
        <f t="array" ref="E786">INDEX(C:C,SMALL(IF(ISNUMBER(FIND(CELL("contents"),$C$2:$C$4852)),ROW($C$2:$C$4852),4^8),ROW(C786)))&amp;""</f>
        <v>#N/A</v>
      </c>
    </row>
    <row r="787" ht="14.100000000000001" customHeight="1">
      <c r="B787" s="20" t="s">
        <v>1721</v>
      </c>
      <c r="C787" s="20" t="s">
        <v>1722</v>
      </c>
      <c r="D787" s="20" t="s">
        <v>1721</v>
      </c>
      <c r="E787" s="20" t="e">
        <f t="array" ref="E787">INDEX(C:C,SMALL(IF(ISNUMBER(FIND(CELL("contents"),$C$2:$C$4852)),ROW($C$2:$C$4852),4^8),ROW(C787)))&amp;""</f>
        <v>#N/A</v>
      </c>
    </row>
    <row r="788" ht="14.100000000000001" customHeight="1">
      <c r="B788" s="20" t="s">
        <v>1723</v>
      </c>
      <c r="C788" s="20" t="s">
        <v>1724</v>
      </c>
      <c r="D788" s="20" t="s">
        <v>1723</v>
      </c>
      <c r="E788" s="20" t="e">
        <f t="array" ref="E788">INDEX(C:C,SMALL(IF(ISNUMBER(FIND(CELL("contents"),$C$2:$C$4852)),ROW($C$2:$C$4852),4^8),ROW(C788)))&amp;""</f>
        <v>#N/A</v>
      </c>
    </row>
    <row r="789" ht="14.100000000000001" customHeight="1">
      <c r="B789" s="20" t="s">
        <v>1725</v>
      </c>
      <c r="C789" s="20" t="s">
        <v>1726</v>
      </c>
      <c r="D789" s="20" t="s">
        <v>1725</v>
      </c>
      <c r="E789" s="20" t="e">
        <f t="array" ref="E789">INDEX(C:C,SMALL(IF(ISNUMBER(FIND(CELL("contents"),$C$2:$C$4852)),ROW($C$2:$C$4852),4^8),ROW(C789)))&amp;""</f>
        <v>#N/A</v>
      </c>
    </row>
    <row r="790" ht="14.100000000000001" customHeight="1">
      <c r="B790" s="20" t="s">
        <v>1727</v>
      </c>
      <c r="C790" s="20" t="s">
        <v>1728</v>
      </c>
      <c r="D790" s="20" t="s">
        <v>1727</v>
      </c>
      <c r="E790" s="20" t="e">
        <f t="array" ref="E790">INDEX(C:C,SMALL(IF(ISNUMBER(FIND(CELL("contents"),$C$2:$C$4852)),ROW($C$2:$C$4852),4^8),ROW(C790)))&amp;""</f>
        <v>#N/A</v>
      </c>
    </row>
    <row r="791" ht="14.100000000000001" customHeight="1">
      <c r="B791" s="20" t="s">
        <v>1729</v>
      </c>
      <c r="C791" s="20" t="s">
        <v>1730</v>
      </c>
      <c r="D791" s="20" t="s">
        <v>1729</v>
      </c>
      <c r="E791" s="20" t="e">
        <f t="array" ref="E791">INDEX(C:C,SMALL(IF(ISNUMBER(FIND(CELL("contents"),$C$2:$C$4852)),ROW($C$2:$C$4852),4^8),ROW(C791)))&amp;""</f>
        <v>#N/A</v>
      </c>
    </row>
    <row r="792" ht="14.100000000000001" customHeight="1">
      <c r="B792" s="20" t="s">
        <v>1731</v>
      </c>
      <c r="C792" s="20" t="s">
        <v>1732</v>
      </c>
      <c r="D792" s="20" t="s">
        <v>1731</v>
      </c>
      <c r="E792" s="20" t="e">
        <f t="array" ref="E792">INDEX(C:C,SMALL(IF(ISNUMBER(FIND(CELL("contents"),$C$2:$C$4852)),ROW($C$2:$C$4852),4^8),ROW(C792)))&amp;""</f>
        <v>#N/A</v>
      </c>
    </row>
    <row r="793" ht="14.100000000000001" customHeight="1">
      <c r="B793" s="20" t="s">
        <v>1733</v>
      </c>
      <c r="C793" s="20" t="s">
        <v>1734</v>
      </c>
      <c r="D793" s="20" t="s">
        <v>1733</v>
      </c>
      <c r="E793" s="20" t="e">
        <f t="array" ref="E793">INDEX(C:C,SMALL(IF(ISNUMBER(FIND(CELL("contents"),$C$2:$C$4852)),ROW($C$2:$C$4852),4^8),ROW(C793)))&amp;""</f>
        <v>#N/A</v>
      </c>
    </row>
    <row r="794" ht="14.100000000000001" customHeight="1">
      <c r="B794" s="20" t="s">
        <v>1735</v>
      </c>
      <c r="C794" s="20" t="s">
        <v>1736</v>
      </c>
      <c r="D794" s="20" t="s">
        <v>1735</v>
      </c>
      <c r="E794" s="20" t="e">
        <f t="array" ref="E794">INDEX(C:C,SMALL(IF(ISNUMBER(FIND(CELL("contents"),$C$2:$C$4852)),ROW($C$2:$C$4852),4^8),ROW(C794)))&amp;""</f>
        <v>#N/A</v>
      </c>
    </row>
    <row r="795" ht="14.100000000000001" customHeight="1">
      <c r="B795" s="20" t="s">
        <v>1737</v>
      </c>
      <c r="C795" s="20" t="s">
        <v>1738</v>
      </c>
      <c r="D795" s="20" t="s">
        <v>1737</v>
      </c>
      <c r="E795" s="20" t="e">
        <f t="array" ref="E795">INDEX(C:C,SMALL(IF(ISNUMBER(FIND(CELL("contents"),$C$2:$C$4852)),ROW($C$2:$C$4852),4^8),ROW(C795)))&amp;""</f>
        <v>#N/A</v>
      </c>
    </row>
    <row r="796" ht="14.100000000000001" customHeight="1">
      <c r="B796" s="20" t="s">
        <v>1739</v>
      </c>
      <c r="C796" s="20" t="s">
        <v>1740</v>
      </c>
      <c r="D796" s="20" t="s">
        <v>1739</v>
      </c>
      <c r="E796" s="20" t="e">
        <f t="array" ref="E796">INDEX(C:C,SMALL(IF(ISNUMBER(FIND(CELL("contents"),$C$2:$C$4852)),ROW($C$2:$C$4852),4^8),ROW(C796)))&amp;""</f>
        <v>#N/A</v>
      </c>
    </row>
    <row r="797" ht="14.100000000000001" customHeight="1">
      <c r="B797" s="20" t="s">
        <v>1741</v>
      </c>
      <c r="C797" s="20" t="s">
        <v>1742</v>
      </c>
      <c r="D797" s="20" t="s">
        <v>1741</v>
      </c>
      <c r="E797" s="20" t="e">
        <f t="array" ref="E797">INDEX(C:C,SMALL(IF(ISNUMBER(FIND(CELL("contents"),$C$2:$C$4852)),ROW($C$2:$C$4852),4^8),ROW(C797)))&amp;""</f>
        <v>#N/A</v>
      </c>
    </row>
    <row r="798" ht="14.100000000000001" customHeight="1">
      <c r="B798" s="20" t="s">
        <v>1743</v>
      </c>
      <c r="C798" s="20" t="s">
        <v>1744</v>
      </c>
      <c r="D798" s="20" t="s">
        <v>1743</v>
      </c>
      <c r="E798" s="20" t="e">
        <f t="array" ref="E798">INDEX(C:C,SMALL(IF(ISNUMBER(FIND(CELL("contents"),$C$2:$C$4852)),ROW($C$2:$C$4852),4^8),ROW(C798)))&amp;""</f>
        <v>#N/A</v>
      </c>
    </row>
    <row r="799" ht="14.100000000000001" customHeight="1">
      <c r="B799" s="20" t="s">
        <v>1745</v>
      </c>
      <c r="C799" s="20" t="s">
        <v>1746</v>
      </c>
      <c r="D799" s="20" t="s">
        <v>1745</v>
      </c>
      <c r="E799" s="20" t="e">
        <f t="array" ref="E799">INDEX(C:C,SMALL(IF(ISNUMBER(FIND(CELL("contents"),$C$2:$C$4852)),ROW($C$2:$C$4852),4^8),ROW(C799)))&amp;""</f>
        <v>#N/A</v>
      </c>
    </row>
    <row r="800" ht="14.100000000000001" customHeight="1">
      <c r="B800" s="20" t="s">
        <v>1747</v>
      </c>
      <c r="C800" s="20" t="s">
        <v>1748</v>
      </c>
      <c r="D800" s="20" t="s">
        <v>1747</v>
      </c>
      <c r="E800" s="20" t="e">
        <f t="array" ref="E800">INDEX(C:C,SMALL(IF(ISNUMBER(FIND(CELL("contents"),$C$2:$C$4852)),ROW($C$2:$C$4852),4^8),ROW(C800)))&amp;""</f>
        <v>#N/A</v>
      </c>
    </row>
    <row r="801" ht="14.100000000000001" customHeight="1">
      <c r="B801" s="20" t="s">
        <v>1749</v>
      </c>
      <c r="C801" s="20" t="s">
        <v>1750</v>
      </c>
      <c r="D801" s="20" t="s">
        <v>1749</v>
      </c>
      <c r="E801" s="20" t="e">
        <f t="array" ref="E801">INDEX(C:C,SMALL(IF(ISNUMBER(FIND(CELL("contents"),$C$2:$C$4852)),ROW($C$2:$C$4852),4^8),ROW(C801)))&amp;""</f>
        <v>#N/A</v>
      </c>
    </row>
    <row r="802" ht="14.100000000000001" customHeight="1">
      <c r="B802" s="20" t="s">
        <v>1751</v>
      </c>
      <c r="C802" s="20" t="s">
        <v>1752</v>
      </c>
      <c r="D802" s="20" t="s">
        <v>1751</v>
      </c>
      <c r="E802" s="20" t="e">
        <f t="array" ref="E802">INDEX(C:C,SMALL(IF(ISNUMBER(FIND(CELL("contents"),$C$2:$C$4852)),ROW($C$2:$C$4852),4^8),ROW(C802)))&amp;""</f>
        <v>#N/A</v>
      </c>
    </row>
    <row r="803" ht="14.100000000000001" customHeight="1">
      <c r="B803" s="20" t="s">
        <v>1753</v>
      </c>
      <c r="C803" s="20" t="s">
        <v>1754</v>
      </c>
      <c r="D803" s="20" t="s">
        <v>1753</v>
      </c>
      <c r="E803" s="20" t="e">
        <f t="array" ref="E803">INDEX(C:C,SMALL(IF(ISNUMBER(FIND(CELL("contents"),$C$2:$C$4852)),ROW($C$2:$C$4852),4^8),ROW(C803)))&amp;""</f>
        <v>#N/A</v>
      </c>
    </row>
    <row r="804" ht="14.100000000000001" customHeight="1">
      <c r="B804" s="20" t="s">
        <v>1755</v>
      </c>
      <c r="C804" s="20" t="s">
        <v>1756</v>
      </c>
      <c r="D804" s="20" t="s">
        <v>1755</v>
      </c>
      <c r="E804" s="20" t="e">
        <f t="array" ref="E804">INDEX(C:C,SMALL(IF(ISNUMBER(FIND(CELL("contents"),$C$2:$C$4852)),ROW($C$2:$C$4852),4^8),ROW(C804)))&amp;""</f>
        <v>#N/A</v>
      </c>
    </row>
    <row r="805" ht="14.100000000000001" customHeight="1">
      <c r="B805" s="20" t="s">
        <v>1757</v>
      </c>
      <c r="C805" s="20" t="s">
        <v>1758</v>
      </c>
      <c r="D805" s="20" t="s">
        <v>1757</v>
      </c>
      <c r="E805" s="20" t="e">
        <f t="array" ref="E805">INDEX(C:C,SMALL(IF(ISNUMBER(FIND(CELL("contents"),$C$2:$C$4852)),ROW($C$2:$C$4852),4^8),ROW(C805)))&amp;""</f>
        <v>#N/A</v>
      </c>
    </row>
    <row r="806" ht="14.100000000000001" customHeight="1">
      <c r="B806" s="20" t="s">
        <v>1759</v>
      </c>
      <c r="C806" s="20" t="s">
        <v>1760</v>
      </c>
      <c r="D806" s="20" t="s">
        <v>1759</v>
      </c>
      <c r="E806" s="20" t="e">
        <f t="array" ref="E806">INDEX(C:C,SMALL(IF(ISNUMBER(FIND(CELL("contents"),$C$2:$C$4852)),ROW($C$2:$C$4852),4^8),ROW(C806)))&amp;""</f>
        <v>#N/A</v>
      </c>
    </row>
    <row r="807" ht="14.100000000000001" customHeight="1">
      <c r="B807" s="20" t="s">
        <v>1761</v>
      </c>
      <c r="C807" s="20" t="s">
        <v>1762</v>
      </c>
      <c r="D807" s="20" t="s">
        <v>1761</v>
      </c>
      <c r="E807" s="20" t="e">
        <f t="array" ref="E807">INDEX(C:C,SMALL(IF(ISNUMBER(FIND(CELL("contents"),$C$2:$C$4852)),ROW($C$2:$C$4852),4^8),ROW(C807)))&amp;""</f>
        <v>#N/A</v>
      </c>
    </row>
    <row r="808" ht="14.100000000000001" customHeight="1">
      <c r="B808" s="20" t="s">
        <v>1763</v>
      </c>
      <c r="C808" s="20" t="s">
        <v>1764</v>
      </c>
      <c r="D808" s="20" t="s">
        <v>1763</v>
      </c>
      <c r="E808" s="20" t="e">
        <f t="array" ref="E808">INDEX(C:C,SMALL(IF(ISNUMBER(FIND(CELL("contents"),$C$2:$C$4852)),ROW($C$2:$C$4852),4^8),ROW(C808)))&amp;""</f>
        <v>#N/A</v>
      </c>
    </row>
    <row r="809" ht="14.100000000000001" customHeight="1">
      <c r="B809" s="20" t="s">
        <v>1765</v>
      </c>
      <c r="C809" s="20" t="s">
        <v>1766</v>
      </c>
      <c r="D809" s="20" t="s">
        <v>1765</v>
      </c>
      <c r="E809" s="20" t="e">
        <f t="array" ref="E809">INDEX(C:C,SMALL(IF(ISNUMBER(FIND(CELL("contents"),$C$2:$C$4852)),ROW($C$2:$C$4852),4^8),ROW(C809)))&amp;""</f>
        <v>#N/A</v>
      </c>
    </row>
    <row r="810" ht="14.100000000000001" customHeight="1">
      <c r="B810" s="20" t="s">
        <v>1767</v>
      </c>
      <c r="C810" s="20" t="s">
        <v>1768</v>
      </c>
      <c r="D810" s="20" t="s">
        <v>1767</v>
      </c>
      <c r="E810" s="20" t="e">
        <f t="array" ref="E810">INDEX(C:C,SMALL(IF(ISNUMBER(FIND(CELL("contents"),$C$2:$C$4852)),ROW($C$2:$C$4852),4^8),ROW(C810)))&amp;""</f>
        <v>#N/A</v>
      </c>
    </row>
    <row r="811" ht="14.100000000000001" customHeight="1">
      <c r="B811" s="20" t="s">
        <v>1769</v>
      </c>
      <c r="C811" s="20" t="s">
        <v>1770</v>
      </c>
      <c r="D811" s="20" t="s">
        <v>1769</v>
      </c>
      <c r="E811" s="20" t="e">
        <f t="array" ref="E811">INDEX(C:C,SMALL(IF(ISNUMBER(FIND(CELL("contents"),$C$2:$C$4852)),ROW($C$2:$C$4852),4^8),ROW(C811)))&amp;""</f>
        <v>#N/A</v>
      </c>
    </row>
    <row r="812" ht="14.100000000000001" customHeight="1">
      <c r="B812" s="20" t="s">
        <v>1771</v>
      </c>
      <c r="C812" s="20" t="s">
        <v>1772</v>
      </c>
      <c r="D812" s="20" t="s">
        <v>1771</v>
      </c>
      <c r="E812" s="20" t="e">
        <f t="array" ref="E812">INDEX(C:C,SMALL(IF(ISNUMBER(FIND(CELL("contents"),$C$2:$C$4852)),ROW($C$2:$C$4852),4^8),ROW(C812)))&amp;""</f>
        <v>#N/A</v>
      </c>
    </row>
    <row r="813" ht="14.100000000000001" customHeight="1">
      <c r="B813" s="20" t="s">
        <v>1773</v>
      </c>
      <c r="C813" s="20" t="s">
        <v>1774</v>
      </c>
      <c r="D813" s="20" t="s">
        <v>1773</v>
      </c>
      <c r="E813" s="20" t="e">
        <f t="array" ref="E813">INDEX(C:C,SMALL(IF(ISNUMBER(FIND(CELL("contents"),$C$2:$C$4852)),ROW($C$2:$C$4852),4^8),ROW(C813)))&amp;""</f>
        <v>#N/A</v>
      </c>
    </row>
    <row r="814" ht="14.100000000000001" customHeight="1">
      <c r="B814" s="20" t="s">
        <v>1775</v>
      </c>
      <c r="C814" s="20" t="s">
        <v>1776</v>
      </c>
      <c r="D814" s="20" t="s">
        <v>1775</v>
      </c>
      <c r="E814" s="20" t="e">
        <f t="array" ref="E814">INDEX(C:C,SMALL(IF(ISNUMBER(FIND(CELL("contents"),$C$2:$C$4852)),ROW($C$2:$C$4852),4^8),ROW(C814)))&amp;""</f>
        <v>#N/A</v>
      </c>
    </row>
    <row r="815" ht="14.100000000000001" customHeight="1">
      <c r="B815" s="20" t="s">
        <v>1777</v>
      </c>
      <c r="C815" s="20" t="s">
        <v>1778</v>
      </c>
      <c r="D815" s="20" t="s">
        <v>1777</v>
      </c>
      <c r="E815" s="20" t="e">
        <f t="array" ref="E815">INDEX(C:C,SMALL(IF(ISNUMBER(FIND(CELL("contents"),$C$2:$C$4852)),ROW($C$2:$C$4852),4^8),ROW(C815)))&amp;""</f>
        <v>#N/A</v>
      </c>
    </row>
    <row r="816" ht="14.100000000000001" customHeight="1">
      <c r="B816" s="20" t="s">
        <v>1779</v>
      </c>
      <c r="C816" s="20" t="s">
        <v>1780</v>
      </c>
      <c r="D816" s="20" t="s">
        <v>1779</v>
      </c>
      <c r="E816" s="20" t="e">
        <f t="array" ref="E816">INDEX(C:C,SMALL(IF(ISNUMBER(FIND(CELL("contents"),$C$2:$C$4852)),ROW($C$2:$C$4852),4^8),ROW(C816)))&amp;""</f>
        <v>#N/A</v>
      </c>
    </row>
    <row r="817" ht="14.100000000000001" customHeight="1">
      <c r="B817" s="20" t="s">
        <v>1781</v>
      </c>
      <c r="C817" s="20" t="s">
        <v>1782</v>
      </c>
      <c r="D817" s="20" t="s">
        <v>1781</v>
      </c>
      <c r="E817" s="20" t="e">
        <f t="array" ref="E817">INDEX(C:C,SMALL(IF(ISNUMBER(FIND(CELL("contents"),$C$2:$C$4852)),ROW($C$2:$C$4852),4^8),ROW(C817)))&amp;""</f>
        <v>#N/A</v>
      </c>
    </row>
    <row r="818" ht="14.100000000000001" customHeight="1">
      <c r="B818" s="20" t="s">
        <v>1783</v>
      </c>
      <c r="C818" s="20" t="s">
        <v>1784</v>
      </c>
      <c r="D818" s="20" t="s">
        <v>1783</v>
      </c>
      <c r="E818" s="20" t="e">
        <f t="array" ref="E818">INDEX(C:C,SMALL(IF(ISNUMBER(FIND(CELL("contents"),$C$2:$C$4852)),ROW($C$2:$C$4852),4^8),ROW(C818)))&amp;""</f>
        <v>#N/A</v>
      </c>
    </row>
    <row r="819" ht="14.100000000000001" customHeight="1">
      <c r="B819" s="20" t="s">
        <v>1785</v>
      </c>
      <c r="C819" s="20" t="s">
        <v>1786</v>
      </c>
      <c r="D819" s="20" t="s">
        <v>1785</v>
      </c>
      <c r="E819" s="20" t="e">
        <f t="array" ref="E819">INDEX(C:C,SMALL(IF(ISNUMBER(FIND(CELL("contents"),$C$2:$C$4852)),ROW($C$2:$C$4852),4^8),ROW(C819)))&amp;""</f>
        <v>#N/A</v>
      </c>
    </row>
    <row r="820" ht="14.100000000000001" customHeight="1">
      <c r="B820" s="20" t="s">
        <v>1787</v>
      </c>
      <c r="C820" s="20" t="s">
        <v>1788</v>
      </c>
      <c r="D820" s="20" t="s">
        <v>1787</v>
      </c>
      <c r="E820" s="20" t="e">
        <f t="array" ref="E820">INDEX(C:C,SMALL(IF(ISNUMBER(FIND(CELL("contents"),$C$2:$C$4852)),ROW($C$2:$C$4852),4^8),ROW(C820)))&amp;""</f>
        <v>#N/A</v>
      </c>
    </row>
    <row r="821" ht="14.100000000000001" customHeight="1">
      <c r="B821" s="20" t="s">
        <v>1789</v>
      </c>
      <c r="C821" s="20" t="s">
        <v>1790</v>
      </c>
      <c r="D821" s="20" t="s">
        <v>1789</v>
      </c>
      <c r="E821" s="20" t="e">
        <f t="array" ref="E821">INDEX(C:C,SMALL(IF(ISNUMBER(FIND(CELL("contents"),$C$2:$C$4852)),ROW($C$2:$C$4852),4^8),ROW(C821)))&amp;""</f>
        <v>#N/A</v>
      </c>
    </row>
    <row r="822" ht="14.100000000000001" customHeight="1">
      <c r="B822" s="20" t="s">
        <v>1791</v>
      </c>
      <c r="C822" s="20" t="s">
        <v>1792</v>
      </c>
      <c r="D822" s="20" t="s">
        <v>1791</v>
      </c>
      <c r="E822" s="20" t="e">
        <f t="array" ref="E822">INDEX(C:C,SMALL(IF(ISNUMBER(FIND(CELL("contents"),$C$2:$C$4852)),ROW($C$2:$C$4852),4^8),ROW(C822)))&amp;""</f>
        <v>#N/A</v>
      </c>
    </row>
    <row r="823" ht="14.100000000000001" customHeight="1">
      <c r="B823" s="20" t="s">
        <v>1793</v>
      </c>
      <c r="C823" s="20" t="s">
        <v>1794</v>
      </c>
      <c r="D823" s="20" t="s">
        <v>1793</v>
      </c>
      <c r="E823" s="20" t="e">
        <f t="array" ref="E823">INDEX(C:C,SMALL(IF(ISNUMBER(FIND(CELL("contents"),$C$2:$C$4852)),ROW($C$2:$C$4852),4^8),ROW(C823)))&amp;""</f>
        <v>#N/A</v>
      </c>
    </row>
    <row r="824" ht="14.100000000000001" customHeight="1">
      <c r="B824" s="20" t="s">
        <v>1795</v>
      </c>
      <c r="C824" s="20" t="s">
        <v>1796</v>
      </c>
      <c r="D824" s="20" t="s">
        <v>1795</v>
      </c>
      <c r="E824" s="20" t="e">
        <f t="array" ref="E824">INDEX(C:C,SMALL(IF(ISNUMBER(FIND(CELL("contents"),$C$2:$C$4852)),ROW($C$2:$C$4852),4^8),ROW(C824)))&amp;""</f>
        <v>#N/A</v>
      </c>
    </row>
    <row r="825" ht="14.100000000000001" customHeight="1">
      <c r="B825" s="20" t="s">
        <v>1797</v>
      </c>
      <c r="C825" s="20" t="s">
        <v>1798</v>
      </c>
      <c r="D825" s="20" t="s">
        <v>1797</v>
      </c>
      <c r="E825" s="20" t="e">
        <f t="array" ref="E825">INDEX(C:C,SMALL(IF(ISNUMBER(FIND(CELL("contents"),$C$2:$C$4852)),ROW($C$2:$C$4852),4^8),ROW(C825)))&amp;""</f>
        <v>#N/A</v>
      </c>
    </row>
    <row r="826" ht="14.100000000000001" customHeight="1">
      <c r="B826" s="20" t="s">
        <v>1799</v>
      </c>
      <c r="C826" s="20" t="s">
        <v>1800</v>
      </c>
      <c r="D826" s="20" t="s">
        <v>1799</v>
      </c>
      <c r="E826" s="20" t="e">
        <f t="array" ref="E826">INDEX(C:C,SMALL(IF(ISNUMBER(FIND(CELL("contents"),$C$2:$C$4852)),ROW($C$2:$C$4852),4^8),ROW(C826)))&amp;""</f>
        <v>#N/A</v>
      </c>
    </row>
    <row r="827" ht="14.100000000000001" customHeight="1">
      <c r="B827" s="20" t="s">
        <v>1801</v>
      </c>
      <c r="C827" s="20" t="s">
        <v>1802</v>
      </c>
      <c r="D827" s="20" t="s">
        <v>1801</v>
      </c>
      <c r="E827" s="20" t="e">
        <f t="array" ref="E827">INDEX(C:C,SMALL(IF(ISNUMBER(FIND(CELL("contents"),$C$2:$C$4852)),ROW($C$2:$C$4852),4^8),ROW(C827)))&amp;""</f>
        <v>#N/A</v>
      </c>
    </row>
    <row r="828" ht="14.100000000000001" customHeight="1">
      <c r="B828" s="20" t="s">
        <v>1803</v>
      </c>
      <c r="C828" s="20" t="s">
        <v>1804</v>
      </c>
      <c r="D828" s="20" t="s">
        <v>1803</v>
      </c>
      <c r="E828" s="20" t="e">
        <f t="array" ref="E828">INDEX(C:C,SMALL(IF(ISNUMBER(FIND(CELL("contents"),$C$2:$C$4852)),ROW($C$2:$C$4852),4^8),ROW(C828)))&amp;""</f>
        <v>#N/A</v>
      </c>
    </row>
    <row r="829" ht="14.100000000000001" customHeight="1">
      <c r="B829" s="20" t="s">
        <v>1805</v>
      </c>
      <c r="C829" s="20" t="s">
        <v>1806</v>
      </c>
      <c r="D829" s="20" t="s">
        <v>1805</v>
      </c>
      <c r="E829" s="20" t="e">
        <f t="array" ref="E829">INDEX(C:C,SMALL(IF(ISNUMBER(FIND(CELL("contents"),$C$2:$C$4852)),ROW($C$2:$C$4852),4^8),ROW(C829)))&amp;""</f>
        <v>#N/A</v>
      </c>
    </row>
    <row r="830" ht="14.100000000000001" customHeight="1">
      <c r="B830" s="20" t="s">
        <v>1807</v>
      </c>
      <c r="C830" s="20" t="s">
        <v>1808</v>
      </c>
      <c r="D830" s="20" t="s">
        <v>1807</v>
      </c>
      <c r="E830" s="20" t="e">
        <f t="array" ref="E830">INDEX(C:C,SMALL(IF(ISNUMBER(FIND(CELL("contents"),$C$2:$C$4852)),ROW($C$2:$C$4852),4^8),ROW(C830)))&amp;""</f>
        <v>#N/A</v>
      </c>
    </row>
    <row r="831" ht="14.100000000000001" customHeight="1">
      <c r="B831" s="20" t="s">
        <v>1809</v>
      </c>
      <c r="C831" s="20" t="s">
        <v>1810</v>
      </c>
      <c r="D831" s="20" t="s">
        <v>1809</v>
      </c>
      <c r="E831" s="20" t="e">
        <f t="array" ref="E831">INDEX(C:C,SMALL(IF(ISNUMBER(FIND(CELL("contents"),$C$2:$C$4852)),ROW($C$2:$C$4852),4^8),ROW(C831)))&amp;""</f>
        <v>#N/A</v>
      </c>
    </row>
    <row r="832" ht="14.100000000000001" customHeight="1">
      <c r="B832" s="20" t="s">
        <v>1811</v>
      </c>
      <c r="C832" s="20" t="s">
        <v>1812</v>
      </c>
      <c r="D832" s="20" t="s">
        <v>1811</v>
      </c>
      <c r="E832" s="20" t="e">
        <f t="array" ref="E832">INDEX(C:C,SMALL(IF(ISNUMBER(FIND(CELL("contents"),$C$2:$C$4852)),ROW($C$2:$C$4852),4^8),ROW(C832)))&amp;""</f>
        <v>#N/A</v>
      </c>
    </row>
    <row r="833" ht="14.100000000000001" customHeight="1">
      <c r="B833" s="20" t="s">
        <v>1813</v>
      </c>
      <c r="C833" s="20" t="s">
        <v>1814</v>
      </c>
      <c r="D833" s="20" t="s">
        <v>1813</v>
      </c>
      <c r="E833" s="20" t="e">
        <f t="array" ref="E833">INDEX(C:C,SMALL(IF(ISNUMBER(FIND(CELL("contents"),$C$2:$C$4852)),ROW($C$2:$C$4852),4^8),ROW(C833)))&amp;""</f>
        <v>#N/A</v>
      </c>
    </row>
    <row r="834" ht="14.100000000000001" customHeight="1">
      <c r="B834" s="20" t="s">
        <v>1815</v>
      </c>
      <c r="C834" s="20" t="s">
        <v>1816</v>
      </c>
      <c r="D834" s="20" t="s">
        <v>1815</v>
      </c>
      <c r="E834" s="20" t="e">
        <f t="array" ref="E834">INDEX(C:C,SMALL(IF(ISNUMBER(FIND(CELL("contents"),$C$2:$C$4852)),ROW($C$2:$C$4852),4^8),ROW(C834)))&amp;""</f>
        <v>#N/A</v>
      </c>
    </row>
    <row r="835" ht="14.100000000000001" customHeight="1">
      <c r="B835" s="20" t="s">
        <v>1817</v>
      </c>
      <c r="C835" s="20" t="s">
        <v>1818</v>
      </c>
      <c r="D835" s="20" t="s">
        <v>1817</v>
      </c>
      <c r="E835" s="20" t="e">
        <f t="array" ref="E835">INDEX(C:C,SMALL(IF(ISNUMBER(FIND(CELL("contents"),$C$2:$C$4852)),ROW($C$2:$C$4852),4^8),ROW(C835)))&amp;""</f>
        <v>#N/A</v>
      </c>
    </row>
    <row r="836" ht="14.100000000000001" customHeight="1">
      <c r="B836" s="20" t="s">
        <v>1819</v>
      </c>
      <c r="C836" s="20" t="s">
        <v>1820</v>
      </c>
      <c r="D836" s="20" t="s">
        <v>1819</v>
      </c>
      <c r="E836" s="20" t="e">
        <f t="array" ref="E836">INDEX(C:C,SMALL(IF(ISNUMBER(FIND(CELL("contents"),$C$2:$C$4852)),ROW($C$2:$C$4852),4^8),ROW(C836)))&amp;""</f>
        <v>#N/A</v>
      </c>
    </row>
    <row r="837" ht="14.100000000000001" customHeight="1">
      <c r="B837" s="20" t="s">
        <v>1821</v>
      </c>
      <c r="C837" s="20" t="s">
        <v>1822</v>
      </c>
      <c r="D837" s="20" t="s">
        <v>1821</v>
      </c>
      <c r="E837" s="20" t="e">
        <f t="array" ref="E837">INDEX(C:C,SMALL(IF(ISNUMBER(FIND(CELL("contents"),$C$2:$C$4852)),ROW($C$2:$C$4852),4^8),ROW(C837)))&amp;""</f>
        <v>#N/A</v>
      </c>
    </row>
    <row r="838" ht="14.100000000000001" customHeight="1">
      <c r="B838" s="20" t="s">
        <v>1823</v>
      </c>
      <c r="C838" s="20" t="s">
        <v>1824</v>
      </c>
      <c r="D838" s="20" t="s">
        <v>1823</v>
      </c>
      <c r="E838" s="20" t="e">
        <f t="array" ref="E838">INDEX(C:C,SMALL(IF(ISNUMBER(FIND(CELL("contents"),$C$2:$C$4852)),ROW($C$2:$C$4852),4^8),ROW(C838)))&amp;""</f>
        <v>#N/A</v>
      </c>
    </row>
    <row r="839" ht="14.100000000000001" customHeight="1">
      <c r="B839" s="20" t="s">
        <v>1825</v>
      </c>
      <c r="C839" s="20" t="s">
        <v>1826</v>
      </c>
      <c r="D839" s="20" t="s">
        <v>1825</v>
      </c>
      <c r="E839" s="20" t="e">
        <f t="array" ref="E839">INDEX(C:C,SMALL(IF(ISNUMBER(FIND(CELL("contents"),$C$2:$C$4852)),ROW($C$2:$C$4852),4^8),ROW(C839)))&amp;""</f>
        <v>#N/A</v>
      </c>
    </row>
    <row r="840" ht="14.100000000000001" customHeight="1">
      <c r="B840" s="20" t="s">
        <v>1827</v>
      </c>
      <c r="C840" s="20" t="s">
        <v>1828</v>
      </c>
      <c r="D840" s="20" t="s">
        <v>1827</v>
      </c>
      <c r="E840" s="20" t="e">
        <f t="array" ref="E840">INDEX(C:C,SMALL(IF(ISNUMBER(FIND(CELL("contents"),$C$2:$C$4852)),ROW($C$2:$C$4852),4^8),ROW(C840)))&amp;""</f>
        <v>#N/A</v>
      </c>
    </row>
    <row r="841" ht="14.100000000000001" customHeight="1">
      <c r="B841" s="20" t="s">
        <v>1829</v>
      </c>
      <c r="C841" s="20" t="s">
        <v>1830</v>
      </c>
      <c r="D841" s="20" t="s">
        <v>1829</v>
      </c>
      <c r="E841" s="20" t="e">
        <f t="array" ref="E841">INDEX(C:C,SMALL(IF(ISNUMBER(FIND(CELL("contents"),$C$2:$C$4852)),ROW($C$2:$C$4852),4^8),ROW(C841)))&amp;""</f>
        <v>#N/A</v>
      </c>
    </row>
    <row r="842" ht="14.100000000000001" customHeight="1">
      <c r="B842" s="20" t="s">
        <v>1831</v>
      </c>
      <c r="C842" s="20" t="s">
        <v>1832</v>
      </c>
      <c r="D842" s="20" t="s">
        <v>1831</v>
      </c>
      <c r="E842" s="20" t="e">
        <f t="array" ref="E842">INDEX(C:C,SMALL(IF(ISNUMBER(FIND(CELL("contents"),$C$2:$C$4852)),ROW($C$2:$C$4852),4^8),ROW(C842)))&amp;""</f>
        <v>#N/A</v>
      </c>
    </row>
    <row r="843" ht="14.100000000000001" customHeight="1">
      <c r="B843" s="20" t="s">
        <v>1833</v>
      </c>
      <c r="C843" s="20" t="s">
        <v>1834</v>
      </c>
      <c r="D843" s="20" t="s">
        <v>1833</v>
      </c>
      <c r="E843" s="20" t="e">
        <f t="array" ref="E843">INDEX(C:C,SMALL(IF(ISNUMBER(FIND(CELL("contents"),$C$2:$C$4852)),ROW($C$2:$C$4852),4^8),ROW(C843)))&amp;""</f>
        <v>#N/A</v>
      </c>
    </row>
    <row r="844" ht="14.100000000000001" customHeight="1">
      <c r="B844" s="20" t="s">
        <v>1835</v>
      </c>
      <c r="C844" s="20" t="s">
        <v>1836</v>
      </c>
      <c r="D844" s="20" t="s">
        <v>1835</v>
      </c>
      <c r="E844" s="20" t="e">
        <f t="array" ref="E844">INDEX(C:C,SMALL(IF(ISNUMBER(FIND(CELL("contents"),$C$2:$C$4852)),ROW($C$2:$C$4852),4^8),ROW(C844)))&amp;""</f>
        <v>#N/A</v>
      </c>
    </row>
    <row r="845" ht="14.100000000000001" customHeight="1">
      <c r="B845" s="20" t="s">
        <v>1837</v>
      </c>
      <c r="C845" s="20" t="s">
        <v>1838</v>
      </c>
      <c r="D845" s="20" t="s">
        <v>1837</v>
      </c>
      <c r="E845" s="20" t="e">
        <f t="array" ref="E845">INDEX(C:C,SMALL(IF(ISNUMBER(FIND(CELL("contents"),$C$2:$C$4852)),ROW($C$2:$C$4852),4^8),ROW(C845)))&amp;""</f>
        <v>#N/A</v>
      </c>
    </row>
    <row r="846" ht="14.100000000000001" customHeight="1">
      <c r="B846" s="20" t="s">
        <v>1839</v>
      </c>
      <c r="C846" s="20" t="s">
        <v>1840</v>
      </c>
      <c r="D846" s="20" t="s">
        <v>1839</v>
      </c>
      <c r="E846" s="20" t="e">
        <f t="array" ref="E846">INDEX(C:C,SMALL(IF(ISNUMBER(FIND(CELL("contents"),$C$2:$C$4852)),ROW($C$2:$C$4852),4^8),ROW(C846)))&amp;""</f>
        <v>#N/A</v>
      </c>
    </row>
    <row r="847" ht="14.100000000000001" customHeight="1">
      <c r="B847" s="20" t="s">
        <v>1841</v>
      </c>
      <c r="C847" s="20" t="s">
        <v>1842</v>
      </c>
      <c r="D847" s="20" t="s">
        <v>1841</v>
      </c>
      <c r="E847" s="20" t="e">
        <f t="array" ref="E847">INDEX(C:C,SMALL(IF(ISNUMBER(FIND(CELL("contents"),$C$2:$C$4852)),ROW($C$2:$C$4852),4^8),ROW(C847)))&amp;""</f>
        <v>#N/A</v>
      </c>
    </row>
    <row r="848" ht="14.100000000000001" customHeight="1">
      <c r="B848" s="20" t="s">
        <v>1843</v>
      </c>
      <c r="C848" s="20" t="s">
        <v>1844</v>
      </c>
      <c r="D848" s="20" t="s">
        <v>1843</v>
      </c>
      <c r="E848" s="20" t="e">
        <f t="array" ref="E848">INDEX(C:C,SMALL(IF(ISNUMBER(FIND(CELL("contents"),$C$2:$C$4852)),ROW($C$2:$C$4852),4^8),ROW(C848)))&amp;""</f>
        <v>#N/A</v>
      </c>
    </row>
    <row r="849" ht="14.100000000000001" customHeight="1">
      <c r="B849" s="20" t="s">
        <v>1845</v>
      </c>
      <c r="C849" s="20" t="s">
        <v>1846</v>
      </c>
      <c r="D849" s="20" t="s">
        <v>1845</v>
      </c>
      <c r="E849" s="20" t="e">
        <f t="array" ref="E849">INDEX(C:C,SMALL(IF(ISNUMBER(FIND(CELL("contents"),$C$2:$C$4852)),ROW($C$2:$C$4852),4^8),ROW(C849)))&amp;""</f>
        <v>#N/A</v>
      </c>
    </row>
    <row r="850" ht="14.100000000000001" customHeight="1">
      <c r="B850" s="20" t="s">
        <v>1847</v>
      </c>
      <c r="C850" s="20" t="s">
        <v>1848</v>
      </c>
      <c r="D850" s="20" t="s">
        <v>1847</v>
      </c>
      <c r="E850" s="20" t="e">
        <f t="array" ref="E850">INDEX(C:C,SMALL(IF(ISNUMBER(FIND(CELL("contents"),$C$2:$C$4852)),ROW($C$2:$C$4852),4^8),ROW(C850)))&amp;""</f>
        <v>#N/A</v>
      </c>
    </row>
    <row r="851" ht="14.100000000000001" customHeight="1">
      <c r="B851" s="20" t="s">
        <v>1849</v>
      </c>
      <c r="C851" s="20" t="s">
        <v>1850</v>
      </c>
      <c r="D851" s="20" t="s">
        <v>1849</v>
      </c>
      <c r="E851" s="20" t="e">
        <f t="array" ref="E851">INDEX(C:C,SMALL(IF(ISNUMBER(FIND(CELL("contents"),$C$2:$C$4852)),ROW($C$2:$C$4852),4^8),ROW(C851)))&amp;""</f>
        <v>#N/A</v>
      </c>
    </row>
    <row r="852" ht="14.100000000000001" customHeight="1">
      <c r="B852" s="20" t="s">
        <v>1851</v>
      </c>
      <c r="C852" s="20" t="s">
        <v>1852</v>
      </c>
      <c r="D852" s="20" t="s">
        <v>1851</v>
      </c>
      <c r="E852" s="20" t="e">
        <f t="array" ref="E852">INDEX(C:C,SMALL(IF(ISNUMBER(FIND(CELL("contents"),$C$2:$C$4852)),ROW($C$2:$C$4852),4^8),ROW(C852)))&amp;""</f>
        <v>#N/A</v>
      </c>
    </row>
    <row r="853" ht="14.100000000000001" customHeight="1">
      <c r="B853" s="20" t="s">
        <v>1853</v>
      </c>
      <c r="C853" s="20" t="s">
        <v>1854</v>
      </c>
      <c r="D853" s="20" t="s">
        <v>1853</v>
      </c>
      <c r="E853" s="20" t="e">
        <f t="array" ref="E853">INDEX(C:C,SMALL(IF(ISNUMBER(FIND(CELL("contents"),$C$2:$C$4852)),ROW($C$2:$C$4852),4^8),ROW(C853)))&amp;""</f>
        <v>#N/A</v>
      </c>
    </row>
    <row r="854" ht="14.100000000000001" customHeight="1">
      <c r="B854" s="20" t="s">
        <v>1855</v>
      </c>
      <c r="C854" s="20" t="s">
        <v>1856</v>
      </c>
      <c r="D854" s="20" t="s">
        <v>1855</v>
      </c>
      <c r="E854" s="20" t="e">
        <f t="array" ref="E854">INDEX(C:C,SMALL(IF(ISNUMBER(FIND(CELL("contents"),$C$2:$C$4852)),ROW($C$2:$C$4852),4^8),ROW(C854)))&amp;""</f>
        <v>#N/A</v>
      </c>
    </row>
    <row r="855" ht="14.100000000000001" customHeight="1">
      <c r="B855" s="20" t="s">
        <v>1857</v>
      </c>
      <c r="C855" s="20" t="s">
        <v>1858</v>
      </c>
      <c r="D855" s="20" t="s">
        <v>1857</v>
      </c>
      <c r="E855" s="20" t="e">
        <f t="array" ref="E855">INDEX(C:C,SMALL(IF(ISNUMBER(FIND(CELL("contents"),$C$2:$C$4852)),ROW($C$2:$C$4852),4^8),ROW(C855)))&amp;""</f>
        <v>#N/A</v>
      </c>
    </row>
    <row r="856" ht="14.100000000000001" customHeight="1">
      <c r="B856" s="20" t="s">
        <v>1859</v>
      </c>
      <c r="C856" s="20" t="s">
        <v>1860</v>
      </c>
      <c r="D856" s="20" t="s">
        <v>1859</v>
      </c>
      <c r="E856" s="20" t="e">
        <f t="array" ref="E856">INDEX(C:C,SMALL(IF(ISNUMBER(FIND(CELL("contents"),$C$2:$C$4852)),ROW($C$2:$C$4852),4^8),ROW(C856)))&amp;""</f>
        <v>#N/A</v>
      </c>
    </row>
    <row r="857" ht="14.100000000000001" customHeight="1">
      <c r="B857" s="20" t="s">
        <v>1861</v>
      </c>
      <c r="C857" s="20" t="s">
        <v>1862</v>
      </c>
      <c r="D857" s="20" t="s">
        <v>1861</v>
      </c>
      <c r="E857" s="20" t="e">
        <f t="array" ref="E857">INDEX(C:C,SMALL(IF(ISNUMBER(FIND(CELL("contents"),$C$2:$C$4852)),ROW($C$2:$C$4852),4^8),ROW(C857)))&amp;""</f>
        <v>#N/A</v>
      </c>
    </row>
    <row r="858" ht="14.100000000000001" customHeight="1">
      <c r="B858" s="20" t="s">
        <v>1863</v>
      </c>
      <c r="C858" s="20" t="s">
        <v>1864</v>
      </c>
      <c r="D858" s="20" t="s">
        <v>1863</v>
      </c>
      <c r="E858" s="20" t="e">
        <f t="array" ref="E858">INDEX(C:C,SMALL(IF(ISNUMBER(FIND(CELL("contents"),$C$2:$C$4852)),ROW($C$2:$C$4852),4^8),ROW(C858)))&amp;""</f>
        <v>#N/A</v>
      </c>
    </row>
    <row r="859" ht="14.100000000000001" customHeight="1">
      <c r="B859" s="20" t="s">
        <v>1865</v>
      </c>
      <c r="C859" s="20" t="s">
        <v>1866</v>
      </c>
      <c r="D859" s="20" t="s">
        <v>1865</v>
      </c>
      <c r="E859" s="20" t="e">
        <f t="array" ref="E859">INDEX(C:C,SMALL(IF(ISNUMBER(FIND(CELL("contents"),$C$2:$C$4852)),ROW($C$2:$C$4852),4^8),ROW(C859)))&amp;""</f>
        <v>#N/A</v>
      </c>
    </row>
    <row r="860" ht="14.100000000000001" customHeight="1">
      <c r="B860" s="20" t="s">
        <v>1867</v>
      </c>
      <c r="C860" s="20" t="s">
        <v>1868</v>
      </c>
      <c r="D860" s="20" t="s">
        <v>1867</v>
      </c>
      <c r="E860" s="20" t="e">
        <f t="array" ref="E860">INDEX(C:C,SMALL(IF(ISNUMBER(FIND(CELL("contents"),$C$2:$C$4852)),ROW($C$2:$C$4852),4^8),ROW(C860)))&amp;""</f>
        <v>#N/A</v>
      </c>
    </row>
    <row r="861" ht="14.100000000000001" customHeight="1">
      <c r="B861" s="20" t="s">
        <v>1869</v>
      </c>
      <c r="C861" s="20" t="s">
        <v>1870</v>
      </c>
      <c r="D861" s="20" t="s">
        <v>1869</v>
      </c>
      <c r="E861" s="20" t="e">
        <f t="array" ref="E861">INDEX(C:C,SMALL(IF(ISNUMBER(FIND(CELL("contents"),$C$2:$C$4852)),ROW($C$2:$C$4852),4^8),ROW(C861)))&amp;""</f>
        <v>#N/A</v>
      </c>
    </row>
    <row r="862" ht="14.100000000000001" customHeight="1">
      <c r="B862" s="20" t="s">
        <v>1871</v>
      </c>
      <c r="C862" s="20" t="s">
        <v>1872</v>
      </c>
      <c r="D862" s="20" t="s">
        <v>1871</v>
      </c>
      <c r="E862" s="20" t="e">
        <f t="array" ref="E862">INDEX(C:C,SMALL(IF(ISNUMBER(FIND(CELL("contents"),$C$2:$C$4852)),ROW($C$2:$C$4852),4^8),ROW(C862)))&amp;""</f>
        <v>#N/A</v>
      </c>
    </row>
    <row r="863" ht="14.100000000000001" customHeight="1">
      <c r="B863" s="20" t="s">
        <v>1873</v>
      </c>
      <c r="C863" s="20" t="s">
        <v>1874</v>
      </c>
      <c r="D863" s="20" t="s">
        <v>1873</v>
      </c>
      <c r="E863" s="20" t="e">
        <f t="array" ref="E863">INDEX(C:C,SMALL(IF(ISNUMBER(FIND(CELL("contents"),$C$2:$C$4852)),ROW($C$2:$C$4852),4^8),ROW(C863)))&amp;""</f>
        <v>#N/A</v>
      </c>
    </row>
    <row r="864" ht="14.100000000000001" customHeight="1">
      <c r="B864" s="20" t="s">
        <v>1875</v>
      </c>
      <c r="C864" s="20" t="s">
        <v>1876</v>
      </c>
      <c r="D864" s="20" t="s">
        <v>1875</v>
      </c>
      <c r="E864" s="20" t="e">
        <f t="array" ref="E864">INDEX(C:C,SMALL(IF(ISNUMBER(FIND(CELL("contents"),$C$2:$C$4852)),ROW($C$2:$C$4852),4^8),ROW(C864)))&amp;""</f>
        <v>#N/A</v>
      </c>
    </row>
    <row r="865" ht="14.100000000000001" customHeight="1">
      <c r="B865" s="20" t="s">
        <v>1877</v>
      </c>
      <c r="C865" s="20" t="s">
        <v>1878</v>
      </c>
      <c r="D865" s="20" t="s">
        <v>1877</v>
      </c>
      <c r="E865" s="20" t="e">
        <f t="array" ref="E865">INDEX(C:C,SMALL(IF(ISNUMBER(FIND(CELL("contents"),$C$2:$C$4852)),ROW($C$2:$C$4852),4^8),ROW(C865)))&amp;""</f>
        <v>#N/A</v>
      </c>
    </row>
    <row r="866" ht="14.100000000000001" customHeight="1">
      <c r="B866" s="20" t="s">
        <v>1879</v>
      </c>
      <c r="C866" s="20" t="s">
        <v>1880</v>
      </c>
      <c r="D866" s="20" t="s">
        <v>1879</v>
      </c>
      <c r="E866" s="20" t="e">
        <f t="array" ref="E866">INDEX(C:C,SMALL(IF(ISNUMBER(FIND(CELL("contents"),$C$2:$C$4852)),ROW($C$2:$C$4852),4^8),ROW(C866)))&amp;""</f>
        <v>#N/A</v>
      </c>
    </row>
    <row r="867" ht="14.100000000000001" customHeight="1">
      <c r="B867" s="20" t="s">
        <v>1881</v>
      </c>
      <c r="C867" s="20" t="s">
        <v>1882</v>
      </c>
      <c r="D867" s="20" t="s">
        <v>1881</v>
      </c>
      <c r="E867" s="20" t="e">
        <f t="array" ref="E867">INDEX(C:C,SMALL(IF(ISNUMBER(FIND(CELL("contents"),$C$2:$C$4852)),ROW($C$2:$C$4852),4^8),ROW(C867)))&amp;""</f>
        <v>#N/A</v>
      </c>
    </row>
    <row r="868" ht="14.100000000000001" customHeight="1">
      <c r="B868" s="20" t="s">
        <v>1883</v>
      </c>
      <c r="C868" s="20" t="s">
        <v>1884</v>
      </c>
      <c r="D868" s="20" t="s">
        <v>1883</v>
      </c>
      <c r="E868" s="20" t="e">
        <f t="array" ref="E868">INDEX(C:C,SMALL(IF(ISNUMBER(FIND(CELL("contents"),$C$2:$C$4852)),ROW($C$2:$C$4852),4^8),ROW(C868)))&amp;""</f>
        <v>#N/A</v>
      </c>
    </row>
    <row r="869" ht="14.100000000000001" customHeight="1">
      <c r="B869" s="20" t="s">
        <v>1885</v>
      </c>
      <c r="C869" s="20" t="s">
        <v>1886</v>
      </c>
      <c r="D869" s="20" t="s">
        <v>1885</v>
      </c>
      <c r="E869" s="20" t="e">
        <f t="array" ref="E869">INDEX(C:C,SMALL(IF(ISNUMBER(FIND(CELL("contents"),$C$2:$C$4852)),ROW($C$2:$C$4852),4^8),ROW(C869)))&amp;""</f>
        <v>#N/A</v>
      </c>
    </row>
    <row r="870" ht="14.100000000000001" customHeight="1">
      <c r="B870" s="20" t="s">
        <v>1887</v>
      </c>
      <c r="C870" s="20" t="s">
        <v>1888</v>
      </c>
      <c r="D870" s="20" t="s">
        <v>1887</v>
      </c>
      <c r="E870" s="20" t="e">
        <f t="array" ref="E870">INDEX(C:C,SMALL(IF(ISNUMBER(FIND(CELL("contents"),$C$2:$C$4852)),ROW($C$2:$C$4852),4^8),ROW(C870)))&amp;""</f>
        <v>#N/A</v>
      </c>
    </row>
    <row r="871" ht="14.100000000000001" customHeight="1">
      <c r="B871" s="20" t="s">
        <v>1889</v>
      </c>
      <c r="C871" s="20" t="s">
        <v>1890</v>
      </c>
      <c r="D871" s="20" t="s">
        <v>1889</v>
      </c>
      <c r="E871" s="20" t="e">
        <f t="array" ref="E871">INDEX(C:C,SMALL(IF(ISNUMBER(FIND(CELL("contents"),$C$2:$C$4852)),ROW($C$2:$C$4852),4^8),ROW(C871)))&amp;""</f>
        <v>#N/A</v>
      </c>
    </row>
    <row r="872" ht="14.100000000000001" customHeight="1">
      <c r="B872" s="20" t="s">
        <v>1891</v>
      </c>
      <c r="C872" s="20" t="s">
        <v>1892</v>
      </c>
      <c r="D872" s="20" t="s">
        <v>1891</v>
      </c>
      <c r="E872" s="20" t="e">
        <f t="array" ref="E872">INDEX(C:C,SMALL(IF(ISNUMBER(FIND(CELL("contents"),$C$2:$C$4852)),ROW($C$2:$C$4852),4^8),ROW(C872)))&amp;""</f>
        <v>#N/A</v>
      </c>
    </row>
    <row r="873" ht="14.100000000000001" customHeight="1">
      <c r="B873" s="20" t="s">
        <v>1893</v>
      </c>
      <c r="C873" s="20" t="s">
        <v>1894</v>
      </c>
      <c r="D873" s="20" t="s">
        <v>1893</v>
      </c>
      <c r="E873" s="20" t="e">
        <f t="array" ref="E873">INDEX(C:C,SMALL(IF(ISNUMBER(FIND(CELL("contents"),$C$2:$C$4852)),ROW($C$2:$C$4852),4^8),ROW(C873)))&amp;""</f>
        <v>#N/A</v>
      </c>
    </row>
    <row r="874" ht="14.100000000000001" customHeight="1">
      <c r="B874" s="20" t="s">
        <v>1895</v>
      </c>
      <c r="C874" s="20" t="s">
        <v>1896</v>
      </c>
      <c r="D874" s="20" t="s">
        <v>1895</v>
      </c>
      <c r="E874" s="20" t="e">
        <f t="array" ref="E874">INDEX(C:C,SMALL(IF(ISNUMBER(FIND(CELL("contents"),$C$2:$C$4852)),ROW($C$2:$C$4852),4^8),ROW(C874)))&amp;""</f>
        <v>#N/A</v>
      </c>
    </row>
    <row r="875" ht="14.100000000000001" customHeight="1">
      <c r="B875" s="20" t="s">
        <v>1897</v>
      </c>
      <c r="C875" s="20" t="s">
        <v>1898</v>
      </c>
      <c r="D875" s="20" t="s">
        <v>1897</v>
      </c>
      <c r="E875" s="20" t="e">
        <f t="array" ref="E875">INDEX(C:C,SMALL(IF(ISNUMBER(FIND(CELL("contents"),$C$2:$C$4852)),ROW($C$2:$C$4852),4^8),ROW(C875)))&amp;""</f>
        <v>#N/A</v>
      </c>
    </row>
    <row r="876" ht="14.100000000000001" customHeight="1">
      <c r="B876" s="20" t="s">
        <v>1899</v>
      </c>
      <c r="C876" s="20" t="s">
        <v>1900</v>
      </c>
      <c r="D876" s="20" t="s">
        <v>1899</v>
      </c>
      <c r="E876" s="20" t="e">
        <f t="array" ref="E876">INDEX(C:C,SMALL(IF(ISNUMBER(FIND(CELL("contents"),$C$2:$C$4852)),ROW($C$2:$C$4852),4^8),ROW(C876)))&amp;""</f>
        <v>#N/A</v>
      </c>
    </row>
    <row r="877" ht="14.100000000000001" customHeight="1">
      <c r="B877" s="20" t="s">
        <v>1901</v>
      </c>
      <c r="C877" s="20" t="s">
        <v>1902</v>
      </c>
      <c r="D877" s="20" t="s">
        <v>1901</v>
      </c>
      <c r="E877" s="20" t="e">
        <f t="array" ref="E877">INDEX(C:C,SMALL(IF(ISNUMBER(FIND(CELL("contents"),$C$2:$C$4852)),ROW($C$2:$C$4852),4^8),ROW(C877)))&amp;""</f>
        <v>#N/A</v>
      </c>
    </row>
    <row r="878" ht="14.100000000000001" customHeight="1">
      <c r="B878" s="20" t="s">
        <v>1903</v>
      </c>
      <c r="C878" s="20" t="s">
        <v>1904</v>
      </c>
      <c r="D878" s="20" t="s">
        <v>1903</v>
      </c>
      <c r="E878" s="20" t="e">
        <f t="array" ref="E878">INDEX(C:C,SMALL(IF(ISNUMBER(FIND(CELL("contents"),$C$2:$C$4852)),ROW($C$2:$C$4852),4^8),ROW(C878)))&amp;""</f>
        <v>#N/A</v>
      </c>
    </row>
    <row r="879" ht="14.100000000000001" customHeight="1">
      <c r="B879" s="20" t="s">
        <v>1905</v>
      </c>
      <c r="C879" s="20" t="s">
        <v>1906</v>
      </c>
      <c r="D879" s="20" t="s">
        <v>1905</v>
      </c>
      <c r="E879" s="20" t="e">
        <f t="array" ref="E879">INDEX(C:C,SMALL(IF(ISNUMBER(FIND(CELL("contents"),$C$2:$C$4852)),ROW($C$2:$C$4852),4^8),ROW(C879)))&amp;""</f>
        <v>#N/A</v>
      </c>
    </row>
    <row r="880" ht="14.100000000000001" customHeight="1">
      <c r="B880" s="20" t="s">
        <v>1907</v>
      </c>
      <c r="C880" s="20" t="s">
        <v>1908</v>
      </c>
      <c r="D880" s="20" t="s">
        <v>1907</v>
      </c>
      <c r="E880" s="20" t="e">
        <f t="array" ref="E880">INDEX(C:C,SMALL(IF(ISNUMBER(FIND(CELL("contents"),$C$2:$C$4852)),ROW($C$2:$C$4852),4^8),ROW(C880)))&amp;""</f>
        <v>#N/A</v>
      </c>
    </row>
    <row r="881" ht="14.100000000000001" customHeight="1">
      <c r="B881" s="20" t="s">
        <v>1909</v>
      </c>
      <c r="C881" s="20" t="s">
        <v>1910</v>
      </c>
      <c r="D881" s="20" t="s">
        <v>1909</v>
      </c>
      <c r="E881" s="20" t="e">
        <f t="array" ref="E881">INDEX(C:C,SMALL(IF(ISNUMBER(FIND(CELL("contents"),$C$2:$C$4852)),ROW($C$2:$C$4852),4^8),ROW(C881)))&amp;""</f>
        <v>#N/A</v>
      </c>
    </row>
    <row r="882" ht="14.100000000000001" customHeight="1">
      <c r="B882" s="20" t="s">
        <v>1911</v>
      </c>
      <c r="C882" s="20" t="s">
        <v>1912</v>
      </c>
      <c r="D882" s="20" t="s">
        <v>1911</v>
      </c>
      <c r="E882" s="20" t="e">
        <f t="array" ref="E882">INDEX(C:C,SMALL(IF(ISNUMBER(FIND(CELL("contents"),$C$2:$C$4852)),ROW($C$2:$C$4852),4^8),ROW(C882)))&amp;""</f>
        <v>#N/A</v>
      </c>
    </row>
    <row r="883" ht="14.100000000000001" customHeight="1">
      <c r="B883" s="20" t="s">
        <v>1913</v>
      </c>
      <c r="C883" s="20" t="s">
        <v>1914</v>
      </c>
      <c r="D883" s="20" t="s">
        <v>1913</v>
      </c>
      <c r="E883" s="20" t="e">
        <f t="array" ref="E883">INDEX(C:C,SMALL(IF(ISNUMBER(FIND(CELL("contents"),$C$2:$C$4852)),ROW($C$2:$C$4852),4^8),ROW(C883)))&amp;""</f>
        <v>#N/A</v>
      </c>
    </row>
    <row r="884" ht="14.100000000000001" customHeight="1">
      <c r="B884" s="20" t="s">
        <v>1915</v>
      </c>
      <c r="C884" s="20" t="s">
        <v>1916</v>
      </c>
      <c r="D884" s="20" t="s">
        <v>1915</v>
      </c>
      <c r="E884" s="20" t="e">
        <f t="array" ref="E884">INDEX(C:C,SMALL(IF(ISNUMBER(FIND(CELL("contents"),$C$2:$C$4852)),ROW($C$2:$C$4852),4^8),ROW(C884)))&amp;""</f>
        <v>#N/A</v>
      </c>
    </row>
    <row r="885" ht="14.100000000000001" customHeight="1">
      <c r="B885" s="20" t="s">
        <v>1917</v>
      </c>
      <c r="C885" s="20" t="s">
        <v>1918</v>
      </c>
      <c r="D885" s="20" t="s">
        <v>1917</v>
      </c>
      <c r="E885" s="20" t="e">
        <f t="array" ref="E885">INDEX(C:C,SMALL(IF(ISNUMBER(FIND(CELL("contents"),$C$2:$C$4852)),ROW($C$2:$C$4852),4^8),ROW(C885)))&amp;""</f>
        <v>#N/A</v>
      </c>
    </row>
    <row r="886" ht="14.100000000000001" customHeight="1">
      <c r="B886" s="20" t="s">
        <v>1919</v>
      </c>
      <c r="C886" s="20" t="s">
        <v>1920</v>
      </c>
      <c r="D886" s="20" t="s">
        <v>1919</v>
      </c>
      <c r="E886" s="20" t="e">
        <f t="array" ref="E886">INDEX(C:C,SMALL(IF(ISNUMBER(FIND(CELL("contents"),$C$2:$C$4852)),ROW($C$2:$C$4852),4^8),ROW(C886)))&amp;""</f>
        <v>#N/A</v>
      </c>
    </row>
    <row r="887" ht="14.100000000000001" customHeight="1">
      <c r="B887" s="20" t="s">
        <v>1921</v>
      </c>
      <c r="C887" s="20" t="s">
        <v>1922</v>
      </c>
      <c r="D887" s="20" t="s">
        <v>1921</v>
      </c>
      <c r="E887" s="20" t="e">
        <f t="array" ref="E887">INDEX(C:C,SMALL(IF(ISNUMBER(FIND(CELL("contents"),$C$2:$C$4852)),ROW($C$2:$C$4852),4^8),ROW(C887)))&amp;""</f>
        <v>#N/A</v>
      </c>
    </row>
    <row r="888" ht="14.100000000000001" customHeight="1">
      <c r="B888" s="20" t="s">
        <v>1923</v>
      </c>
      <c r="C888" s="20" t="s">
        <v>1924</v>
      </c>
      <c r="D888" s="20" t="s">
        <v>1923</v>
      </c>
      <c r="E888" s="20" t="e">
        <f t="array" ref="E888">INDEX(C:C,SMALL(IF(ISNUMBER(FIND(CELL("contents"),$C$2:$C$4852)),ROW($C$2:$C$4852),4^8),ROW(C888)))&amp;""</f>
        <v>#N/A</v>
      </c>
    </row>
    <row r="889" ht="14.100000000000001" customHeight="1">
      <c r="B889" s="20" t="s">
        <v>1925</v>
      </c>
      <c r="C889" s="20" t="s">
        <v>1926</v>
      </c>
      <c r="D889" s="20" t="s">
        <v>1925</v>
      </c>
      <c r="E889" s="20" t="e">
        <f t="array" ref="E889">INDEX(C:C,SMALL(IF(ISNUMBER(FIND(CELL("contents"),$C$2:$C$4852)),ROW($C$2:$C$4852),4^8),ROW(C889)))&amp;""</f>
        <v>#N/A</v>
      </c>
    </row>
    <row r="890" ht="14.100000000000001" customHeight="1">
      <c r="B890" s="20" t="s">
        <v>1927</v>
      </c>
      <c r="C890" s="20" t="s">
        <v>1928</v>
      </c>
      <c r="D890" s="20" t="s">
        <v>1927</v>
      </c>
      <c r="E890" s="20" t="e">
        <f t="array" ref="E890">INDEX(C:C,SMALL(IF(ISNUMBER(FIND(CELL("contents"),$C$2:$C$4852)),ROW($C$2:$C$4852),4^8),ROW(C890)))&amp;""</f>
        <v>#N/A</v>
      </c>
    </row>
    <row r="891" ht="14.100000000000001" customHeight="1">
      <c r="B891" s="20" t="s">
        <v>1929</v>
      </c>
      <c r="C891" s="20" t="s">
        <v>1930</v>
      </c>
      <c r="D891" s="20" t="s">
        <v>1929</v>
      </c>
      <c r="E891" s="20" t="e">
        <f t="array" ref="E891">INDEX(C:C,SMALL(IF(ISNUMBER(FIND(CELL("contents"),$C$2:$C$4852)),ROW($C$2:$C$4852),4^8),ROW(C891)))&amp;""</f>
        <v>#N/A</v>
      </c>
    </row>
    <row r="892" ht="14.100000000000001" customHeight="1">
      <c r="B892" s="20" t="s">
        <v>1931</v>
      </c>
      <c r="C892" s="20" t="s">
        <v>1932</v>
      </c>
      <c r="D892" s="20" t="s">
        <v>1931</v>
      </c>
      <c r="E892" s="20" t="e">
        <f t="array" ref="E892">INDEX(C:C,SMALL(IF(ISNUMBER(FIND(CELL("contents"),$C$2:$C$4852)),ROW($C$2:$C$4852),4^8),ROW(C892)))&amp;""</f>
        <v>#N/A</v>
      </c>
    </row>
    <row r="893" ht="14.100000000000001" customHeight="1">
      <c r="B893" s="20" t="s">
        <v>1933</v>
      </c>
      <c r="C893" s="20" t="s">
        <v>1934</v>
      </c>
      <c r="D893" s="20" t="s">
        <v>1933</v>
      </c>
      <c r="E893" s="20" t="e">
        <f t="array" ref="E893">INDEX(C:C,SMALL(IF(ISNUMBER(FIND(CELL("contents"),$C$2:$C$4852)),ROW($C$2:$C$4852),4^8),ROW(C893)))&amp;""</f>
        <v>#N/A</v>
      </c>
    </row>
    <row r="894" ht="14.100000000000001" customHeight="1">
      <c r="B894" s="20" t="s">
        <v>1935</v>
      </c>
      <c r="C894" s="20" t="s">
        <v>1936</v>
      </c>
      <c r="D894" s="20" t="s">
        <v>1935</v>
      </c>
      <c r="E894" s="20" t="e">
        <f t="array" ref="E894">INDEX(C:C,SMALL(IF(ISNUMBER(FIND(CELL("contents"),$C$2:$C$4852)),ROW($C$2:$C$4852),4^8),ROW(C894)))&amp;""</f>
        <v>#N/A</v>
      </c>
    </row>
    <row r="895" ht="14.100000000000001" customHeight="1">
      <c r="B895" s="20" t="s">
        <v>1937</v>
      </c>
      <c r="C895" s="20" t="s">
        <v>1938</v>
      </c>
      <c r="D895" s="20" t="s">
        <v>1937</v>
      </c>
      <c r="E895" s="20" t="e">
        <f t="array" ref="E895">INDEX(C:C,SMALL(IF(ISNUMBER(FIND(CELL("contents"),$C$2:$C$4852)),ROW($C$2:$C$4852),4^8),ROW(C895)))&amp;""</f>
        <v>#N/A</v>
      </c>
    </row>
    <row r="896" ht="14.100000000000001" customHeight="1">
      <c r="B896" s="20" t="s">
        <v>1939</v>
      </c>
      <c r="C896" s="20" t="s">
        <v>1940</v>
      </c>
      <c r="D896" s="20" t="s">
        <v>1939</v>
      </c>
      <c r="E896" s="20" t="e">
        <f t="array" ref="E896">INDEX(C:C,SMALL(IF(ISNUMBER(FIND(CELL("contents"),$C$2:$C$4852)),ROW($C$2:$C$4852),4^8),ROW(C896)))&amp;""</f>
        <v>#N/A</v>
      </c>
    </row>
    <row r="897" ht="14.100000000000001" customHeight="1">
      <c r="B897" s="20" t="s">
        <v>1941</v>
      </c>
      <c r="C897" s="20" t="s">
        <v>1942</v>
      </c>
      <c r="D897" s="20" t="s">
        <v>1941</v>
      </c>
      <c r="E897" s="20" t="e">
        <f t="array" ref="E897">INDEX(C:C,SMALL(IF(ISNUMBER(FIND(CELL("contents"),$C$2:$C$4852)),ROW($C$2:$C$4852),4^8),ROW(C897)))&amp;""</f>
        <v>#N/A</v>
      </c>
    </row>
    <row r="898" ht="14.100000000000001" customHeight="1">
      <c r="B898" s="20" t="s">
        <v>1943</v>
      </c>
      <c r="C898" s="20" t="s">
        <v>1944</v>
      </c>
      <c r="D898" s="20" t="s">
        <v>1943</v>
      </c>
      <c r="E898" s="20" t="e">
        <f t="array" ref="E898">INDEX(C:C,SMALL(IF(ISNUMBER(FIND(CELL("contents"),$C$2:$C$4852)),ROW($C$2:$C$4852),4^8),ROW(C898)))&amp;""</f>
        <v>#N/A</v>
      </c>
    </row>
    <row r="899" ht="14.100000000000001" customHeight="1">
      <c r="B899" s="20" t="s">
        <v>1945</v>
      </c>
      <c r="C899" s="20" t="s">
        <v>1946</v>
      </c>
      <c r="D899" s="20" t="s">
        <v>1945</v>
      </c>
      <c r="E899" s="20" t="e">
        <f t="array" ref="E899">INDEX(C:C,SMALL(IF(ISNUMBER(FIND(CELL("contents"),$C$2:$C$4852)),ROW($C$2:$C$4852),4^8),ROW(C899)))&amp;""</f>
        <v>#N/A</v>
      </c>
    </row>
    <row r="900" ht="14.100000000000001" customHeight="1">
      <c r="B900" s="20" t="s">
        <v>1947</v>
      </c>
      <c r="C900" s="20" t="s">
        <v>1948</v>
      </c>
      <c r="D900" s="20" t="s">
        <v>1947</v>
      </c>
      <c r="E900" s="20" t="e">
        <f t="array" ref="E900">INDEX(C:C,SMALL(IF(ISNUMBER(FIND(CELL("contents"),$C$2:$C$4852)),ROW($C$2:$C$4852),4^8),ROW(C900)))&amp;""</f>
        <v>#N/A</v>
      </c>
    </row>
    <row r="901" ht="14.100000000000001" customHeight="1">
      <c r="B901" s="20" t="s">
        <v>1949</v>
      </c>
      <c r="C901" s="20" t="s">
        <v>1950</v>
      </c>
      <c r="D901" s="20" t="s">
        <v>1949</v>
      </c>
      <c r="E901" s="20" t="e">
        <f t="array" ref="E901">INDEX(C:C,SMALL(IF(ISNUMBER(FIND(CELL("contents"),$C$2:$C$4852)),ROW($C$2:$C$4852),4^8),ROW(C901)))&amp;""</f>
        <v>#N/A</v>
      </c>
    </row>
    <row r="902" ht="14.100000000000001" customHeight="1">
      <c r="B902" s="20" t="s">
        <v>1951</v>
      </c>
      <c r="C902" s="20" t="s">
        <v>1952</v>
      </c>
      <c r="D902" s="20" t="s">
        <v>1951</v>
      </c>
      <c r="E902" s="20" t="e">
        <f t="array" ref="E902">INDEX(C:C,SMALL(IF(ISNUMBER(FIND(CELL("contents"),$C$2:$C$4852)),ROW($C$2:$C$4852),4^8),ROW(C902)))&amp;""</f>
        <v>#N/A</v>
      </c>
    </row>
    <row r="903" ht="14.100000000000001" customHeight="1">
      <c r="B903" s="20" t="s">
        <v>1953</v>
      </c>
      <c r="C903" s="20" t="s">
        <v>1954</v>
      </c>
      <c r="D903" s="20" t="s">
        <v>1953</v>
      </c>
      <c r="E903" s="20" t="e">
        <f t="array" ref="E903">INDEX(C:C,SMALL(IF(ISNUMBER(FIND(CELL("contents"),$C$2:$C$4852)),ROW($C$2:$C$4852),4^8),ROW(C903)))&amp;""</f>
        <v>#N/A</v>
      </c>
    </row>
    <row r="904" ht="14.100000000000001" customHeight="1">
      <c r="B904" s="20" t="s">
        <v>1955</v>
      </c>
      <c r="C904" s="20" t="s">
        <v>1956</v>
      </c>
      <c r="D904" s="20" t="s">
        <v>1955</v>
      </c>
      <c r="E904" s="20" t="e">
        <f t="array" ref="E904">INDEX(C:C,SMALL(IF(ISNUMBER(FIND(CELL("contents"),$C$2:$C$4852)),ROW($C$2:$C$4852),4^8),ROW(C904)))&amp;""</f>
        <v>#N/A</v>
      </c>
    </row>
    <row r="905" ht="14.100000000000001" customHeight="1">
      <c r="B905" s="20" t="s">
        <v>1957</v>
      </c>
      <c r="C905" s="20" t="s">
        <v>1958</v>
      </c>
      <c r="D905" s="20" t="s">
        <v>1957</v>
      </c>
      <c r="E905" s="20" t="e">
        <f t="array" ref="E905">INDEX(C:C,SMALL(IF(ISNUMBER(FIND(CELL("contents"),$C$2:$C$4852)),ROW($C$2:$C$4852),4^8),ROW(C905)))&amp;""</f>
        <v>#N/A</v>
      </c>
    </row>
    <row r="906" ht="14.100000000000001" customHeight="1">
      <c r="B906" s="20" t="s">
        <v>1959</v>
      </c>
      <c r="C906" s="20" t="s">
        <v>1960</v>
      </c>
      <c r="D906" s="20" t="s">
        <v>1959</v>
      </c>
      <c r="E906" s="20" t="e">
        <f t="array" ref="E906">INDEX(C:C,SMALL(IF(ISNUMBER(FIND(CELL("contents"),$C$2:$C$4852)),ROW($C$2:$C$4852),4^8),ROW(C906)))&amp;""</f>
        <v>#N/A</v>
      </c>
    </row>
    <row r="907" ht="14.100000000000001" customHeight="1">
      <c r="B907" s="20" t="s">
        <v>1961</v>
      </c>
      <c r="C907" s="20" t="s">
        <v>1962</v>
      </c>
      <c r="D907" s="20" t="s">
        <v>1961</v>
      </c>
      <c r="E907" s="20" t="e">
        <f t="array" ref="E907">INDEX(C:C,SMALL(IF(ISNUMBER(FIND(CELL("contents"),$C$2:$C$4852)),ROW($C$2:$C$4852),4^8),ROW(C907)))&amp;""</f>
        <v>#N/A</v>
      </c>
    </row>
    <row r="908" ht="14.100000000000001" customHeight="1">
      <c r="B908" s="20" t="s">
        <v>1963</v>
      </c>
      <c r="C908" s="20" t="s">
        <v>1964</v>
      </c>
      <c r="D908" s="20" t="s">
        <v>1963</v>
      </c>
      <c r="E908" s="20" t="e">
        <f t="array" ref="E908">INDEX(C:C,SMALL(IF(ISNUMBER(FIND(CELL("contents"),$C$2:$C$4852)),ROW($C$2:$C$4852),4^8),ROW(C908)))&amp;""</f>
        <v>#N/A</v>
      </c>
    </row>
    <row r="909" ht="14.100000000000001" customHeight="1">
      <c r="B909" s="20" t="s">
        <v>1965</v>
      </c>
      <c r="C909" s="20" t="s">
        <v>1966</v>
      </c>
      <c r="D909" s="20" t="s">
        <v>1965</v>
      </c>
      <c r="E909" s="20" t="e">
        <f t="array" ref="E909">INDEX(C:C,SMALL(IF(ISNUMBER(FIND(CELL("contents"),$C$2:$C$4852)),ROW($C$2:$C$4852),4^8),ROW(C909)))&amp;""</f>
        <v>#N/A</v>
      </c>
    </row>
    <row r="910" ht="14.100000000000001" customHeight="1">
      <c r="B910" s="20" t="s">
        <v>1967</v>
      </c>
      <c r="C910" s="20" t="s">
        <v>1968</v>
      </c>
      <c r="D910" s="20" t="s">
        <v>1967</v>
      </c>
      <c r="E910" s="20" t="e">
        <f t="array" ref="E910">INDEX(C:C,SMALL(IF(ISNUMBER(FIND(CELL("contents"),$C$2:$C$4852)),ROW($C$2:$C$4852),4^8),ROW(C910)))&amp;""</f>
        <v>#N/A</v>
      </c>
    </row>
    <row r="911" ht="14.100000000000001" customHeight="1">
      <c r="B911" s="20" t="s">
        <v>1969</v>
      </c>
      <c r="C911" s="20" t="s">
        <v>1970</v>
      </c>
      <c r="D911" s="20" t="s">
        <v>1969</v>
      </c>
      <c r="E911" s="20" t="e">
        <f t="array" ref="E911">INDEX(C:C,SMALL(IF(ISNUMBER(FIND(CELL("contents"),$C$2:$C$4852)),ROW($C$2:$C$4852),4^8),ROW(C911)))&amp;""</f>
        <v>#N/A</v>
      </c>
    </row>
    <row r="912" ht="14.100000000000001" customHeight="1">
      <c r="B912" s="20" t="s">
        <v>1971</v>
      </c>
      <c r="C912" s="20" t="s">
        <v>1972</v>
      </c>
      <c r="D912" s="20" t="s">
        <v>1971</v>
      </c>
      <c r="E912" s="20" t="e">
        <f t="array" ref="E912">INDEX(C:C,SMALL(IF(ISNUMBER(FIND(CELL("contents"),$C$2:$C$4852)),ROW($C$2:$C$4852),4^8),ROW(C912)))&amp;""</f>
        <v>#N/A</v>
      </c>
    </row>
    <row r="913" ht="14.100000000000001" customHeight="1">
      <c r="B913" s="20" t="s">
        <v>1973</v>
      </c>
      <c r="C913" s="20" t="s">
        <v>1974</v>
      </c>
      <c r="D913" s="20" t="s">
        <v>1973</v>
      </c>
      <c r="E913" s="20" t="e">
        <f t="array" ref="E913">INDEX(C:C,SMALL(IF(ISNUMBER(FIND(CELL("contents"),$C$2:$C$4852)),ROW($C$2:$C$4852),4^8),ROW(C913)))&amp;""</f>
        <v>#N/A</v>
      </c>
    </row>
    <row r="914" ht="14.100000000000001" customHeight="1">
      <c r="B914" s="20" t="s">
        <v>1975</v>
      </c>
      <c r="C914" s="20" t="s">
        <v>1976</v>
      </c>
      <c r="D914" s="20" t="s">
        <v>1975</v>
      </c>
      <c r="E914" s="20" t="e">
        <f t="array" ref="E914">INDEX(C:C,SMALL(IF(ISNUMBER(FIND(CELL("contents"),$C$2:$C$4852)),ROW($C$2:$C$4852),4^8),ROW(C914)))&amp;""</f>
        <v>#N/A</v>
      </c>
    </row>
    <row r="915" ht="14.100000000000001" customHeight="1">
      <c r="B915" s="20" t="s">
        <v>1977</v>
      </c>
      <c r="C915" s="20" t="s">
        <v>1978</v>
      </c>
      <c r="D915" s="20" t="s">
        <v>1977</v>
      </c>
      <c r="E915" s="20" t="e">
        <f t="array" ref="E915">INDEX(C:C,SMALL(IF(ISNUMBER(FIND(CELL("contents"),$C$2:$C$4852)),ROW($C$2:$C$4852),4^8),ROW(C915)))&amp;""</f>
        <v>#N/A</v>
      </c>
    </row>
    <row r="916" ht="14.100000000000001" customHeight="1">
      <c r="B916" s="20" t="s">
        <v>1979</v>
      </c>
      <c r="C916" s="20" t="s">
        <v>1980</v>
      </c>
      <c r="D916" s="20" t="s">
        <v>1979</v>
      </c>
      <c r="E916" s="20" t="e">
        <f t="array" ref="E916">INDEX(C:C,SMALL(IF(ISNUMBER(FIND(CELL("contents"),$C$2:$C$4852)),ROW($C$2:$C$4852),4^8),ROW(C916)))&amp;""</f>
        <v>#N/A</v>
      </c>
    </row>
    <row r="917" ht="14.100000000000001" customHeight="1">
      <c r="B917" s="20" t="s">
        <v>1981</v>
      </c>
      <c r="C917" s="20" t="s">
        <v>1982</v>
      </c>
      <c r="D917" s="20" t="s">
        <v>1981</v>
      </c>
      <c r="E917" s="20" t="e">
        <f t="array" ref="E917">INDEX(C:C,SMALL(IF(ISNUMBER(FIND(CELL("contents"),$C$2:$C$4852)),ROW($C$2:$C$4852),4^8),ROW(C917)))&amp;""</f>
        <v>#N/A</v>
      </c>
    </row>
    <row r="918" ht="14.100000000000001" customHeight="1">
      <c r="B918" s="20" t="s">
        <v>1983</v>
      </c>
      <c r="C918" s="20" t="s">
        <v>1984</v>
      </c>
      <c r="D918" s="20" t="s">
        <v>1983</v>
      </c>
      <c r="E918" s="20" t="e">
        <f t="array" ref="E918">INDEX(C:C,SMALL(IF(ISNUMBER(FIND(CELL("contents"),$C$2:$C$4852)),ROW($C$2:$C$4852),4^8),ROW(C918)))&amp;""</f>
        <v>#N/A</v>
      </c>
    </row>
    <row r="919" ht="14.100000000000001" customHeight="1">
      <c r="B919" s="20" t="s">
        <v>1985</v>
      </c>
      <c r="C919" s="20" t="s">
        <v>1986</v>
      </c>
      <c r="D919" s="20" t="s">
        <v>1985</v>
      </c>
      <c r="E919" s="20" t="e">
        <f t="array" ref="E919">INDEX(C:C,SMALL(IF(ISNUMBER(FIND(CELL("contents"),$C$2:$C$4852)),ROW($C$2:$C$4852),4^8),ROW(C919)))&amp;""</f>
        <v>#N/A</v>
      </c>
    </row>
    <row r="920" ht="14.100000000000001" customHeight="1">
      <c r="B920" s="20" t="s">
        <v>1987</v>
      </c>
      <c r="C920" s="20" t="s">
        <v>1988</v>
      </c>
      <c r="D920" s="20" t="s">
        <v>1987</v>
      </c>
      <c r="E920" s="20" t="e">
        <f t="array" ref="E920">INDEX(C:C,SMALL(IF(ISNUMBER(FIND(CELL("contents"),$C$2:$C$4852)),ROW($C$2:$C$4852),4^8),ROW(C920)))&amp;""</f>
        <v>#N/A</v>
      </c>
    </row>
    <row r="921" ht="14.100000000000001" customHeight="1">
      <c r="B921" s="20" t="s">
        <v>1989</v>
      </c>
      <c r="C921" s="20" t="s">
        <v>1990</v>
      </c>
      <c r="D921" s="20" t="s">
        <v>1989</v>
      </c>
      <c r="E921" s="20" t="e">
        <f t="array" ref="E921">INDEX(C:C,SMALL(IF(ISNUMBER(FIND(CELL("contents"),$C$2:$C$4852)),ROW($C$2:$C$4852),4^8),ROW(C921)))&amp;""</f>
        <v>#N/A</v>
      </c>
    </row>
    <row r="922" ht="14.100000000000001" customHeight="1">
      <c r="B922" s="20" t="s">
        <v>1991</v>
      </c>
      <c r="C922" s="20" t="s">
        <v>1992</v>
      </c>
      <c r="D922" s="20" t="s">
        <v>1991</v>
      </c>
      <c r="E922" s="20" t="e">
        <f t="array" ref="E922">INDEX(C:C,SMALL(IF(ISNUMBER(FIND(CELL("contents"),$C$2:$C$4852)),ROW($C$2:$C$4852),4^8),ROW(C922)))&amp;""</f>
        <v>#N/A</v>
      </c>
    </row>
    <row r="923" ht="14.100000000000001" customHeight="1">
      <c r="B923" s="20" t="s">
        <v>1993</v>
      </c>
      <c r="C923" s="20" t="s">
        <v>1994</v>
      </c>
      <c r="D923" s="20" t="s">
        <v>1993</v>
      </c>
      <c r="E923" s="20" t="e">
        <f t="array" ref="E923">INDEX(C:C,SMALL(IF(ISNUMBER(FIND(CELL("contents"),$C$2:$C$4852)),ROW($C$2:$C$4852),4^8),ROW(C923)))&amp;""</f>
        <v>#N/A</v>
      </c>
    </row>
    <row r="924" ht="14.100000000000001" customHeight="1">
      <c r="B924" s="20" t="s">
        <v>1995</v>
      </c>
      <c r="C924" s="20" t="s">
        <v>1996</v>
      </c>
      <c r="D924" s="20" t="s">
        <v>1995</v>
      </c>
      <c r="E924" s="20" t="e">
        <f t="array" ref="E924">INDEX(C:C,SMALL(IF(ISNUMBER(FIND(CELL("contents"),$C$2:$C$4852)),ROW($C$2:$C$4852),4^8),ROW(C924)))&amp;""</f>
        <v>#N/A</v>
      </c>
    </row>
    <row r="925" ht="14.100000000000001" customHeight="1">
      <c r="B925" s="20" t="s">
        <v>1997</v>
      </c>
      <c r="C925" s="20" t="s">
        <v>1998</v>
      </c>
      <c r="D925" s="20" t="s">
        <v>1997</v>
      </c>
      <c r="E925" s="20" t="e">
        <f t="array" ref="E925">INDEX(C:C,SMALL(IF(ISNUMBER(FIND(CELL("contents"),$C$2:$C$4852)),ROW($C$2:$C$4852),4^8),ROW(C925)))&amp;""</f>
        <v>#N/A</v>
      </c>
    </row>
    <row r="926" ht="14.100000000000001" customHeight="1">
      <c r="B926" s="20" t="s">
        <v>1999</v>
      </c>
      <c r="C926" s="20" t="s">
        <v>2000</v>
      </c>
      <c r="D926" s="20" t="s">
        <v>1999</v>
      </c>
      <c r="E926" s="20" t="e">
        <f t="array" ref="E926">INDEX(C:C,SMALL(IF(ISNUMBER(FIND(CELL("contents"),$C$2:$C$4852)),ROW($C$2:$C$4852),4^8),ROW(C926)))&amp;""</f>
        <v>#N/A</v>
      </c>
    </row>
    <row r="927" ht="14.100000000000001" customHeight="1">
      <c r="B927" s="20" t="s">
        <v>2001</v>
      </c>
      <c r="C927" s="20" t="s">
        <v>2002</v>
      </c>
      <c r="D927" s="20" t="s">
        <v>2001</v>
      </c>
      <c r="E927" s="20" t="e">
        <f t="array" ref="E927">INDEX(C:C,SMALL(IF(ISNUMBER(FIND(CELL("contents"),$C$2:$C$4852)),ROW($C$2:$C$4852),4^8),ROW(C927)))&amp;""</f>
        <v>#N/A</v>
      </c>
    </row>
    <row r="928" ht="14.100000000000001" customHeight="1">
      <c r="B928" s="20" t="s">
        <v>2003</v>
      </c>
      <c r="C928" s="20" t="s">
        <v>2004</v>
      </c>
      <c r="D928" s="20" t="s">
        <v>2003</v>
      </c>
      <c r="E928" s="20" t="e">
        <f t="array" ref="E928">INDEX(C:C,SMALL(IF(ISNUMBER(FIND(CELL("contents"),$C$2:$C$4852)),ROW($C$2:$C$4852),4^8),ROW(C928)))&amp;""</f>
        <v>#N/A</v>
      </c>
    </row>
    <row r="929" ht="14.100000000000001" customHeight="1">
      <c r="B929" s="20" t="s">
        <v>2005</v>
      </c>
      <c r="C929" s="20" t="s">
        <v>2006</v>
      </c>
      <c r="D929" s="20" t="s">
        <v>2005</v>
      </c>
      <c r="E929" s="20" t="e">
        <f t="array" ref="E929">INDEX(C:C,SMALL(IF(ISNUMBER(FIND(CELL("contents"),$C$2:$C$4852)),ROW($C$2:$C$4852),4^8),ROW(C929)))&amp;""</f>
        <v>#N/A</v>
      </c>
    </row>
    <row r="930" ht="14.100000000000001" customHeight="1">
      <c r="B930" s="20" t="s">
        <v>2007</v>
      </c>
      <c r="C930" s="20" t="s">
        <v>2008</v>
      </c>
      <c r="D930" s="20" t="s">
        <v>2007</v>
      </c>
      <c r="E930" s="20" t="e">
        <f t="array" ref="E930">INDEX(C:C,SMALL(IF(ISNUMBER(FIND(CELL("contents"),$C$2:$C$4852)),ROW($C$2:$C$4852),4^8),ROW(C930)))&amp;""</f>
        <v>#N/A</v>
      </c>
    </row>
    <row r="931" ht="14.100000000000001" customHeight="1">
      <c r="B931" s="20" t="s">
        <v>2009</v>
      </c>
      <c r="C931" s="20" t="s">
        <v>2010</v>
      </c>
      <c r="D931" s="20" t="s">
        <v>2009</v>
      </c>
      <c r="E931" s="20" t="e">
        <f t="array" ref="E931">INDEX(C:C,SMALL(IF(ISNUMBER(FIND(CELL("contents"),$C$2:$C$4852)),ROW($C$2:$C$4852),4^8),ROW(C931)))&amp;""</f>
        <v>#N/A</v>
      </c>
    </row>
    <row r="932" ht="14.100000000000001" customHeight="1">
      <c r="B932" s="20" t="s">
        <v>2011</v>
      </c>
      <c r="C932" s="20" t="s">
        <v>2012</v>
      </c>
      <c r="D932" s="20" t="s">
        <v>2011</v>
      </c>
      <c r="E932" s="20" t="e">
        <f t="array" ref="E932">INDEX(C:C,SMALL(IF(ISNUMBER(FIND(CELL("contents"),$C$2:$C$4852)),ROW($C$2:$C$4852),4^8),ROW(C932)))&amp;""</f>
        <v>#N/A</v>
      </c>
    </row>
    <row r="933" ht="14.100000000000001" customHeight="1">
      <c r="B933" s="20" t="s">
        <v>2013</v>
      </c>
      <c r="C933" s="20" t="s">
        <v>2014</v>
      </c>
      <c r="D933" s="20" t="s">
        <v>2013</v>
      </c>
      <c r="E933" s="20" t="e">
        <f t="array" ref="E933">INDEX(C:C,SMALL(IF(ISNUMBER(FIND(CELL("contents"),$C$2:$C$4852)),ROW($C$2:$C$4852),4^8),ROW(C933)))&amp;""</f>
        <v>#N/A</v>
      </c>
    </row>
    <row r="934" ht="14.100000000000001" customHeight="1">
      <c r="B934" s="20" t="s">
        <v>2015</v>
      </c>
      <c r="C934" s="20" t="s">
        <v>2016</v>
      </c>
      <c r="D934" s="20" t="s">
        <v>2015</v>
      </c>
      <c r="E934" s="20" t="e">
        <f t="array" ref="E934">INDEX(C:C,SMALL(IF(ISNUMBER(FIND(CELL("contents"),$C$2:$C$4852)),ROW($C$2:$C$4852),4^8),ROW(C934)))&amp;""</f>
        <v>#N/A</v>
      </c>
    </row>
    <row r="935" ht="14.100000000000001" customHeight="1">
      <c r="B935" s="20" t="s">
        <v>2017</v>
      </c>
      <c r="C935" s="20" t="s">
        <v>2018</v>
      </c>
      <c r="D935" s="20" t="s">
        <v>2017</v>
      </c>
      <c r="E935" s="20" t="e">
        <f t="array" ref="E935">INDEX(C:C,SMALL(IF(ISNUMBER(FIND(CELL("contents"),$C$2:$C$4852)),ROW($C$2:$C$4852),4^8),ROW(C935)))&amp;""</f>
        <v>#N/A</v>
      </c>
    </row>
    <row r="936" ht="14.100000000000001" customHeight="1">
      <c r="B936" s="20" t="s">
        <v>2019</v>
      </c>
      <c r="C936" s="20" t="s">
        <v>2020</v>
      </c>
      <c r="D936" s="20" t="s">
        <v>2019</v>
      </c>
      <c r="E936" s="20" t="e">
        <f t="array" ref="E936">INDEX(C:C,SMALL(IF(ISNUMBER(FIND(CELL("contents"),$C$2:$C$4852)),ROW($C$2:$C$4852),4^8),ROW(C936)))&amp;""</f>
        <v>#N/A</v>
      </c>
    </row>
    <row r="937" ht="14.100000000000001" customHeight="1">
      <c r="B937" s="20" t="s">
        <v>2021</v>
      </c>
      <c r="C937" s="20" t="s">
        <v>2022</v>
      </c>
      <c r="D937" s="20" t="s">
        <v>2021</v>
      </c>
      <c r="E937" s="20" t="e">
        <f t="array" ref="E937">INDEX(C:C,SMALL(IF(ISNUMBER(FIND(CELL("contents"),$C$2:$C$4852)),ROW($C$2:$C$4852),4^8),ROW(C937)))&amp;""</f>
        <v>#N/A</v>
      </c>
    </row>
    <row r="938" ht="14.100000000000001" customHeight="1">
      <c r="B938" s="20" t="s">
        <v>2023</v>
      </c>
      <c r="C938" s="20" t="s">
        <v>2024</v>
      </c>
      <c r="D938" s="20" t="s">
        <v>2023</v>
      </c>
      <c r="E938" s="20" t="e">
        <f t="array" ref="E938">INDEX(C:C,SMALL(IF(ISNUMBER(FIND(CELL("contents"),$C$2:$C$4852)),ROW($C$2:$C$4852),4^8),ROW(C938)))&amp;""</f>
        <v>#N/A</v>
      </c>
    </row>
    <row r="939" ht="14.100000000000001" customHeight="1">
      <c r="B939" s="20" t="s">
        <v>2025</v>
      </c>
      <c r="C939" s="20" t="s">
        <v>2026</v>
      </c>
      <c r="D939" s="20" t="s">
        <v>2025</v>
      </c>
      <c r="E939" s="20" t="e">
        <f t="array" ref="E939">INDEX(C:C,SMALL(IF(ISNUMBER(FIND(CELL("contents"),$C$2:$C$4852)),ROW($C$2:$C$4852),4^8),ROW(C939)))&amp;""</f>
        <v>#N/A</v>
      </c>
    </row>
    <row r="940" ht="14.100000000000001" customHeight="1">
      <c r="B940" s="20" t="s">
        <v>2027</v>
      </c>
      <c r="C940" s="20" t="s">
        <v>2028</v>
      </c>
      <c r="D940" s="20" t="s">
        <v>2027</v>
      </c>
      <c r="E940" s="20" t="e">
        <f t="array" ref="E940">INDEX(C:C,SMALL(IF(ISNUMBER(FIND(CELL("contents"),$C$2:$C$4852)),ROW($C$2:$C$4852),4^8),ROW(C940)))&amp;""</f>
        <v>#N/A</v>
      </c>
    </row>
    <row r="941" ht="14.100000000000001" customHeight="1">
      <c r="B941" s="20" t="s">
        <v>2029</v>
      </c>
      <c r="C941" s="20" t="s">
        <v>2030</v>
      </c>
      <c r="D941" s="20" t="s">
        <v>2029</v>
      </c>
      <c r="E941" s="20" t="e">
        <f t="array" ref="E941">INDEX(C:C,SMALL(IF(ISNUMBER(FIND(CELL("contents"),$C$2:$C$4852)),ROW($C$2:$C$4852),4^8),ROW(C941)))&amp;""</f>
        <v>#N/A</v>
      </c>
    </row>
    <row r="942" ht="14.100000000000001" customHeight="1">
      <c r="B942" s="20" t="s">
        <v>2031</v>
      </c>
      <c r="C942" s="20" t="s">
        <v>2032</v>
      </c>
      <c r="D942" s="20" t="s">
        <v>2031</v>
      </c>
      <c r="E942" s="20" t="e">
        <f t="array" ref="E942">INDEX(C:C,SMALL(IF(ISNUMBER(FIND(CELL("contents"),$C$2:$C$4852)),ROW($C$2:$C$4852),4^8),ROW(C942)))&amp;""</f>
        <v>#N/A</v>
      </c>
    </row>
    <row r="943" ht="14.100000000000001" customHeight="1">
      <c r="B943" s="20" t="s">
        <v>2033</v>
      </c>
      <c r="C943" s="20" t="s">
        <v>2034</v>
      </c>
      <c r="D943" s="20" t="s">
        <v>2033</v>
      </c>
      <c r="E943" s="20" t="e">
        <f t="array" ref="E943">INDEX(C:C,SMALL(IF(ISNUMBER(FIND(CELL("contents"),$C$2:$C$4852)),ROW($C$2:$C$4852),4^8),ROW(C943)))&amp;""</f>
        <v>#N/A</v>
      </c>
    </row>
    <row r="944" ht="14.100000000000001" customHeight="1">
      <c r="B944" s="20" t="s">
        <v>2035</v>
      </c>
      <c r="C944" s="20" t="s">
        <v>2036</v>
      </c>
      <c r="D944" s="20" t="s">
        <v>2035</v>
      </c>
      <c r="E944" s="20" t="e">
        <f t="array" ref="E944">INDEX(C:C,SMALL(IF(ISNUMBER(FIND(CELL("contents"),$C$2:$C$4852)),ROW($C$2:$C$4852),4^8),ROW(C944)))&amp;""</f>
        <v>#N/A</v>
      </c>
    </row>
    <row r="945" ht="14.100000000000001" customHeight="1">
      <c r="B945" s="20" t="s">
        <v>2037</v>
      </c>
      <c r="C945" s="20" t="s">
        <v>2038</v>
      </c>
      <c r="D945" s="20" t="s">
        <v>2037</v>
      </c>
      <c r="E945" s="20" t="e">
        <f t="array" ref="E945">INDEX(C:C,SMALL(IF(ISNUMBER(FIND(CELL("contents"),$C$2:$C$4852)),ROW($C$2:$C$4852),4^8),ROW(C945)))&amp;""</f>
        <v>#N/A</v>
      </c>
    </row>
    <row r="946" ht="14.100000000000001" customHeight="1">
      <c r="B946" s="20" t="s">
        <v>2039</v>
      </c>
      <c r="C946" s="20" t="s">
        <v>2040</v>
      </c>
      <c r="D946" s="20" t="s">
        <v>2039</v>
      </c>
      <c r="E946" s="20" t="e">
        <f t="array" ref="E946">INDEX(C:C,SMALL(IF(ISNUMBER(FIND(CELL("contents"),$C$2:$C$4852)),ROW($C$2:$C$4852),4^8),ROW(C946)))&amp;""</f>
        <v>#N/A</v>
      </c>
    </row>
    <row r="947" ht="14.100000000000001" customHeight="1">
      <c r="B947" s="20" t="s">
        <v>2041</v>
      </c>
      <c r="C947" s="20" t="s">
        <v>2042</v>
      </c>
      <c r="D947" s="20" t="s">
        <v>2041</v>
      </c>
      <c r="E947" s="20" t="e">
        <f t="array" ref="E947">INDEX(C:C,SMALL(IF(ISNUMBER(FIND(CELL("contents"),$C$2:$C$4852)),ROW($C$2:$C$4852),4^8),ROW(C947)))&amp;""</f>
        <v>#N/A</v>
      </c>
    </row>
    <row r="948" ht="14.100000000000001" customHeight="1">
      <c r="B948" s="20" t="s">
        <v>2043</v>
      </c>
      <c r="C948" s="20" t="s">
        <v>2044</v>
      </c>
      <c r="D948" s="20" t="s">
        <v>2043</v>
      </c>
      <c r="E948" s="20" t="e">
        <f t="array" ref="E948">INDEX(C:C,SMALL(IF(ISNUMBER(FIND(CELL("contents"),$C$2:$C$4852)),ROW($C$2:$C$4852),4^8),ROW(C948)))&amp;""</f>
        <v>#N/A</v>
      </c>
    </row>
    <row r="949" ht="14.100000000000001" customHeight="1">
      <c r="B949" s="20" t="s">
        <v>2045</v>
      </c>
      <c r="C949" s="20" t="s">
        <v>2046</v>
      </c>
      <c r="D949" s="20" t="s">
        <v>2045</v>
      </c>
      <c r="E949" s="20" t="e">
        <f t="array" ref="E949">INDEX(C:C,SMALL(IF(ISNUMBER(FIND(CELL("contents"),$C$2:$C$4852)),ROW($C$2:$C$4852),4^8),ROW(C949)))&amp;""</f>
        <v>#N/A</v>
      </c>
    </row>
    <row r="950" ht="14.100000000000001" customHeight="1">
      <c r="B950" s="20" t="s">
        <v>2047</v>
      </c>
      <c r="C950" s="20" t="s">
        <v>2048</v>
      </c>
      <c r="D950" s="20" t="s">
        <v>2047</v>
      </c>
      <c r="E950" s="20" t="e">
        <f t="array" ref="E950">INDEX(C:C,SMALL(IF(ISNUMBER(FIND(CELL("contents"),$C$2:$C$4852)),ROW($C$2:$C$4852),4^8),ROW(C950)))&amp;""</f>
        <v>#N/A</v>
      </c>
    </row>
    <row r="951" ht="14.100000000000001" customHeight="1">
      <c r="B951" s="20" t="s">
        <v>2049</v>
      </c>
      <c r="C951" s="20" t="s">
        <v>2050</v>
      </c>
      <c r="D951" s="20" t="s">
        <v>2049</v>
      </c>
      <c r="E951" s="20" t="e">
        <f t="array" ref="E951">INDEX(C:C,SMALL(IF(ISNUMBER(FIND(CELL("contents"),$C$2:$C$4852)),ROW($C$2:$C$4852),4^8),ROW(C951)))&amp;""</f>
        <v>#N/A</v>
      </c>
    </row>
    <row r="952" ht="14.100000000000001" customHeight="1">
      <c r="B952" s="20" t="s">
        <v>2051</v>
      </c>
      <c r="C952" s="20" t="s">
        <v>2052</v>
      </c>
      <c r="D952" s="20" t="s">
        <v>2051</v>
      </c>
      <c r="E952" s="20" t="e">
        <f t="array" ref="E952">INDEX(C:C,SMALL(IF(ISNUMBER(FIND(CELL("contents"),$C$2:$C$4852)),ROW($C$2:$C$4852),4^8),ROW(C952)))&amp;""</f>
        <v>#N/A</v>
      </c>
    </row>
    <row r="953" ht="14.100000000000001" customHeight="1">
      <c r="B953" s="20" t="s">
        <v>2053</v>
      </c>
      <c r="C953" s="20" t="s">
        <v>2054</v>
      </c>
      <c r="D953" s="20" t="s">
        <v>2053</v>
      </c>
      <c r="E953" s="20" t="e">
        <f t="array" ref="E953">INDEX(C:C,SMALL(IF(ISNUMBER(FIND(CELL("contents"),$C$2:$C$4852)),ROW($C$2:$C$4852),4^8),ROW(C953)))&amp;""</f>
        <v>#N/A</v>
      </c>
    </row>
    <row r="954" ht="14.100000000000001" customHeight="1">
      <c r="B954" s="20" t="s">
        <v>2055</v>
      </c>
      <c r="C954" s="20" t="s">
        <v>2056</v>
      </c>
      <c r="D954" s="20" t="s">
        <v>2055</v>
      </c>
      <c r="E954" s="20" t="e">
        <f t="array" ref="E954">INDEX(C:C,SMALL(IF(ISNUMBER(FIND(CELL("contents"),$C$2:$C$4852)),ROW($C$2:$C$4852),4^8),ROW(C954)))&amp;""</f>
        <v>#N/A</v>
      </c>
    </row>
    <row r="955" ht="14.100000000000001" customHeight="1">
      <c r="B955" s="20" t="s">
        <v>2057</v>
      </c>
      <c r="C955" s="20" t="s">
        <v>2058</v>
      </c>
      <c r="D955" s="20" t="s">
        <v>2057</v>
      </c>
      <c r="E955" s="20" t="e">
        <f t="array" ref="E955">INDEX(C:C,SMALL(IF(ISNUMBER(FIND(CELL("contents"),$C$2:$C$4852)),ROW($C$2:$C$4852),4^8),ROW(C955)))&amp;""</f>
        <v>#N/A</v>
      </c>
    </row>
    <row r="956" ht="14.100000000000001" customHeight="1">
      <c r="B956" s="20" t="s">
        <v>2059</v>
      </c>
      <c r="C956" s="20" t="s">
        <v>2060</v>
      </c>
      <c r="D956" s="20" t="s">
        <v>2059</v>
      </c>
      <c r="E956" s="20" t="e">
        <f t="array" ref="E956">INDEX(C:C,SMALL(IF(ISNUMBER(FIND(CELL("contents"),$C$2:$C$4852)),ROW($C$2:$C$4852),4^8),ROW(C956)))&amp;""</f>
        <v>#N/A</v>
      </c>
    </row>
    <row r="957" ht="14.100000000000001" customHeight="1">
      <c r="B957" s="20" t="s">
        <v>2061</v>
      </c>
      <c r="C957" s="20" t="s">
        <v>2062</v>
      </c>
      <c r="D957" s="20" t="s">
        <v>2061</v>
      </c>
      <c r="E957" s="20" t="e">
        <f t="array" ref="E957">INDEX(C:C,SMALL(IF(ISNUMBER(FIND(CELL("contents"),$C$2:$C$4852)),ROW($C$2:$C$4852),4^8),ROW(C957)))&amp;""</f>
        <v>#N/A</v>
      </c>
    </row>
    <row r="958" ht="14.100000000000001" customHeight="1">
      <c r="B958" s="20" t="s">
        <v>2063</v>
      </c>
      <c r="C958" s="20" t="s">
        <v>2064</v>
      </c>
      <c r="D958" s="20" t="s">
        <v>2063</v>
      </c>
      <c r="E958" s="20" t="e">
        <f t="array" ref="E958">INDEX(C:C,SMALL(IF(ISNUMBER(FIND(CELL("contents"),$C$2:$C$4852)),ROW($C$2:$C$4852),4^8),ROW(C958)))&amp;""</f>
        <v>#N/A</v>
      </c>
    </row>
    <row r="959" ht="14.100000000000001" customHeight="1">
      <c r="B959" s="20" t="s">
        <v>2065</v>
      </c>
      <c r="C959" s="20" t="s">
        <v>2066</v>
      </c>
      <c r="D959" s="20" t="s">
        <v>2065</v>
      </c>
      <c r="E959" s="20" t="e">
        <f t="array" ref="E959">INDEX(C:C,SMALL(IF(ISNUMBER(FIND(CELL("contents"),$C$2:$C$4852)),ROW($C$2:$C$4852),4^8),ROW(C959)))&amp;""</f>
        <v>#N/A</v>
      </c>
    </row>
    <row r="960" ht="14.100000000000001" customHeight="1">
      <c r="B960" s="20" t="s">
        <v>2067</v>
      </c>
      <c r="C960" s="20" t="s">
        <v>2068</v>
      </c>
      <c r="D960" s="20" t="s">
        <v>2067</v>
      </c>
      <c r="E960" s="20" t="e">
        <f t="array" ref="E960">INDEX(C:C,SMALL(IF(ISNUMBER(FIND(CELL("contents"),$C$2:$C$4852)),ROW($C$2:$C$4852),4^8),ROW(C960)))&amp;""</f>
        <v>#N/A</v>
      </c>
    </row>
    <row r="961" ht="14.100000000000001" customHeight="1">
      <c r="B961" s="20" t="s">
        <v>2069</v>
      </c>
      <c r="C961" s="20" t="s">
        <v>2070</v>
      </c>
      <c r="D961" s="20" t="s">
        <v>2069</v>
      </c>
      <c r="E961" s="20" t="e">
        <f t="array" ref="E961">INDEX(C:C,SMALL(IF(ISNUMBER(FIND(CELL("contents"),$C$2:$C$4852)),ROW($C$2:$C$4852),4^8),ROW(C961)))&amp;""</f>
        <v>#N/A</v>
      </c>
    </row>
    <row r="962" ht="14.100000000000001" customHeight="1">
      <c r="B962" s="20" t="s">
        <v>2071</v>
      </c>
      <c r="C962" s="20" t="s">
        <v>2072</v>
      </c>
      <c r="D962" s="20" t="s">
        <v>2071</v>
      </c>
      <c r="E962" s="20" t="e">
        <f t="array" ref="E962">INDEX(C:C,SMALL(IF(ISNUMBER(FIND(CELL("contents"),$C$2:$C$4852)),ROW($C$2:$C$4852),4^8),ROW(C962)))&amp;""</f>
        <v>#N/A</v>
      </c>
    </row>
    <row r="963" ht="14.100000000000001" customHeight="1">
      <c r="B963" s="20" t="s">
        <v>2073</v>
      </c>
      <c r="C963" s="20" t="s">
        <v>2074</v>
      </c>
      <c r="D963" s="20" t="s">
        <v>2073</v>
      </c>
      <c r="E963" s="20" t="e">
        <f t="array" ref="E963">INDEX(C:C,SMALL(IF(ISNUMBER(FIND(CELL("contents"),$C$2:$C$4852)),ROW($C$2:$C$4852),4^8),ROW(C963)))&amp;""</f>
        <v>#N/A</v>
      </c>
    </row>
    <row r="964" ht="14.100000000000001" customHeight="1">
      <c r="B964" s="20" t="s">
        <v>2075</v>
      </c>
      <c r="C964" s="20" t="s">
        <v>2076</v>
      </c>
      <c r="D964" s="20" t="s">
        <v>2075</v>
      </c>
      <c r="E964" s="20" t="e">
        <f t="array" ref="E964">INDEX(C:C,SMALL(IF(ISNUMBER(FIND(CELL("contents"),$C$2:$C$4852)),ROW($C$2:$C$4852),4^8),ROW(C964)))&amp;""</f>
        <v>#N/A</v>
      </c>
    </row>
    <row r="965" ht="14.100000000000001" customHeight="1">
      <c r="B965" s="20" t="s">
        <v>2077</v>
      </c>
      <c r="C965" s="20" t="s">
        <v>2078</v>
      </c>
      <c r="D965" s="20" t="s">
        <v>2077</v>
      </c>
      <c r="E965" s="20" t="e">
        <f t="array" ref="E965">INDEX(C:C,SMALL(IF(ISNUMBER(FIND(CELL("contents"),$C$2:$C$4852)),ROW($C$2:$C$4852),4^8),ROW(C965)))&amp;""</f>
        <v>#N/A</v>
      </c>
    </row>
    <row r="966" ht="14.100000000000001" customHeight="1">
      <c r="B966" s="20" t="s">
        <v>2079</v>
      </c>
      <c r="C966" s="20" t="s">
        <v>2080</v>
      </c>
      <c r="D966" s="20" t="s">
        <v>2079</v>
      </c>
      <c r="E966" s="20" t="e">
        <f t="array" ref="E966">INDEX(C:C,SMALL(IF(ISNUMBER(FIND(CELL("contents"),$C$2:$C$4852)),ROW($C$2:$C$4852),4^8),ROW(C966)))&amp;""</f>
        <v>#N/A</v>
      </c>
    </row>
    <row r="967" ht="14.100000000000001" customHeight="1">
      <c r="B967" s="20" t="s">
        <v>2081</v>
      </c>
      <c r="C967" s="20" t="s">
        <v>2082</v>
      </c>
      <c r="D967" s="20" t="s">
        <v>2081</v>
      </c>
      <c r="E967" s="20" t="e">
        <f t="array" ref="E967">INDEX(C:C,SMALL(IF(ISNUMBER(FIND(CELL("contents"),$C$2:$C$4852)),ROW($C$2:$C$4852),4^8),ROW(C967)))&amp;""</f>
        <v>#N/A</v>
      </c>
    </row>
    <row r="968" ht="14.100000000000001" customHeight="1">
      <c r="B968" s="20" t="s">
        <v>2083</v>
      </c>
      <c r="C968" s="20" t="s">
        <v>2084</v>
      </c>
      <c r="D968" s="20" t="s">
        <v>2083</v>
      </c>
      <c r="E968" s="20" t="e">
        <f t="array" ref="E968">INDEX(C:C,SMALL(IF(ISNUMBER(FIND(CELL("contents"),$C$2:$C$4852)),ROW($C$2:$C$4852),4^8),ROW(C968)))&amp;""</f>
        <v>#N/A</v>
      </c>
    </row>
    <row r="969" ht="14.100000000000001" customHeight="1">
      <c r="B969" s="20" t="s">
        <v>2085</v>
      </c>
      <c r="C969" s="20" t="s">
        <v>2086</v>
      </c>
      <c r="D969" s="20" t="s">
        <v>2085</v>
      </c>
      <c r="E969" s="20" t="e">
        <f t="array" ref="E969">INDEX(C:C,SMALL(IF(ISNUMBER(FIND(CELL("contents"),$C$2:$C$4852)),ROW($C$2:$C$4852),4^8),ROW(C969)))&amp;""</f>
        <v>#N/A</v>
      </c>
    </row>
    <row r="970" ht="14.100000000000001" customHeight="1">
      <c r="B970" s="20" t="s">
        <v>2087</v>
      </c>
      <c r="C970" s="20" t="s">
        <v>2088</v>
      </c>
      <c r="D970" s="20" t="s">
        <v>2087</v>
      </c>
      <c r="E970" s="20" t="e">
        <f t="array" ref="E970">INDEX(C:C,SMALL(IF(ISNUMBER(FIND(CELL("contents"),$C$2:$C$4852)),ROW($C$2:$C$4852),4^8),ROW(C970)))&amp;""</f>
        <v>#N/A</v>
      </c>
    </row>
    <row r="971" ht="14.100000000000001" customHeight="1">
      <c r="B971" s="20" t="s">
        <v>2089</v>
      </c>
      <c r="C971" s="20" t="s">
        <v>2090</v>
      </c>
      <c r="D971" s="20" t="s">
        <v>2089</v>
      </c>
      <c r="E971" s="20" t="e">
        <f t="array" ref="E971">INDEX(C:C,SMALL(IF(ISNUMBER(FIND(CELL("contents"),$C$2:$C$4852)),ROW($C$2:$C$4852),4^8),ROW(C971)))&amp;""</f>
        <v>#N/A</v>
      </c>
    </row>
    <row r="972" ht="14.100000000000001" customHeight="1">
      <c r="B972" s="20" t="s">
        <v>2091</v>
      </c>
      <c r="C972" s="20" t="s">
        <v>2092</v>
      </c>
      <c r="D972" s="20" t="s">
        <v>2091</v>
      </c>
      <c r="E972" s="20" t="e">
        <f t="array" ref="E972">INDEX(C:C,SMALL(IF(ISNUMBER(FIND(CELL("contents"),$C$2:$C$4852)),ROW($C$2:$C$4852),4^8),ROW(C972)))&amp;""</f>
        <v>#N/A</v>
      </c>
    </row>
    <row r="973" ht="14.100000000000001" customHeight="1">
      <c r="B973" s="20" t="s">
        <v>2093</v>
      </c>
      <c r="C973" s="20" t="s">
        <v>2094</v>
      </c>
      <c r="D973" s="20" t="s">
        <v>2093</v>
      </c>
      <c r="E973" s="20" t="e">
        <f t="array" ref="E973">INDEX(C:C,SMALL(IF(ISNUMBER(FIND(CELL("contents"),$C$2:$C$4852)),ROW($C$2:$C$4852),4^8),ROW(C973)))&amp;""</f>
        <v>#N/A</v>
      </c>
    </row>
    <row r="974" ht="14.100000000000001" customHeight="1">
      <c r="B974" s="20" t="s">
        <v>2095</v>
      </c>
      <c r="C974" s="20" t="s">
        <v>2096</v>
      </c>
      <c r="D974" s="20" t="s">
        <v>2095</v>
      </c>
      <c r="E974" s="20" t="e">
        <f t="array" ref="E974">INDEX(C:C,SMALL(IF(ISNUMBER(FIND(CELL("contents"),$C$2:$C$4852)),ROW($C$2:$C$4852),4^8),ROW(C974)))&amp;""</f>
        <v>#N/A</v>
      </c>
    </row>
    <row r="975" ht="14.100000000000001" customHeight="1">
      <c r="B975" s="20" t="s">
        <v>2097</v>
      </c>
      <c r="C975" s="20" t="s">
        <v>2098</v>
      </c>
      <c r="D975" s="20" t="s">
        <v>2097</v>
      </c>
      <c r="E975" s="20" t="e">
        <f t="array" ref="E975">INDEX(C:C,SMALL(IF(ISNUMBER(FIND(CELL("contents"),$C$2:$C$4852)),ROW($C$2:$C$4852),4^8),ROW(C975)))&amp;""</f>
        <v>#N/A</v>
      </c>
    </row>
    <row r="976" ht="14.100000000000001" customHeight="1">
      <c r="B976" s="20" t="s">
        <v>2099</v>
      </c>
      <c r="C976" s="20" t="s">
        <v>2100</v>
      </c>
      <c r="D976" s="20" t="s">
        <v>2099</v>
      </c>
      <c r="E976" s="20" t="e">
        <f t="array" ref="E976">INDEX(C:C,SMALL(IF(ISNUMBER(FIND(CELL("contents"),$C$2:$C$4852)),ROW($C$2:$C$4852),4^8),ROW(C976)))&amp;""</f>
        <v>#N/A</v>
      </c>
    </row>
    <row r="977" ht="14.100000000000001" customHeight="1">
      <c r="B977" s="20" t="s">
        <v>2101</v>
      </c>
      <c r="C977" s="20" t="s">
        <v>2102</v>
      </c>
      <c r="D977" s="20" t="s">
        <v>2101</v>
      </c>
      <c r="E977" s="20" t="e">
        <f t="array" ref="E977">INDEX(C:C,SMALL(IF(ISNUMBER(FIND(CELL("contents"),$C$2:$C$4852)),ROW($C$2:$C$4852),4^8),ROW(C977)))&amp;""</f>
        <v>#N/A</v>
      </c>
    </row>
    <row r="978" ht="14.100000000000001" customHeight="1">
      <c r="B978" s="20" t="s">
        <v>2103</v>
      </c>
      <c r="C978" s="20" t="s">
        <v>2104</v>
      </c>
      <c r="D978" s="20" t="s">
        <v>2103</v>
      </c>
      <c r="E978" s="20" t="e">
        <f t="array" ref="E978">INDEX(C:C,SMALL(IF(ISNUMBER(FIND(CELL("contents"),$C$2:$C$4852)),ROW($C$2:$C$4852),4^8),ROW(C978)))&amp;""</f>
        <v>#N/A</v>
      </c>
    </row>
    <row r="979" ht="14.100000000000001" customHeight="1">
      <c r="B979" s="20" t="s">
        <v>2105</v>
      </c>
      <c r="C979" s="20" t="s">
        <v>2106</v>
      </c>
      <c r="D979" s="20" t="s">
        <v>2105</v>
      </c>
      <c r="E979" s="20" t="e">
        <f t="array" ref="E979">INDEX(C:C,SMALL(IF(ISNUMBER(FIND(CELL("contents"),$C$2:$C$4852)),ROW($C$2:$C$4852),4^8),ROW(C979)))&amp;""</f>
        <v>#N/A</v>
      </c>
    </row>
    <row r="980" ht="14.100000000000001" customHeight="1">
      <c r="B980" s="20" t="s">
        <v>2107</v>
      </c>
      <c r="C980" s="20" t="s">
        <v>2108</v>
      </c>
      <c r="D980" s="20" t="s">
        <v>2107</v>
      </c>
      <c r="E980" s="20" t="e">
        <f t="array" ref="E980">INDEX(C:C,SMALL(IF(ISNUMBER(FIND(CELL("contents"),$C$2:$C$4852)),ROW($C$2:$C$4852),4^8),ROW(C980)))&amp;""</f>
        <v>#N/A</v>
      </c>
    </row>
    <row r="981" ht="14.100000000000001" customHeight="1">
      <c r="B981" s="20" t="s">
        <v>2109</v>
      </c>
      <c r="C981" s="20" t="s">
        <v>2110</v>
      </c>
      <c r="D981" s="20" t="s">
        <v>2109</v>
      </c>
      <c r="E981" s="20" t="e">
        <f t="array" ref="E981">INDEX(C:C,SMALL(IF(ISNUMBER(FIND(CELL("contents"),$C$2:$C$4852)),ROW($C$2:$C$4852),4^8),ROW(C981)))&amp;""</f>
        <v>#N/A</v>
      </c>
    </row>
    <row r="982" ht="14.100000000000001" customHeight="1">
      <c r="B982" s="20" t="s">
        <v>2111</v>
      </c>
      <c r="C982" s="20" t="s">
        <v>2112</v>
      </c>
      <c r="D982" s="20" t="s">
        <v>2111</v>
      </c>
      <c r="E982" s="20" t="e">
        <f t="array" ref="E982">INDEX(C:C,SMALL(IF(ISNUMBER(FIND(CELL("contents"),$C$2:$C$4852)),ROW($C$2:$C$4852),4^8),ROW(C982)))&amp;""</f>
        <v>#N/A</v>
      </c>
    </row>
    <row r="983" ht="14.100000000000001" customHeight="1">
      <c r="B983" s="20" t="s">
        <v>2113</v>
      </c>
      <c r="C983" s="20" t="s">
        <v>2114</v>
      </c>
      <c r="D983" s="20" t="s">
        <v>2113</v>
      </c>
      <c r="E983" s="20" t="e">
        <f t="array" ref="E983">INDEX(C:C,SMALL(IF(ISNUMBER(FIND(CELL("contents"),$C$2:$C$4852)),ROW($C$2:$C$4852),4^8),ROW(C983)))&amp;""</f>
        <v>#N/A</v>
      </c>
    </row>
    <row r="984" ht="14.100000000000001" customHeight="1">
      <c r="B984" s="20" t="s">
        <v>2115</v>
      </c>
      <c r="C984" s="20" t="s">
        <v>2116</v>
      </c>
      <c r="D984" s="20" t="s">
        <v>2115</v>
      </c>
      <c r="E984" s="20" t="e">
        <f t="array" ref="E984">INDEX(C:C,SMALL(IF(ISNUMBER(FIND(CELL("contents"),$C$2:$C$4852)),ROW($C$2:$C$4852),4^8),ROW(C984)))&amp;""</f>
        <v>#N/A</v>
      </c>
    </row>
    <row r="985" ht="14.100000000000001" customHeight="1">
      <c r="B985" s="20" t="s">
        <v>2117</v>
      </c>
      <c r="C985" s="20" t="s">
        <v>2118</v>
      </c>
      <c r="D985" s="20" t="s">
        <v>2117</v>
      </c>
      <c r="E985" s="20" t="e">
        <f t="array" ref="E985">INDEX(C:C,SMALL(IF(ISNUMBER(FIND(CELL("contents"),$C$2:$C$4852)),ROW($C$2:$C$4852),4^8),ROW(C985)))&amp;""</f>
        <v>#N/A</v>
      </c>
    </row>
    <row r="986" ht="14.100000000000001" customHeight="1">
      <c r="B986" s="20" t="s">
        <v>2119</v>
      </c>
      <c r="C986" s="20" t="s">
        <v>2120</v>
      </c>
      <c r="D986" s="20" t="s">
        <v>2119</v>
      </c>
      <c r="E986" s="20" t="e">
        <f t="array" ref="E986">INDEX(C:C,SMALL(IF(ISNUMBER(FIND(CELL("contents"),$C$2:$C$4852)),ROW($C$2:$C$4852),4^8),ROW(C986)))&amp;""</f>
        <v>#N/A</v>
      </c>
    </row>
    <row r="987" ht="14.100000000000001" customHeight="1">
      <c r="B987" s="20" t="s">
        <v>2121</v>
      </c>
      <c r="C987" s="20" t="s">
        <v>2122</v>
      </c>
      <c r="D987" s="20" t="s">
        <v>2121</v>
      </c>
      <c r="E987" s="20" t="e">
        <f t="array" ref="E987">INDEX(C:C,SMALL(IF(ISNUMBER(FIND(CELL("contents"),$C$2:$C$4852)),ROW($C$2:$C$4852),4^8),ROW(C987)))&amp;""</f>
        <v>#N/A</v>
      </c>
    </row>
    <row r="988" ht="14.100000000000001" customHeight="1">
      <c r="B988" s="20" t="s">
        <v>2123</v>
      </c>
      <c r="C988" s="20" t="s">
        <v>2124</v>
      </c>
      <c r="D988" s="20" t="s">
        <v>2123</v>
      </c>
      <c r="E988" s="20" t="e">
        <f t="array" ref="E988">INDEX(C:C,SMALL(IF(ISNUMBER(FIND(CELL("contents"),$C$2:$C$4852)),ROW($C$2:$C$4852),4^8),ROW(C988)))&amp;""</f>
        <v>#N/A</v>
      </c>
    </row>
    <row r="989" ht="14.100000000000001" customHeight="1">
      <c r="B989" s="20" t="s">
        <v>2125</v>
      </c>
      <c r="C989" s="20" t="s">
        <v>2126</v>
      </c>
      <c r="D989" s="20" t="s">
        <v>2125</v>
      </c>
      <c r="E989" s="20" t="e">
        <f t="array" ref="E989">INDEX(C:C,SMALL(IF(ISNUMBER(FIND(CELL("contents"),$C$2:$C$4852)),ROW($C$2:$C$4852),4^8),ROW(C989)))&amp;""</f>
        <v>#N/A</v>
      </c>
    </row>
    <row r="990" ht="14.100000000000001" customHeight="1">
      <c r="B990" s="20" t="s">
        <v>2127</v>
      </c>
      <c r="C990" s="20" t="s">
        <v>2128</v>
      </c>
      <c r="D990" s="20" t="s">
        <v>2127</v>
      </c>
      <c r="E990" s="20" t="e">
        <f t="array" ref="E990">INDEX(C:C,SMALL(IF(ISNUMBER(FIND(CELL("contents"),$C$2:$C$4852)),ROW($C$2:$C$4852),4^8),ROW(C990)))&amp;""</f>
        <v>#N/A</v>
      </c>
    </row>
    <row r="991" ht="14.100000000000001" customHeight="1">
      <c r="B991" s="20" t="s">
        <v>2129</v>
      </c>
      <c r="C991" s="20" t="s">
        <v>2130</v>
      </c>
      <c r="D991" s="20" t="s">
        <v>2129</v>
      </c>
      <c r="E991" s="20" t="e">
        <f t="array" ref="E991">INDEX(C:C,SMALL(IF(ISNUMBER(FIND(CELL("contents"),$C$2:$C$4852)),ROW($C$2:$C$4852),4^8),ROW(C991)))&amp;""</f>
        <v>#N/A</v>
      </c>
    </row>
    <row r="992" ht="14.100000000000001" customHeight="1">
      <c r="B992" s="20" t="s">
        <v>2131</v>
      </c>
      <c r="C992" s="20" t="s">
        <v>2132</v>
      </c>
      <c r="D992" s="20" t="s">
        <v>2131</v>
      </c>
      <c r="E992" s="20" t="e">
        <f t="array" ref="E992">INDEX(C:C,SMALL(IF(ISNUMBER(FIND(CELL("contents"),$C$2:$C$4852)),ROW($C$2:$C$4852),4^8),ROW(C992)))&amp;""</f>
        <v>#N/A</v>
      </c>
    </row>
    <row r="993" ht="14.100000000000001" customHeight="1">
      <c r="B993" s="20" t="s">
        <v>2133</v>
      </c>
      <c r="C993" s="20" t="s">
        <v>2134</v>
      </c>
      <c r="D993" s="20" t="s">
        <v>2133</v>
      </c>
      <c r="E993" s="20" t="e">
        <f t="array" ref="E993">INDEX(C:C,SMALL(IF(ISNUMBER(FIND(CELL("contents"),$C$2:$C$4852)),ROW($C$2:$C$4852),4^8),ROW(C993)))&amp;""</f>
        <v>#N/A</v>
      </c>
    </row>
    <row r="994" ht="14.100000000000001" customHeight="1">
      <c r="B994" s="20" t="s">
        <v>2135</v>
      </c>
      <c r="C994" s="20" t="s">
        <v>2136</v>
      </c>
      <c r="D994" s="20" t="s">
        <v>2135</v>
      </c>
      <c r="E994" s="20" t="e">
        <f t="array" ref="E994">INDEX(C:C,SMALL(IF(ISNUMBER(FIND(CELL("contents"),$C$2:$C$4852)),ROW($C$2:$C$4852),4^8),ROW(C994)))&amp;""</f>
        <v>#N/A</v>
      </c>
    </row>
    <row r="995" ht="14.100000000000001" customHeight="1">
      <c r="B995" s="20" t="s">
        <v>2137</v>
      </c>
      <c r="C995" s="20" t="s">
        <v>2138</v>
      </c>
      <c r="D995" s="20" t="s">
        <v>2137</v>
      </c>
      <c r="E995" s="20" t="e">
        <f t="array" ref="E995">INDEX(C:C,SMALL(IF(ISNUMBER(FIND(CELL("contents"),$C$2:$C$4852)),ROW($C$2:$C$4852),4^8),ROW(C995)))&amp;""</f>
        <v>#N/A</v>
      </c>
    </row>
    <row r="996" ht="14.100000000000001" customHeight="1">
      <c r="B996" s="20" t="s">
        <v>2139</v>
      </c>
      <c r="C996" s="20" t="s">
        <v>2140</v>
      </c>
      <c r="D996" s="20" t="s">
        <v>2139</v>
      </c>
      <c r="E996" s="20" t="e">
        <f t="array" ref="E996">INDEX(C:C,SMALL(IF(ISNUMBER(FIND(CELL("contents"),$C$2:$C$4852)),ROW($C$2:$C$4852),4^8),ROW(C996)))&amp;""</f>
        <v>#N/A</v>
      </c>
    </row>
    <row r="997" ht="14.100000000000001" customHeight="1">
      <c r="B997" s="20" t="s">
        <v>2141</v>
      </c>
      <c r="C997" s="20" t="s">
        <v>2142</v>
      </c>
      <c r="D997" s="20" t="s">
        <v>2141</v>
      </c>
      <c r="E997" s="20" t="e">
        <f t="array" ref="E997">INDEX(C:C,SMALL(IF(ISNUMBER(FIND(CELL("contents"),$C$2:$C$4852)),ROW($C$2:$C$4852),4^8),ROW(C997)))&amp;""</f>
        <v>#N/A</v>
      </c>
    </row>
    <row r="998" ht="14.100000000000001" customHeight="1">
      <c r="B998" s="20" t="s">
        <v>2143</v>
      </c>
      <c r="C998" s="20" t="s">
        <v>2144</v>
      </c>
      <c r="D998" s="20" t="s">
        <v>2143</v>
      </c>
      <c r="E998" s="20" t="e">
        <f t="array" ref="E998">INDEX(C:C,SMALL(IF(ISNUMBER(FIND(CELL("contents"),$C$2:$C$4852)),ROW($C$2:$C$4852),4^8),ROW(C998)))&amp;""</f>
        <v>#N/A</v>
      </c>
    </row>
    <row r="999" ht="14.100000000000001" customHeight="1">
      <c r="B999" s="20" t="s">
        <v>2145</v>
      </c>
      <c r="C999" s="20" t="s">
        <v>2146</v>
      </c>
      <c r="D999" s="20" t="s">
        <v>2145</v>
      </c>
      <c r="E999" s="20" t="e">
        <f t="array" ref="E999">INDEX(C:C,SMALL(IF(ISNUMBER(FIND(CELL("contents"),$C$2:$C$4852)),ROW($C$2:$C$4852),4^8),ROW(C999)))&amp;""</f>
        <v>#N/A</v>
      </c>
    </row>
    <row r="1000" ht="14.100000000000001" customHeight="1">
      <c r="B1000" s="20" t="s">
        <v>2147</v>
      </c>
      <c r="C1000" s="20" t="s">
        <v>2148</v>
      </c>
      <c r="D1000" s="20" t="s">
        <v>2147</v>
      </c>
      <c r="E1000" s="20" t="e">
        <f t="array" ref="E1000">INDEX(C:C,SMALL(IF(ISNUMBER(FIND(CELL("contents"),$C$2:$C$4852)),ROW($C$2:$C$4852),4^8),ROW(C1000)))&amp;""</f>
        <v>#N/A</v>
      </c>
    </row>
    <row r="1001" ht="14.100000000000001" customHeight="1">
      <c r="B1001" s="20" t="s">
        <v>2149</v>
      </c>
      <c r="C1001" s="20" t="s">
        <v>2150</v>
      </c>
      <c r="D1001" s="20" t="s">
        <v>2149</v>
      </c>
      <c r="E1001" s="20" t="e">
        <f t="array" ref="E1001">INDEX(C:C,SMALL(IF(ISNUMBER(FIND(CELL("contents"),$C$2:$C$4852)),ROW($C$2:$C$4852),4^8),ROW(C1001)))&amp;""</f>
        <v>#N/A</v>
      </c>
    </row>
    <row r="1002" ht="14.100000000000001" customHeight="1">
      <c r="B1002" s="20" t="s">
        <v>2151</v>
      </c>
      <c r="C1002" s="20" t="s">
        <v>2152</v>
      </c>
      <c r="D1002" s="20" t="s">
        <v>2151</v>
      </c>
      <c r="E1002" s="20" t="e">
        <f t="array" ref="E1002">INDEX(C:C,SMALL(IF(ISNUMBER(FIND(CELL("contents"),$C$2:$C$4852)),ROW($C$2:$C$4852),4^8),ROW(C1002)))&amp;""</f>
        <v>#N/A</v>
      </c>
    </row>
    <row r="1003" ht="14.100000000000001" customHeight="1">
      <c r="B1003" s="20" t="s">
        <v>2153</v>
      </c>
      <c r="C1003" s="20" t="s">
        <v>2154</v>
      </c>
      <c r="D1003" s="20" t="s">
        <v>2153</v>
      </c>
      <c r="E1003" s="20" t="e">
        <f t="array" ref="E1003">INDEX(C:C,SMALL(IF(ISNUMBER(FIND(CELL("contents"),$C$2:$C$4852)),ROW($C$2:$C$4852),4^8),ROW(C1003)))&amp;""</f>
        <v>#N/A</v>
      </c>
    </row>
    <row r="1004" ht="14.100000000000001" customHeight="1">
      <c r="B1004" s="20" t="s">
        <v>2155</v>
      </c>
      <c r="C1004" s="20" t="s">
        <v>2156</v>
      </c>
      <c r="D1004" s="20" t="s">
        <v>2155</v>
      </c>
      <c r="E1004" s="20" t="e">
        <f t="array" ref="E1004">INDEX(C:C,SMALL(IF(ISNUMBER(FIND(CELL("contents"),$C$2:$C$4852)),ROW($C$2:$C$4852),4^8),ROW(C1004)))&amp;""</f>
        <v>#N/A</v>
      </c>
    </row>
    <row r="1005" ht="14.100000000000001" customHeight="1">
      <c r="B1005" s="20" t="s">
        <v>2157</v>
      </c>
      <c r="C1005" s="20" t="s">
        <v>2158</v>
      </c>
      <c r="D1005" s="20" t="s">
        <v>2157</v>
      </c>
      <c r="E1005" s="20" t="e">
        <f t="array" ref="E1005">INDEX(C:C,SMALL(IF(ISNUMBER(FIND(CELL("contents"),$C$2:$C$4852)),ROW($C$2:$C$4852),4^8),ROW(C1005)))&amp;""</f>
        <v>#N/A</v>
      </c>
    </row>
    <row r="1006" ht="14.100000000000001" customHeight="1">
      <c r="B1006" s="20" t="s">
        <v>2159</v>
      </c>
      <c r="C1006" s="20" t="s">
        <v>2160</v>
      </c>
      <c r="D1006" s="20" t="s">
        <v>2159</v>
      </c>
      <c r="E1006" s="20" t="e">
        <f t="array" ref="E1006">INDEX(C:C,SMALL(IF(ISNUMBER(FIND(CELL("contents"),$C$2:$C$4852)),ROW($C$2:$C$4852),4^8),ROW(C1006)))&amp;""</f>
        <v>#N/A</v>
      </c>
    </row>
    <row r="1007" ht="14.100000000000001" customHeight="1">
      <c r="B1007" s="20" t="s">
        <v>2161</v>
      </c>
      <c r="C1007" s="20" t="s">
        <v>2162</v>
      </c>
      <c r="D1007" s="20" t="s">
        <v>2161</v>
      </c>
      <c r="E1007" s="20" t="e">
        <f t="array" ref="E1007">INDEX(C:C,SMALL(IF(ISNUMBER(FIND(CELL("contents"),$C$2:$C$4852)),ROW($C$2:$C$4852),4^8),ROW(C1007)))&amp;""</f>
        <v>#N/A</v>
      </c>
    </row>
    <row r="1008" ht="14.100000000000001" customHeight="1">
      <c r="B1008" s="20" t="s">
        <v>2163</v>
      </c>
      <c r="C1008" s="20" t="s">
        <v>2164</v>
      </c>
      <c r="D1008" s="20" t="s">
        <v>2163</v>
      </c>
      <c r="E1008" s="20" t="e">
        <f t="array" ref="E1008">INDEX(C:C,SMALL(IF(ISNUMBER(FIND(CELL("contents"),$C$2:$C$4852)),ROW($C$2:$C$4852),4^8),ROW(C1008)))&amp;""</f>
        <v>#N/A</v>
      </c>
    </row>
    <row r="1009" ht="14.100000000000001" customHeight="1">
      <c r="B1009" s="20" t="s">
        <v>2165</v>
      </c>
      <c r="C1009" s="20" t="s">
        <v>2166</v>
      </c>
      <c r="D1009" s="20" t="s">
        <v>2165</v>
      </c>
      <c r="E1009" s="20" t="e">
        <f t="array" ref="E1009">INDEX(C:C,SMALL(IF(ISNUMBER(FIND(CELL("contents"),$C$2:$C$4852)),ROW($C$2:$C$4852),4^8),ROW(C1009)))&amp;""</f>
        <v>#N/A</v>
      </c>
    </row>
    <row r="1010" ht="14.100000000000001" customHeight="1">
      <c r="B1010" s="20" t="s">
        <v>2167</v>
      </c>
      <c r="C1010" s="20" t="s">
        <v>2168</v>
      </c>
      <c r="D1010" s="20" t="s">
        <v>2167</v>
      </c>
      <c r="E1010" s="20" t="e">
        <f t="array" ref="E1010">INDEX(C:C,SMALL(IF(ISNUMBER(FIND(CELL("contents"),$C$2:$C$4852)),ROW($C$2:$C$4852),4^8),ROW(C1010)))&amp;""</f>
        <v>#N/A</v>
      </c>
    </row>
    <row r="1011" ht="14.100000000000001" customHeight="1">
      <c r="B1011" s="20" t="s">
        <v>2169</v>
      </c>
      <c r="C1011" s="20" t="s">
        <v>2170</v>
      </c>
      <c r="D1011" s="20" t="s">
        <v>2169</v>
      </c>
      <c r="E1011" s="20" t="e">
        <f t="array" ref="E1011">INDEX(C:C,SMALL(IF(ISNUMBER(FIND(CELL("contents"),$C$2:$C$4852)),ROW($C$2:$C$4852),4^8),ROW(C1011)))&amp;""</f>
        <v>#N/A</v>
      </c>
    </row>
    <row r="1012" ht="14.100000000000001" customHeight="1">
      <c r="B1012" s="20" t="s">
        <v>2171</v>
      </c>
      <c r="C1012" s="20" t="s">
        <v>2172</v>
      </c>
      <c r="D1012" s="20" t="s">
        <v>2171</v>
      </c>
      <c r="E1012" s="20" t="e">
        <f t="array" ref="E1012">INDEX(C:C,SMALL(IF(ISNUMBER(FIND(CELL("contents"),$C$2:$C$4852)),ROW($C$2:$C$4852),4^8),ROW(C1012)))&amp;""</f>
        <v>#N/A</v>
      </c>
    </row>
    <row r="1013" ht="14.100000000000001" customHeight="1">
      <c r="B1013" s="20" t="s">
        <v>2173</v>
      </c>
      <c r="C1013" s="20" t="s">
        <v>2174</v>
      </c>
      <c r="D1013" s="20" t="s">
        <v>2173</v>
      </c>
      <c r="E1013" s="20" t="e">
        <f t="array" ref="E1013">INDEX(C:C,SMALL(IF(ISNUMBER(FIND(CELL("contents"),$C$2:$C$4852)),ROW($C$2:$C$4852),4^8),ROW(C1013)))&amp;""</f>
        <v>#N/A</v>
      </c>
    </row>
    <row r="1014" ht="14.100000000000001" customHeight="1">
      <c r="B1014" s="20" t="s">
        <v>2175</v>
      </c>
      <c r="C1014" s="20" t="s">
        <v>2176</v>
      </c>
      <c r="D1014" s="20" t="s">
        <v>2175</v>
      </c>
      <c r="E1014" s="20" t="e">
        <f t="array" ref="E1014">INDEX(C:C,SMALL(IF(ISNUMBER(FIND(CELL("contents"),$C$2:$C$4852)),ROW($C$2:$C$4852),4^8),ROW(C1014)))&amp;""</f>
        <v>#N/A</v>
      </c>
    </row>
    <row r="1015" ht="14.100000000000001" customHeight="1">
      <c r="B1015" s="20" t="s">
        <v>2177</v>
      </c>
      <c r="C1015" s="20" t="s">
        <v>2178</v>
      </c>
      <c r="D1015" s="20" t="s">
        <v>2177</v>
      </c>
      <c r="E1015" s="20" t="e">
        <f t="array" ref="E1015">INDEX(C:C,SMALL(IF(ISNUMBER(FIND(CELL("contents"),$C$2:$C$4852)),ROW($C$2:$C$4852),4^8),ROW(C1015)))&amp;""</f>
        <v>#N/A</v>
      </c>
    </row>
    <row r="1016" ht="14.100000000000001" customHeight="1">
      <c r="B1016" s="20" t="s">
        <v>2179</v>
      </c>
      <c r="C1016" s="20" t="s">
        <v>2180</v>
      </c>
      <c r="D1016" s="20" t="s">
        <v>2179</v>
      </c>
      <c r="E1016" s="20" t="e">
        <f t="array" ref="E1016">INDEX(C:C,SMALL(IF(ISNUMBER(FIND(CELL("contents"),$C$2:$C$4852)),ROW($C$2:$C$4852),4^8),ROW(C1016)))&amp;""</f>
        <v>#N/A</v>
      </c>
    </row>
    <row r="1017" ht="14.100000000000001" customHeight="1">
      <c r="B1017" s="20" t="s">
        <v>2181</v>
      </c>
      <c r="C1017" s="20" t="s">
        <v>2182</v>
      </c>
      <c r="D1017" s="20" t="s">
        <v>2181</v>
      </c>
      <c r="E1017" s="20" t="e">
        <f t="array" ref="E1017">INDEX(C:C,SMALL(IF(ISNUMBER(FIND(CELL("contents"),$C$2:$C$4852)),ROW($C$2:$C$4852),4^8),ROW(C1017)))&amp;""</f>
        <v>#N/A</v>
      </c>
    </row>
    <row r="1018" ht="14.100000000000001" customHeight="1">
      <c r="B1018" s="20" t="s">
        <v>2183</v>
      </c>
      <c r="C1018" s="20" t="s">
        <v>2184</v>
      </c>
      <c r="D1018" s="20" t="s">
        <v>2183</v>
      </c>
      <c r="E1018" s="20" t="e">
        <f t="array" ref="E1018">INDEX(C:C,SMALL(IF(ISNUMBER(FIND(CELL("contents"),$C$2:$C$4852)),ROW($C$2:$C$4852),4^8),ROW(C1018)))&amp;""</f>
        <v>#N/A</v>
      </c>
    </row>
    <row r="1019" ht="14.100000000000001" customHeight="1">
      <c r="B1019" s="20" t="s">
        <v>2185</v>
      </c>
      <c r="C1019" s="20" t="s">
        <v>2186</v>
      </c>
      <c r="D1019" s="20" t="s">
        <v>2185</v>
      </c>
      <c r="E1019" s="20" t="e">
        <f t="array" ref="E1019">INDEX(C:C,SMALL(IF(ISNUMBER(FIND(CELL("contents"),$C$2:$C$4852)),ROW($C$2:$C$4852),4^8),ROW(C1019)))&amp;""</f>
        <v>#N/A</v>
      </c>
    </row>
    <row r="1020" ht="14.100000000000001" customHeight="1">
      <c r="B1020" s="20" t="s">
        <v>2187</v>
      </c>
      <c r="C1020" s="20" t="s">
        <v>2188</v>
      </c>
      <c r="D1020" s="20" t="s">
        <v>2187</v>
      </c>
      <c r="E1020" s="20" t="e">
        <f t="array" ref="E1020">INDEX(C:C,SMALL(IF(ISNUMBER(FIND(CELL("contents"),$C$2:$C$4852)),ROW($C$2:$C$4852),4^8),ROW(C1020)))&amp;""</f>
        <v>#N/A</v>
      </c>
    </row>
    <row r="1021" ht="14.100000000000001" customHeight="1">
      <c r="B1021" s="20" t="s">
        <v>2189</v>
      </c>
      <c r="C1021" s="20" t="s">
        <v>2190</v>
      </c>
      <c r="D1021" s="20" t="s">
        <v>2189</v>
      </c>
      <c r="E1021" s="20" t="e">
        <f t="array" ref="E1021">INDEX(C:C,SMALL(IF(ISNUMBER(FIND(CELL("contents"),$C$2:$C$4852)),ROW($C$2:$C$4852),4^8),ROW(C1021)))&amp;""</f>
        <v>#N/A</v>
      </c>
    </row>
    <row r="1022" ht="14.100000000000001" customHeight="1">
      <c r="B1022" s="20" t="s">
        <v>2191</v>
      </c>
      <c r="C1022" s="20" t="s">
        <v>2192</v>
      </c>
      <c r="D1022" s="20" t="s">
        <v>2191</v>
      </c>
      <c r="E1022" s="20" t="e">
        <f t="array" ref="E1022">INDEX(C:C,SMALL(IF(ISNUMBER(FIND(CELL("contents"),$C$2:$C$4852)),ROW($C$2:$C$4852),4^8),ROW(C1022)))&amp;""</f>
        <v>#N/A</v>
      </c>
    </row>
    <row r="1023" ht="14.100000000000001" customHeight="1">
      <c r="B1023" s="20" t="s">
        <v>2193</v>
      </c>
      <c r="C1023" s="20" t="s">
        <v>2194</v>
      </c>
      <c r="D1023" s="20" t="s">
        <v>2193</v>
      </c>
      <c r="E1023" s="20" t="e">
        <f t="array" ref="E1023">INDEX(C:C,SMALL(IF(ISNUMBER(FIND(CELL("contents"),$C$2:$C$4852)),ROW($C$2:$C$4852),4^8),ROW(C1023)))&amp;""</f>
        <v>#N/A</v>
      </c>
    </row>
    <row r="1024" ht="14.100000000000001" customHeight="1">
      <c r="B1024" s="20" t="s">
        <v>2195</v>
      </c>
      <c r="C1024" s="20" t="s">
        <v>2196</v>
      </c>
      <c r="D1024" s="20" t="s">
        <v>2195</v>
      </c>
      <c r="E1024" s="20" t="e">
        <f t="array" ref="E1024">INDEX(C:C,SMALL(IF(ISNUMBER(FIND(CELL("contents"),$C$2:$C$4852)),ROW($C$2:$C$4852),4^8),ROW(C1024)))&amp;""</f>
        <v>#N/A</v>
      </c>
    </row>
    <row r="1025" ht="14.100000000000001" customHeight="1">
      <c r="B1025" s="20" t="s">
        <v>2197</v>
      </c>
      <c r="C1025" s="20" t="s">
        <v>2198</v>
      </c>
      <c r="D1025" s="20" t="s">
        <v>2197</v>
      </c>
      <c r="E1025" s="20" t="e">
        <f t="array" ref="E1025">INDEX(C:C,SMALL(IF(ISNUMBER(FIND(CELL("contents"),$C$2:$C$4852)),ROW($C$2:$C$4852),4^8),ROW(C1025)))&amp;""</f>
        <v>#N/A</v>
      </c>
    </row>
    <row r="1026" ht="14.100000000000001" customHeight="1">
      <c r="B1026" s="20" t="s">
        <v>2199</v>
      </c>
      <c r="C1026" s="20" t="s">
        <v>2200</v>
      </c>
      <c r="D1026" s="20" t="s">
        <v>2199</v>
      </c>
      <c r="E1026" s="20" t="e">
        <f t="array" ref="E1026">INDEX(C:C,SMALL(IF(ISNUMBER(FIND(CELL("contents"),$C$2:$C$4852)),ROW($C$2:$C$4852),4^8),ROW(C1026)))&amp;""</f>
        <v>#N/A</v>
      </c>
    </row>
    <row r="1027" ht="14.100000000000001" customHeight="1">
      <c r="B1027" s="20" t="s">
        <v>2201</v>
      </c>
      <c r="C1027" s="20" t="s">
        <v>2202</v>
      </c>
      <c r="D1027" s="20" t="s">
        <v>2201</v>
      </c>
      <c r="E1027" s="20" t="e">
        <f t="array" ref="E1027">INDEX(C:C,SMALL(IF(ISNUMBER(FIND(CELL("contents"),$C$2:$C$4852)),ROW($C$2:$C$4852),4^8),ROW(C1027)))&amp;""</f>
        <v>#N/A</v>
      </c>
    </row>
    <row r="1028" ht="14.100000000000001" customHeight="1">
      <c r="B1028" s="20" t="s">
        <v>2203</v>
      </c>
      <c r="C1028" s="20" t="s">
        <v>2204</v>
      </c>
      <c r="D1028" s="20" t="s">
        <v>2203</v>
      </c>
      <c r="E1028" s="20" t="e">
        <f t="array" ref="E1028">INDEX(C:C,SMALL(IF(ISNUMBER(FIND(CELL("contents"),$C$2:$C$4852)),ROW($C$2:$C$4852),4^8),ROW(C1028)))&amp;""</f>
        <v>#N/A</v>
      </c>
    </row>
    <row r="1029" ht="14.100000000000001" customHeight="1">
      <c r="B1029" s="20" t="s">
        <v>2205</v>
      </c>
      <c r="C1029" s="20" t="s">
        <v>2206</v>
      </c>
      <c r="D1029" s="20" t="s">
        <v>2205</v>
      </c>
      <c r="E1029" s="20" t="e">
        <f t="array" ref="E1029">INDEX(C:C,SMALL(IF(ISNUMBER(FIND(CELL("contents"),$C$2:$C$4852)),ROW($C$2:$C$4852),4^8),ROW(C1029)))&amp;""</f>
        <v>#N/A</v>
      </c>
    </row>
    <row r="1030" ht="14.100000000000001" customHeight="1">
      <c r="B1030" s="20" t="s">
        <v>2207</v>
      </c>
      <c r="C1030" s="20" t="s">
        <v>2208</v>
      </c>
      <c r="D1030" s="20" t="s">
        <v>2207</v>
      </c>
      <c r="E1030" s="20" t="e">
        <f t="array" ref="E1030">INDEX(C:C,SMALL(IF(ISNUMBER(FIND(CELL("contents"),$C$2:$C$4852)),ROW($C$2:$C$4852),4^8),ROW(C1030)))&amp;""</f>
        <v>#N/A</v>
      </c>
    </row>
    <row r="1031" ht="14.100000000000001" customHeight="1">
      <c r="B1031" s="20" t="s">
        <v>2209</v>
      </c>
      <c r="C1031" s="20" t="s">
        <v>2210</v>
      </c>
      <c r="D1031" s="20" t="s">
        <v>2209</v>
      </c>
      <c r="E1031" s="20" t="e">
        <f t="array" ref="E1031">INDEX(C:C,SMALL(IF(ISNUMBER(FIND(CELL("contents"),$C$2:$C$4852)),ROW($C$2:$C$4852),4^8),ROW(C1031)))&amp;""</f>
        <v>#N/A</v>
      </c>
    </row>
    <row r="1032" ht="14.100000000000001" customHeight="1">
      <c r="B1032" s="20" t="s">
        <v>2211</v>
      </c>
      <c r="C1032" s="20" t="s">
        <v>2212</v>
      </c>
      <c r="D1032" s="20" t="s">
        <v>2211</v>
      </c>
      <c r="E1032" s="20" t="e">
        <f t="array" ref="E1032">INDEX(C:C,SMALL(IF(ISNUMBER(FIND(CELL("contents"),$C$2:$C$4852)),ROW($C$2:$C$4852),4^8),ROW(C1032)))&amp;""</f>
        <v>#N/A</v>
      </c>
    </row>
    <row r="1033" ht="14.100000000000001" customHeight="1">
      <c r="B1033" s="20" t="s">
        <v>2213</v>
      </c>
      <c r="C1033" s="20" t="s">
        <v>2214</v>
      </c>
      <c r="D1033" s="20" t="s">
        <v>2213</v>
      </c>
      <c r="E1033" s="20" t="e">
        <f t="array" ref="E1033">INDEX(C:C,SMALL(IF(ISNUMBER(FIND(CELL("contents"),$C$2:$C$4852)),ROW($C$2:$C$4852),4^8),ROW(C1033)))&amp;""</f>
        <v>#N/A</v>
      </c>
    </row>
    <row r="1034" ht="14.100000000000001" customHeight="1">
      <c r="B1034" s="20" t="s">
        <v>2215</v>
      </c>
      <c r="C1034" s="20" t="s">
        <v>2216</v>
      </c>
      <c r="D1034" s="20" t="s">
        <v>2215</v>
      </c>
      <c r="E1034" s="20" t="e">
        <f t="array" ref="E1034">INDEX(C:C,SMALL(IF(ISNUMBER(FIND(CELL("contents"),$C$2:$C$4852)),ROW($C$2:$C$4852),4^8),ROW(C1034)))&amp;""</f>
        <v>#N/A</v>
      </c>
    </row>
    <row r="1035" ht="14.100000000000001" customHeight="1">
      <c r="B1035" s="20" t="s">
        <v>2217</v>
      </c>
      <c r="C1035" s="20" t="s">
        <v>2218</v>
      </c>
      <c r="D1035" s="20" t="s">
        <v>2217</v>
      </c>
      <c r="E1035" s="20" t="e">
        <f t="array" ref="E1035">INDEX(C:C,SMALL(IF(ISNUMBER(FIND(CELL("contents"),$C$2:$C$4852)),ROW($C$2:$C$4852),4^8),ROW(C1035)))&amp;""</f>
        <v>#N/A</v>
      </c>
    </row>
    <row r="1036" ht="14.100000000000001" customHeight="1">
      <c r="B1036" s="20" t="s">
        <v>2219</v>
      </c>
      <c r="C1036" s="20" t="s">
        <v>2220</v>
      </c>
      <c r="D1036" s="20" t="s">
        <v>2219</v>
      </c>
      <c r="E1036" s="20" t="e">
        <f t="array" ref="E1036">INDEX(C:C,SMALL(IF(ISNUMBER(FIND(CELL("contents"),$C$2:$C$4852)),ROW($C$2:$C$4852),4^8),ROW(C1036)))&amp;""</f>
        <v>#N/A</v>
      </c>
    </row>
    <row r="1037" ht="14.100000000000001" customHeight="1">
      <c r="B1037" s="20" t="s">
        <v>2221</v>
      </c>
      <c r="C1037" s="20" t="s">
        <v>2222</v>
      </c>
      <c r="D1037" s="20" t="s">
        <v>2221</v>
      </c>
      <c r="E1037" s="20" t="e">
        <f t="array" ref="E1037">INDEX(C:C,SMALL(IF(ISNUMBER(FIND(CELL("contents"),$C$2:$C$4852)),ROW($C$2:$C$4852),4^8),ROW(C1037)))&amp;""</f>
        <v>#N/A</v>
      </c>
    </row>
    <row r="1038" ht="14.100000000000001" customHeight="1">
      <c r="B1038" s="20" t="s">
        <v>2223</v>
      </c>
      <c r="C1038" s="20" t="s">
        <v>2224</v>
      </c>
      <c r="D1038" s="20" t="s">
        <v>2223</v>
      </c>
      <c r="E1038" s="20" t="e">
        <f t="array" ref="E1038">INDEX(C:C,SMALL(IF(ISNUMBER(FIND(CELL("contents"),$C$2:$C$4852)),ROW($C$2:$C$4852),4^8),ROW(C1038)))&amp;""</f>
        <v>#N/A</v>
      </c>
    </row>
    <row r="1039" ht="14.100000000000001" customHeight="1">
      <c r="B1039" s="20" t="s">
        <v>2225</v>
      </c>
      <c r="C1039" s="20" t="s">
        <v>2226</v>
      </c>
      <c r="D1039" s="20" t="s">
        <v>2225</v>
      </c>
      <c r="E1039" s="20" t="e">
        <f t="array" ref="E1039">INDEX(C:C,SMALL(IF(ISNUMBER(FIND(CELL("contents"),$C$2:$C$4852)),ROW($C$2:$C$4852),4^8),ROW(C1039)))&amp;""</f>
        <v>#N/A</v>
      </c>
    </row>
    <row r="1040" ht="14.100000000000001" customHeight="1">
      <c r="B1040" s="20" t="s">
        <v>2227</v>
      </c>
      <c r="C1040" s="20" t="s">
        <v>2228</v>
      </c>
      <c r="D1040" s="20" t="s">
        <v>2227</v>
      </c>
      <c r="E1040" s="20" t="e">
        <f t="array" ref="E1040">INDEX(C:C,SMALL(IF(ISNUMBER(FIND(CELL("contents"),$C$2:$C$4852)),ROW($C$2:$C$4852),4^8),ROW(C1040)))&amp;""</f>
        <v>#N/A</v>
      </c>
    </row>
    <row r="1041" ht="14.100000000000001" customHeight="1">
      <c r="B1041" s="20" t="s">
        <v>2229</v>
      </c>
      <c r="C1041" s="20" t="s">
        <v>2230</v>
      </c>
      <c r="D1041" s="20" t="s">
        <v>2229</v>
      </c>
      <c r="E1041" s="20" t="e">
        <f t="array" ref="E1041">INDEX(C:C,SMALL(IF(ISNUMBER(FIND(CELL("contents"),$C$2:$C$4852)),ROW($C$2:$C$4852),4^8),ROW(C1041)))&amp;""</f>
        <v>#N/A</v>
      </c>
    </row>
    <row r="1042" ht="14.100000000000001" customHeight="1">
      <c r="B1042" s="20" t="s">
        <v>2231</v>
      </c>
      <c r="C1042" s="20" t="s">
        <v>2232</v>
      </c>
      <c r="D1042" s="20" t="s">
        <v>2231</v>
      </c>
      <c r="E1042" s="20" t="e">
        <f t="array" ref="E1042">INDEX(C:C,SMALL(IF(ISNUMBER(FIND(CELL("contents"),$C$2:$C$4852)),ROW($C$2:$C$4852),4^8),ROW(C1042)))&amp;""</f>
        <v>#N/A</v>
      </c>
    </row>
    <row r="1043" ht="14.100000000000001" customHeight="1">
      <c r="B1043" s="20" t="s">
        <v>2233</v>
      </c>
      <c r="C1043" s="20" t="s">
        <v>2234</v>
      </c>
      <c r="D1043" s="20" t="s">
        <v>2233</v>
      </c>
      <c r="E1043" s="20" t="e">
        <f t="array" ref="E1043">INDEX(C:C,SMALL(IF(ISNUMBER(FIND(CELL("contents"),$C$2:$C$4852)),ROW($C$2:$C$4852),4^8),ROW(C1043)))&amp;""</f>
        <v>#N/A</v>
      </c>
    </row>
    <row r="1044" ht="14.100000000000001" customHeight="1">
      <c r="B1044" s="20" t="s">
        <v>2235</v>
      </c>
      <c r="C1044" s="20" t="s">
        <v>2236</v>
      </c>
      <c r="D1044" s="20" t="s">
        <v>2235</v>
      </c>
      <c r="E1044" s="20" t="e">
        <f t="array" ref="E1044">INDEX(C:C,SMALL(IF(ISNUMBER(FIND(CELL("contents"),$C$2:$C$4852)),ROW($C$2:$C$4852),4^8),ROW(C1044)))&amp;""</f>
        <v>#N/A</v>
      </c>
    </row>
    <row r="1045" ht="14.100000000000001" customHeight="1">
      <c r="B1045" s="20" t="s">
        <v>2237</v>
      </c>
      <c r="C1045" s="20" t="s">
        <v>2238</v>
      </c>
      <c r="D1045" s="20" t="s">
        <v>2237</v>
      </c>
      <c r="E1045" s="20" t="e">
        <f t="array" ref="E1045">INDEX(C:C,SMALL(IF(ISNUMBER(FIND(CELL("contents"),$C$2:$C$4852)),ROW($C$2:$C$4852),4^8),ROW(C1045)))&amp;""</f>
        <v>#N/A</v>
      </c>
    </row>
    <row r="1046" ht="14.100000000000001" customHeight="1">
      <c r="B1046" s="20" t="s">
        <v>2239</v>
      </c>
      <c r="C1046" s="20" t="s">
        <v>2240</v>
      </c>
      <c r="D1046" s="20" t="s">
        <v>2239</v>
      </c>
      <c r="E1046" s="20" t="e">
        <f t="array" ref="E1046">INDEX(C:C,SMALL(IF(ISNUMBER(FIND(CELL("contents"),$C$2:$C$4852)),ROW($C$2:$C$4852),4^8),ROW(C1046)))&amp;""</f>
        <v>#N/A</v>
      </c>
    </row>
    <row r="1047" ht="14.100000000000001" customHeight="1">
      <c r="B1047" s="20" t="s">
        <v>2241</v>
      </c>
      <c r="C1047" s="20" t="s">
        <v>2242</v>
      </c>
      <c r="D1047" s="20" t="s">
        <v>2241</v>
      </c>
      <c r="E1047" s="20" t="e">
        <f t="array" ref="E1047">INDEX(C:C,SMALL(IF(ISNUMBER(FIND(CELL("contents"),$C$2:$C$4852)),ROW($C$2:$C$4852),4^8),ROW(C1047)))&amp;""</f>
        <v>#N/A</v>
      </c>
    </row>
    <row r="1048" ht="14.100000000000001" customHeight="1">
      <c r="B1048" s="20" t="s">
        <v>2243</v>
      </c>
      <c r="C1048" s="20" t="s">
        <v>2244</v>
      </c>
      <c r="D1048" s="20" t="s">
        <v>2243</v>
      </c>
      <c r="E1048" s="20" t="e">
        <f t="array" ref="E1048">INDEX(C:C,SMALL(IF(ISNUMBER(FIND(CELL("contents"),$C$2:$C$4852)),ROW($C$2:$C$4852),4^8),ROW(C1048)))&amp;""</f>
        <v>#N/A</v>
      </c>
    </row>
    <row r="1049" ht="14.100000000000001" customHeight="1">
      <c r="B1049" s="20" t="s">
        <v>2245</v>
      </c>
      <c r="C1049" s="20" t="s">
        <v>2246</v>
      </c>
      <c r="D1049" s="20" t="s">
        <v>2245</v>
      </c>
      <c r="E1049" s="20" t="e">
        <f t="array" ref="E1049">INDEX(C:C,SMALL(IF(ISNUMBER(FIND(CELL("contents"),$C$2:$C$4852)),ROW($C$2:$C$4852),4^8),ROW(C1049)))&amp;""</f>
        <v>#N/A</v>
      </c>
    </row>
    <row r="1050" ht="14.100000000000001" customHeight="1">
      <c r="B1050" s="20" t="s">
        <v>2247</v>
      </c>
      <c r="C1050" s="20" t="s">
        <v>2248</v>
      </c>
      <c r="D1050" s="20" t="s">
        <v>2247</v>
      </c>
      <c r="E1050" s="20" t="e">
        <f t="array" ref="E1050">INDEX(C:C,SMALL(IF(ISNUMBER(FIND(CELL("contents"),$C$2:$C$4852)),ROW($C$2:$C$4852),4^8),ROW(C1050)))&amp;""</f>
        <v>#N/A</v>
      </c>
    </row>
    <row r="1051" ht="14.100000000000001" customHeight="1">
      <c r="B1051" s="20" t="s">
        <v>2249</v>
      </c>
      <c r="C1051" s="20" t="s">
        <v>2250</v>
      </c>
      <c r="D1051" s="20" t="s">
        <v>2249</v>
      </c>
      <c r="E1051" s="20" t="e">
        <f t="array" ref="E1051">INDEX(C:C,SMALL(IF(ISNUMBER(FIND(CELL("contents"),$C$2:$C$4852)),ROW($C$2:$C$4852),4^8),ROW(C1051)))&amp;""</f>
        <v>#N/A</v>
      </c>
    </row>
    <row r="1052" ht="14.100000000000001" customHeight="1">
      <c r="B1052" s="20" t="s">
        <v>2251</v>
      </c>
      <c r="C1052" s="20" t="s">
        <v>2252</v>
      </c>
      <c r="D1052" s="20" t="s">
        <v>2251</v>
      </c>
      <c r="E1052" s="20" t="e">
        <f t="array" ref="E1052">INDEX(C:C,SMALL(IF(ISNUMBER(FIND(CELL("contents"),$C$2:$C$4852)),ROW($C$2:$C$4852),4^8),ROW(C1052)))&amp;""</f>
        <v>#N/A</v>
      </c>
    </row>
    <row r="1053" ht="14.100000000000001" customHeight="1">
      <c r="B1053" s="20" t="s">
        <v>2253</v>
      </c>
      <c r="C1053" s="20" t="s">
        <v>2254</v>
      </c>
      <c r="D1053" s="20" t="s">
        <v>2253</v>
      </c>
      <c r="E1053" s="20" t="e">
        <f t="array" ref="E1053">INDEX(C:C,SMALL(IF(ISNUMBER(FIND(CELL("contents"),$C$2:$C$4852)),ROW($C$2:$C$4852),4^8),ROW(C1053)))&amp;""</f>
        <v>#N/A</v>
      </c>
    </row>
    <row r="1054" ht="14.100000000000001" customHeight="1">
      <c r="B1054" s="20" t="s">
        <v>2255</v>
      </c>
      <c r="C1054" s="20" t="s">
        <v>2256</v>
      </c>
      <c r="D1054" s="20" t="s">
        <v>2255</v>
      </c>
      <c r="E1054" s="20" t="e">
        <f t="array" ref="E1054">INDEX(C:C,SMALL(IF(ISNUMBER(FIND(CELL("contents"),$C$2:$C$4852)),ROW($C$2:$C$4852),4^8),ROW(C1054)))&amp;""</f>
        <v>#N/A</v>
      </c>
    </row>
    <row r="1055" ht="14.100000000000001" customHeight="1">
      <c r="B1055" s="20" t="s">
        <v>2257</v>
      </c>
      <c r="C1055" s="20" t="s">
        <v>2258</v>
      </c>
      <c r="D1055" s="20" t="s">
        <v>2257</v>
      </c>
      <c r="E1055" s="20" t="e">
        <f t="array" ref="E1055">INDEX(C:C,SMALL(IF(ISNUMBER(FIND(CELL("contents"),$C$2:$C$4852)),ROW($C$2:$C$4852),4^8),ROW(C1055)))&amp;""</f>
        <v>#N/A</v>
      </c>
    </row>
    <row r="1056" ht="14.100000000000001" customHeight="1">
      <c r="B1056" s="20" t="s">
        <v>2259</v>
      </c>
      <c r="C1056" s="20" t="s">
        <v>2260</v>
      </c>
      <c r="D1056" s="20" t="s">
        <v>2259</v>
      </c>
      <c r="E1056" s="20" t="e">
        <f t="array" ref="E1056">INDEX(C:C,SMALL(IF(ISNUMBER(FIND(CELL("contents"),$C$2:$C$4852)),ROW($C$2:$C$4852),4^8),ROW(C1056)))&amp;""</f>
        <v>#N/A</v>
      </c>
    </row>
    <row r="1057" ht="14.100000000000001" customHeight="1">
      <c r="B1057" s="20" t="s">
        <v>2261</v>
      </c>
      <c r="C1057" s="20" t="s">
        <v>2262</v>
      </c>
      <c r="D1057" s="20" t="s">
        <v>2261</v>
      </c>
      <c r="E1057" s="20" t="e">
        <f t="array" ref="E1057">INDEX(C:C,SMALL(IF(ISNUMBER(FIND(CELL("contents"),$C$2:$C$4852)),ROW($C$2:$C$4852),4^8),ROW(C1057)))&amp;""</f>
        <v>#N/A</v>
      </c>
    </row>
    <row r="1058" ht="14.100000000000001" customHeight="1">
      <c r="B1058" s="20" t="s">
        <v>2263</v>
      </c>
      <c r="C1058" s="20" t="s">
        <v>2264</v>
      </c>
      <c r="D1058" s="20" t="s">
        <v>2263</v>
      </c>
      <c r="E1058" s="20" t="e">
        <f t="array" ref="E1058">INDEX(C:C,SMALL(IF(ISNUMBER(FIND(CELL("contents"),$C$2:$C$4852)),ROW($C$2:$C$4852),4^8),ROW(C1058)))&amp;""</f>
        <v>#N/A</v>
      </c>
    </row>
    <row r="1059" ht="14.100000000000001" customHeight="1">
      <c r="B1059" s="20" t="s">
        <v>2265</v>
      </c>
      <c r="C1059" s="20" t="s">
        <v>2266</v>
      </c>
      <c r="D1059" s="20" t="s">
        <v>2265</v>
      </c>
      <c r="E1059" s="20" t="e">
        <f t="array" ref="E1059">INDEX(C:C,SMALL(IF(ISNUMBER(FIND(CELL("contents"),$C$2:$C$4852)),ROW($C$2:$C$4852),4^8),ROW(C1059)))&amp;""</f>
        <v>#N/A</v>
      </c>
    </row>
    <row r="1060" ht="14.100000000000001" customHeight="1">
      <c r="B1060" s="20" t="s">
        <v>2267</v>
      </c>
      <c r="C1060" s="20" t="s">
        <v>2268</v>
      </c>
      <c r="D1060" s="20" t="s">
        <v>2267</v>
      </c>
      <c r="E1060" s="20" t="e">
        <f t="array" ref="E1060">INDEX(C:C,SMALL(IF(ISNUMBER(FIND(CELL("contents"),$C$2:$C$4852)),ROW($C$2:$C$4852),4^8),ROW(C1060)))&amp;""</f>
        <v>#N/A</v>
      </c>
    </row>
    <row r="1061" ht="14.100000000000001" customHeight="1">
      <c r="B1061" s="20" t="s">
        <v>2269</v>
      </c>
      <c r="C1061" s="20" t="s">
        <v>2270</v>
      </c>
      <c r="D1061" s="20" t="s">
        <v>2269</v>
      </c>
      <c r="E1061" s="20" t="e">
        <f t="array" ref="E1061">INDEX(C:C,SMALL(IF(ISNUMBER(FIND(CELL("contents"),$C$2:$C$4852)),ROW($C$2:$C$4852),4^8),ROW(C1061)))&amp;""</f>
        <v>#N/A</v>
      </c>
    </row>
    <row r="1062" ht="14.100000000000001" customHeight="1">
      <c r="B1062" s="20" t="s">
        <v>2271</v>
      </c>
      <c r="C1062" s="20" t="s">
        <v>2272</v>
      </c>
      <c r="D1062" s="20" t="s">
        <v>2271</v>
      </c>
      <c r="E1062" s="20" t="e">
        <f t="array" ref="E1062">INDEX(C:C,SMALL(IF(ISNUMBER(FIND(CELL("contents"),$C$2:$C$4852)),ROW($C$2:$C$4852),4^8),ROW(C1062)))&amp;""</f>
        <v>#N/A</v>
      </c>
    </row>
    <row r="1063" ht="14.100000000000001" customHeight="1">
      <c r="B1063" s="20" t="s">
        <v>2273</v>
      </c>
      <c r="C1063" s="20" t="s">
        <v>2274</v>
      </c>
      <c r="D1063" s="20" t="s">
        <v>2273</v>
      </c>
      <c r="E1063" s="20" t="e">
        <f t="array" ref="E1063">INDEX(C:C,SMALL(IF(ISNUMBER(FIND(CELL("contents"),$C$2:$C$4852)),ROW($C$2:$C$4852),4^8),ROW(C1063)))&amp;""</f>
        <v>#N/A</v>
      </c>
    </row>
    <row r="1064" ht="14.100000000000001" customHeight="1">
      <c r="B1064" s="20" t="s">
        <v>2275</v>
      </c>
      <c r="C1064" s="20" t="s">
        <v>2276</v>
      </c>
      <c r="D1064" s="20" t="s">
        <v>2275</v>
      </c>
      <c r="E1064" s="20" t="e">
        <f t="array" ref="E1064">INDEX(C:C,SMALL(IF(ISNUMBER(FIND(CELL("contents"),$C$2:$C$4852)),ROW($C$2:$C$4852),4^8),ROW(C1064)))&amp;""</f>
        <v>#N/A</v>
      </c>
    </row>
    <row r="1065" ht="14.100000000000001" customHeight="1">
      <c r="B1065" s="20" t="s">
        <v>2277</v>
      </c>
      <c r="C1065" s="20" t="s">
        <v>2278</v>
      </c>
      <c r="D1065" s="20" t="s">
        <v>2277</v>
      </c>
      <c r="E1065" s="20" t="e">
        <f t="array" ref="E1065">INDEX(C:C,SMALL(IF(ISNUMBER(FIND(CELL("contents"),$C$2:$C$4852)),ROW($C$2:$C$4852),4^8),ROW(C1065)))&amp;""</f>
        <v>#N/A</v>
      </c>
    </row>
    <row r="1066" ht="14.100000000000001" customHeight="1">
      <c r="B1066" s="20" t="s">
        <v>2279</v>
      </c>
      <c r="C1066" s="20" t="s">
        <v>2280</v>
      </c>
      <c r="D1066" s="20" t="s">
        <v>2279</v>
      </c>
      <c r="E1066" s="20" t="e">
        <f t="array" ref="E1066">INDEX(C:C,SMALL(IF(ISNUMBER(FIND(CELL("contents"),$C$2:$C$4852)),ROW($C$2:$C$4852),4^8),ROW(C1066)))&amp;""</f>
        <v>#N/A</v>
      </c>
    </row>
    <row r="1067" ht="14.100000000000001" customHeight="1">
      <c r="B1067" s="20" t="s">
        <v>2281</v>
      </c>
      <c r="C1067" s="20" t="s">
        <v>2282</v>
      </c>
      <c r="D1067" s="20" t="s">
        <v>2281</v>
      </c>
      <c r="E1067" s="20" t="e">
        <f t="array" ref="E1067">INDEX(C:C,SMALL(IF(ISNUMBER(FIND(CELL("contents"),$C$2:$C$4852)),ROW($C$2:$C$4852),4^8),ROW(C1067)))&amp;""</f>
        <v>#N/A</v>
      </c>
    </row>
    <row r="1068" ht="14.100000000000001" customHeight="1">
      <c r="B1068" s="20" t="s">
        <v>2283</v>
      </c>
      <c r="C1068" s="20" t="s">
        <v>2284</v>
      </c>
      <c r="D1068" s="20" t="s">
        <v>2283</v>
      </c>
      <c r="E1068" s="20" t="e">
        <f t="array" ref="E1068">INDEX(C:C,SMALL(IF(ISNUMBER(FIND(CELL("contents"),$C$2:$C$4852)),ROW($C$2:$C$4852),4^8),ROW(C1068)))&amp;""</f>
        <v>#N/A</v>
      </c>
    </row>
    <row r="1069" ht="14.100000000000001" customHeight="1">
      <c r="B1069" s="20" t="s">
        <v>2285</v>
      </c>
      <c r="C1069" s="20" t="s">
        <v>2286</v>
      </c>
      <c r="D1069" s="20" t="s">
        <v>2285</v>
      </c>
      <c r="E1069" s="20" t="e">
        <f t="array" ref="E1069">INDEX(C:C,SMALL(IF(ISNUMBER(FIND(CELL("contents"),$C$2:$C$4852)),ROW($C$2:$C$4852),4^8),ROW(C1069)))&amp;""</f>
        <v>#N/A</v>
      </c>
    </row>
    <row r="1070" ht="14.100000000000001" customHeight="1">
      <c r="B1070" s="20" t="s">
        <v>2287</v>
      </c>
      <c r="C1070" s="20" t="s">
        <v>2288</v>
      </c>
      <c r="D1070" s="20" t="s">
        <v>2287</v>
      </c>
      <c r="E1070" s="20" t="e">
        <f t="array" ref="E1070">INDEX(C:C,SMALL(IF(ISNUMBER(FIND(CELL("contents"),$C$2:$C$4852)),ROW($C$2:$C$4852),4^8),ROW(C1070)))&amp;""</f>
        <v>#N/A</v>
      </c>
    </row>
    <row r="1071" ht="14.100000000000001" customHeight="1">
      <c r="B1071" s="20" t="s">
        <v>2289</v>
      </c>
      <c r="C1071" s="20" t="s">
        <v>2290</v>
      </c>
      <c r="D1071" s="20" t="s">
        <v>2289</v>
      </c>
      <c r="E1071" s="20" t="e">
        <f t="array" ref="E1071">INDEX(C:C,SMALL(IF(ISNUMBER(FIND(CELL("contents"),$C$2:$C$4852)),ROW($C$2:$C$4852),4^8),ROW(C1071)))&amp;""</f>
        <v>#N/A</v>
      </c>
    </row>
    <row r="1072" ht="14.100000000000001" customHeight="1">
      <c r="B1072" s="20" t="s">
        <v>2291</v>
      </c>
      <c r="C1072" s="20" t="s">
        <v>2292</v>
      </c>
      <c r="D1072" s="20" t="s">
        <v>2291</v>
      </c>
      <c r="E1072" s="20" t="e">
        <f t="array" ref="E1072">INDEX(C:C,SMALL(IF(ISNUMBER(FIND(CELL("contents"),$C$2:$C$4852)),ROW($C$2:$C$4852),4^8),ROW(C1072)))&amp;""</f>
        <v>#N/A</v>
      </c>
    </row>
    <row r="1073" ht="14.100000000000001" customHeight="1">
      <c r="B1073" s="20" t="s">
        <v>2293</v>
      </c>
      <c r="C1073" s="20" t="s">
        <v>2294</v>
      </c>
      <c r="D1073" s="20" t="s">
        <v>2293</v>
      </c>
      <c r="E1073" s="20" t="e">
        <f t="array" ref="E1073">INDEX(C:C,SMALL(IF(ISNUMBER(FIND(CELL("contents"),$C$2:$C$4852)),ROW($C$2:$C$4852),4^8),ROW(C1073)))&amp;""</f>
        <v>#N/A</v>
      </c>
    </row>
    <row r="1074" ht="14.100000000000001" customHeight="1">
      <c r="B1074" s="20" t="s">
        <v>2295</v>
      </c>
      <c r="C1074" s="20" t="s">
        <v>2296</v>
      </c>
      <c r="D1074" s="20" t="s">
        <v>2295</v>
      </c>
      <c r="E1074" s="20" t="e">
        <f t="array" ref="E1074">INDEX(C:C,SMALL(IF(ISNUMBER(FIND(CELL("contents"),$C$2:$C$4852)),ROW($C$2:$C$4852),4^8),ROW(C1074)))&amp;""</f>
        <v>#N/A</v>
      </c>
    </row>
    <row r="1075" ht="14.100000000000001" customHeight="1">
      <c r="B1075" s="20" t="s">
        <v>2297</v>
      </c>
      <c r="C1075" s="20" t="s">
        <v>2298</v>
      </c>
      <c r="D1075" s="20" t="s">
        <v>2297</v>
      </c>
      <c r="E1075" s="20" t="e">
        <f t="array" ref="E1075">INDEX(C:C,SMALL(IF(ISNUMBER(FIND(CELL("contents"),$C$2:$C$4852)),ROW($C$2:$C$4852),4^8),ROW(C1075)))&amp;""</f>
        <v>#N/A</v>
      </c>
    </row>
    <row r="1076" ht="14.100000000000001" customHeight="1">
      <c r="B1076" s="20" t="s">
        <v>2299</v>
      </c>
      <c r="C1076" s="20" t="s">
        <v>2300</v>
      </c>
      <c r="D1076" s="20" t="s">
        <v>2299</v>
      </c>
      <c r="E1076" s="20" t="e">
        <f t="array" ref="E1076">INDEX(C:C,SMALL(IF(ISNUMBER(FIND(CELL("contents"),$C$2:$C$4852)),ROW($C$2:$C$4852),4^8),ROW(C1076)))&amp;""</f>
        <v>#N/A</v>
      </c>
    </row>
    <row r="1077" ht="14.100000000000001" customHeight="1">
      <c r="B1077" s="20" t="s">
        <v>2301</v>
      </c>
      <c r="C1077" s="20" t="s">
        <v>2302</v>
      </c>
      <c r="D1077" s="20" t="s">
        <v>2301</v>
      </c>
      <c r="E1077" s="20" t="e">
        <f t="array" ref="E1077">INDEX(C:C,SMALL(IF(ISNUMBER(FIND(CELL("contents"),$C$2:$C$4852)),ROW($C$2:$C$4852),4^8),ROW(C1077)))&amp;""</f>
        <v>#N/A</v>
      </c>
    </row>
    <row r="1078" ht="14.100000000000001" customHeight="1">
      <c r="B1078" s="20" t="s">
        <v>2303</v>
      </c>
      <c r="C1078" s="20" t="s">
        <v>2304</v>
      </c>
      <c r="D1078" s="20" t="s">
        <v>2303</v>
      </c>
      <c r="E1078" s="20" t="e">
        <f t="array" ref="E1078">INDEX(C:C,SMALL(IF(ISNUMBER(FIND(CELL("contents"),$C$2:$C$4852)),ROW($C$2:$C$4852),4^8),ROW(C1078)))&amp;""</f>
        <v>#N/A</v>
      </c>
    </row>
    <row r="1079" ht="14.100000000000001" customHeight="1">
      <c r="B1079" s="20" t="s">
        <v>2305</v>
      </c>
      <c r="C1079" s="20" t="s">
        <v>2306</v>
      </c>
      <c r="D1079" s="20" t="s">
        <v>2305</v>
      </c>
      <c r="E1079" s="20" t="e">
        <f t="array" ref="E1079">INDEX(C:C,SMALL(IF(ISNUMBER(FIND(CELL("contents"),$C$2:$C$4852)),ROW($C$2:$C$4852),4^8),ROW(C1079)))&amp;""</f>
        <v>#N/A</v>
      </c>
    </row>
    <row r="1080" ht="14.100000000000001" customHeight="1">
      <c r="B1080" s="20" t="s">
        <v>2307</v>
      </c>
      <c r="C1080" s="20" t="s">
        <v>2308</v>
      </c>
      <c r="D1080" s="20" t="s">
        <v>2307</v>
      </c>
      <c r="E1080" s="20" t="e">
        <f t="array" ref="E1080">INDEX(C:C,SMALL(IF(ISNUMBER(FIND(CELL("contents"),$C$2:$C$4852)),ROW($C$2:$C$4852),4^8),ROW(C1080)))&amp;""</f>
        <v>#N/A</v>
      </c>
    </row>
    <row r="1081" ht="14.100000000000001" customHeight="1">
      <c r="B1081" s="20" t="s">
        <v>2309</v>
      </c>
      <c r="C1081" s="20" t="s">
        <v>2310</v>
      </c>
      <c r="D1081" s="20" t="s">
        <v>2309</v>
      </c>
      <c r="E1081" s="20" t="e">
        <f t="array" ref="E1081">INDEX(C:C,SMALL(IF(ISNUMBER(FIND(CELL("contents"),$C$2:$C$4852)),ROW($C$2:$C$4852),4^8),ROW(C1081)))&amp;""</f>
        <v>#N/A</v>
      </c>
    </row>
    <row r="1082" ht="14.100000000000001" customHeight="1">
      <c r="B1082" s="20" t="s">
        <v>2311</v>
      </c>
      <c r="C1082" s="20" t="s">
        <v>2312</v>
      </c>
      <c r="D1082" s="20" t="s">
        <v>2311</v>
      </c>
      <c r="E1082" s="20" t="e">
        <f t="array" ref="E1082">INDEX(C:C,SMALL(IF(ISNUMBER(FIND(CELL("contents"),$C$2:$C$4852)),ROW($C$2:$C$4852),4^8),ROW(C1082)))&amp;""</f>
        <v>#N/A</v>
      </c>
    </row>
    <row r="1083" ht="14.100000000000001" customHeight="1">
      <c r="B1083" s="20" t="s">
        <v>2313</v>
      </c>
      <c r="C1083" s="20" t="s">
        <v>2314</v>
      </c>
      <c r="D1083" s="20" t="s">
        <v>2313</v>
      </c>
      <c r="E1083" s="20" t="e">
        <f t="array" ref="E1083">INDEX(C:C,SMALL(IF(ISNUMBER(FIND(CELL("contents"),$C$2:$C$4852)),ROW($C$2:$C$4852),4^8),ROW(C1083)))&amp;""</f>
        <v>#N/A</v>
      </c>
    </row>
    <row r="1084" ht="14.100000000000001" customHeight="1">
      <c r="B1084" s="20" t="s">
        <v>2315</v>
      </c>
      <c r="C1084" s="20" t="s">
        <v>2316</v>
      </c>
      <c r="D1084" s="20" t="s">
        <v>2315</v>
      </c>
      <c r="E1084" s="20" t="e">
        <f t="array" ref="E1084">INDEX(C:C,SMALL(IF(ISNUMBER(FIND(CELL("contents"),$C$2:$C$4852)),ROW($C$2:$C$4852),4^8),ROW(C1084)))&amp;""</f>
        <v>#N/A</v>
      </c>
    </row>
    <row r="1085" ht="14.100000000000001" customHeight="1">
      <c r="B1085" s="20" t="s">
        <v>2317</v>
      </c>
      <c r="C1085" s="20" t="s">
        <v>2318</v>
      </c>
      <c r="D1085" s="20" t="s">
        <v>2317</v>
      </c>
      <c r="E1085" s="20" t="e">
        <f t="array" ref="E1085">INDEX(C:C,SMALL(IF(ISNUMBER(FIND(CELL("contents"),$C$2:$C$4852)),ROW($C$2:$C$4852),4^8),ROW(C1085)))&amp;""</f>
        <v>#N/A</v>
      </c>
    </row>
    <row r="1086" ht="14.100000000000001" customHeight="1">
      <c r="B1086" s="20" t="s">
        <v>2319</v>
      </c>
      <c r="C1086" s="20" t="s">
        <v>2320</v>
      </c>
      <c r="D1086" s="20" t="s">
        <v>2319</v>
      </c>
      <c r="E1086" s="20" t="e">
        <f t="array" ref="E1086">INDEX(C:C,SMALL(IF(ISNUMBER(FIND(CELL("contents"),$C$2:$C$4852)),ROW($C$2:$C$4852),4^8),ROW(C1086)))&amp;""</f>
        <v>#N/A</v>
      </c>
    </row>
    <row r="1087" ht="14.100000000000001" customHeight="1">
      <c r="B1087" s="20" t="s">
        <v>2321</v>
      </c>
      <c r="C1087" s="20" t="s">
        <v>2322</v>
      </c>
      <c r="D1087" s="20" t="s">
        <v>2321</v>
      </c>
      <c r="E1087" s="20" t="e">
        <f t="array" ref="E1087">INDEX(C:C,SMALL(IF(ISNUMBER(FIND(CELL("contents"),$C$2:$C$4852)),ROW($C$2:$C$4852),4^8),ROW(C1087)))&amp;""</f>
        <v>#N/A</v>
      </c>
    </row>
    <row r="1088" ht="14.100000000000001" customHeight="1">
      <c r="B1088" s="20" t="s">
        <v>2323</v>
      </c>
      <c r="C1088" s="20" t="s">
        <v>2324</v>
      </c>
      <c r="D1088" s="20" t="s">
        <v>2323</v>
      </c>
      <c r="E1088" s="20" t="e">
        <f t="array" ref="E1088">INDEX(C:C,SMALL(IF(ISNUMBER(FIND(CELL("contents"),$C$2:$C$4852)),ROW($C$2:$C$4852),4^8),ROW(C1088)))&amp;""</f>
        <v>#N/A</v>
      </c>
    </row>
    <row r="1089" ht="14.100000000000001" customHeight="1">
      <c r="B1089" s="20" t="s">
        <v>2325</v>
      </c>
      <c r="C1089" s="20" t="s">
        <v>2326</v>
      </c>
      <c r="D1089" s="20" t="s">
        <v>2325</v>
      </c>
      <c r="E1089" s="20" t="e">
        <f t="array" ref="E1089">INDEX(C:C,SMALL(IF(ISNUMBER(FIND(CELL("contents"),$C$2:$C$4852)),ROW($C$2:$C$4852),4^8),ROW(C1089)))&amp;""</f>
        <v>#N/A</v>
      </c>
    </row>
    <row r="1090" ht="14.100000000000001" customHeight="1">
      <c r="B1090" s="20" t="s">
        <v>2327</v>
      </c>
      <c r="C1090" s="20" t="s">
        <v>2328</v>
      </c>
      <c r="D1090" s="20" t="s">
        <v>2327</v>
      </c>
      <c r="E1090" s="20" t="e">
        <f t="array" ref="E1090">INDEX(C:C,SMALL(IF(ISNUMBER(FIND(CELL("contents"),$C$2:$C$4852)),ROW($C$2:$C$4852),4^8),ROW(C1090)))&amp;""</f>
        <v>#N/A</v>
      </c>
    </row>
    <row r="1091" ht="14.100000000000001" customHeight="1">
      <c r="B1091" s="20" t="s">
        <v>2329</v>
      </c>
      <c r="C1091" s="20" t="s">
        <v>2330</v>
      </c>
      <c r="D1091" s="20" t="s">
        <v>2329</v>
      </c>
      <c r="E1091" s="20" t="e">
        <f t="array" ref="E1091">INDEX(C:C,SMALL(IF(ISNUMBER(FIND(CELL("contents"),$C$2:$C$4852)),ROW($C$2:$C$4852),4^8),ROW(C1091)))&amp;""</f>
        <v>#N/A</v>
      </c>
    </row>
    <row r="1092" ht="14.100000000000001" customHeight="1">
      <c r="B1092" s="20" t="s">
        <v>2331</v>
      </c>
      <c r="C1092" s="20" t="s">
        <v>2332</v>
      </c>
      <c r="D1092" s="20" t="s">
        <v>2331</v>
      </c>
      <c r="E1092" s="20" t="e">
        <f t="array" ref="E1092">INDEX(C:C,SMALL(IF(ISNUMBER(FIND(CELL("contents"),$C$2:$C$4852)),ROW($C$2:$C$4852),4^8),ROW(C1092)))&amp;""</f>
        <v>#N/A</v>
      </c>
    </row>
    <row r="1093" ht="14.100000000000001" customHeight="1">
      <c r="B1093" s="20" t="s">
        <v>2333</v>
      </c>
      <c r="C1093" s="20" t="s">
        <v>2334</v>
      </c>
      <c r="D1093" s="20" t="s">
        <v>2333</v>
      </c>
      <c r="E1093" s="20" t="e">
        <f t="array" ref="E1093">INDEX(C:C,SMALL(IF(ISNUMBER(FIND(CELL("contents"),$C$2:$C$4852)),ROW($C$2:$C$4852),4^8),ROW(C1093)))&amp;""</f>
        <v>#N/A</v>
      </c>
    </row>
    <row r="1094" ht="14.100000000000001" customHeight="1">
      <c r="B1094" s="20" t="s">
        <v>2335</v>
      </c>
      <c r="C1094" s="20" t="s">
        <v>2336</v>
      </c>
      <c r="D1094" s="20" t="s">
        <v>2335</v>
      </c>
      <c r="E1094" s="20" t="e">
        <f t="array" ref="E1094">INDEX(C:C,SMALL(IF(ISNUMBER(FIND(CELL("contents"),$C$2:$C$4852)),ROW($C$2:$C$4852),4^8),ROW(C1094)))&amp;""</f>
        <v>#N/A</v>
      </c>
    </row>
    <row r="1095" ht="14.100000000000001" customHeight="1">
      <c r="B1095" s="20" t="s">
        <v>2337</v>
      </c>
      <c r="C1095" s="20" t="s">
        <v>2338</v>
      </c>
      <c r="D1095" s="20" t="s">
        <v>2337</v>
      </c>
      <c r="E1095" s="20" t="e">
        <f t="array" ref="E1095">INDEX(C:C,SMALL(IF(ISNUMBER(FIND(CELL("contents"),$C$2:$C$4852)),ROW($C$2:$C$4852),4^8),ROW(C1095)))&amp;""</f>
        <v>#N/A</v>
      </c>
    </row>
    <row r="1096" ht="14.100000000000001" customHeight="1">
      <c r="B1096" s="20" t="s">
        <v>2339</v>
      </c>
      <c r="C1096" s="20" t="s">
        <v>2340</v>
      </c>
      <c r="D1096" s="20" t="s">
        <v>2339</v>
      </c>
      <c r="E1096" s="20" t="e">
        <f t="array" ref="E1096">INDEX(C:C,SMALL(IF(ISNUMBER(FIND(CELL("contents"),$C$2:$C$4852)),ROW($C$2:$C$4852),4^8),ROW(C1096)))&amp;""</f>
        <v>#N/A</v>
      </c>
    </row>
    <row r="1097" ht="14.100000000000001" customHeight="1">
      <c r="B1097" s="20" t="s">
        <v>2341</v>
      </c>
      <c r="C1097" s="20" t="s">
        <v>2342</v>
      </c>
      <c r="D1097" s="20" t="s">
        <v>2341</v>
      </c>
      <c r="E1097" s="20" t="e">
        <f t="array" ref="E1097">INDEX(C:C,SMALL(IF(ISNUMBER(FIND(CELL("contents"),$C$2:$C$4852)),ROW($C$2:$C$4852),4^8),ROW(C1097)))&amp;""</f>
        <v>#N/A</v>
      </c>
    </row>
    <row r="1098" ht="14.100000000000001" customHeight="1">
      <c r="B1098" s="20" t="s">
        <v>2343</v>
      </c>
      <c r="C1098" s="20" t="s">
        <v>2344</v>
      </c>
      <c r="D1098" s="20" t="s">
        <v>2343</v>
      </c>
      <c r="E1098" s="20" t="e">
        <f t="array" ref="E1098">INDEX(C:C,SMALL(IF(ISNUMBER(FIND(CELL("contents"),$C$2:$C$4852)),ROW($C$2:$C$4852),4^8),ROW(C1098)))&amp;""</f>
        <v>#N/A</v>
      </c>
    </row>
    <row r="1099" ht="14.100000000000001" customHeight="1">
      <c r="B1099" s="20" t="s">
        <v>2345</v>
      </c>
      <c r="C1099" s="20" t="s">
        <v>2346</v>
      </c>
      <c r="D1099" s="20" t="s">
        <v>2345</v>
      </c>
      <c r="E1099" s="20" t="e">
        <f t="array" ref="E1099">INDEX(C:C,SMALL(IF(ISNUMBER(FIND(CELL("contents"),$C$2:$C$4852)),ROW($C$2:$C$4852),4^8),ROW(C1099)))&amp;""</f>
        <v>#N/A</v>
      </c>
    </row>
    <row r="1100" ht="14.100000000000001" customHeight="1">
      <c r="B1100" s="20" t="s">
        <v>2347</v>
      </c>
      <c r="C1100" s="20" t="s">
        <v>2348</v>
      </c>
      <c r="D1100" s="20" t="s">
        <v>2347</v>
      </c>
      <c r="E1100" s="20" t="e">
        <f t="array" ref="E1100">INDEX(C:C,SMALL(IF(ISNUMBER(FIND(CELL("contents"),$C$2:$C$4852)),ROW($C$2:$C$4852),4^8),ROW(C1100)))&amp;""</f>
        <v>#N/A</v>
      </c>
    </row>
    <row r="1101" ht="14.100000000000001" customHeight="1">
      <c r="B1101" s="20" t="s">
        <v>2349</v>
      </c>
      <c r="C1101" s="20" t="s">
        <v>2350</v>
      </c>
      <c r="D1101" s="20" t="s">
        <v>2349</v>
      </c>
      <c r="E1101" s="20" t="e">
        <f t="array" ref="E1101">INDEX(C:C,SMALL(IF(ISNUMBER(FIND(CELL("contents"),$C$2:$C$4852)),ROW($C$2:$C$4852),4^8),ROW(C1101)))&amp;""</f>
        <v>#N/A</v>
      </c>
    </row>
    <row r="1102" ht="14.100000000000001" customHeight="1">
      <c r="B1102" s="20" t="s">
        <v>2351</v>
      </c>
      <c r="C1102" s="20" t="s">
        <v>2352</v>
      </c>
      <c r="D1102" s="20" t="s">
        <v>2351</v>
      </c>
      <c r="E1102" s="20" t="e">
        <f t="array" ref="E1102">INDEX(C:C,SMALL(IF(ISNUMBER(FIND(CELL("contents"),$C$2:$C$4852)),ROW($C$2:$C$4852),4^8),ROW(C1102)))&amp;""</f>
        <v>#N/A</v>
      </c>
    </row>
    <row r="1103" ht="14.100000000000001" customHeight="1">
      <c r="B1103" s="20" t="s">
        <v>2353</v>
      </c>
      <c r="C1103" s="20" t="s">
        <v>2354</v>
      </c>
      <c r="D1103" s="20" t="s">
        <v>2353</v>
      </c>
      <c r="E1103" s="20" t="e">
        <f t="array" ref="E1103">INDEX(C:C,SMALL(IF(ISNUMBER(FIND(CELL("contents"),$C$2:$C$4852)),ROW($C$2:$C$4852),4^8),ROW(C1103)))&amp;""</f>
        <v>#N/A</v>
      </c>
    </row>
    <row r="1104" ht="14.100000000000001" customHeight="1">
      <c r="B1104" s="20" t="s">
        <v>2355</v>
      </c>
      <c r="C1104" s="20" t="s">
        <v>2356</v>
      </c>
      <c r="D1104" s="20" t="s">
        <v>2355</v>
      </c>
      <c r="E1104" s="20" t="e">
        <f t="array" ref="E1104">INDEX(C:C,SMALL(IF(ISNUMBER(FIND(CELL("contents"),$C$2:$C$4852)),ROW($C$2:$C$4852),4^8),ROW(C1104)))&amp;""</f>
        <v>#N/A</v>
      </c>
    </row>
    <row r="1105" ht="14.100000000000001" customHeight="1">
      <c r="B1105" s="20" t="s">
        <v>2357</v>
      </c>
      <c r="C1105" s="20" t="s">
        <v>2358</v>
      </c>
      <c r="D1105" s="20" t="s">
        <v>2357</v>
      </c>
      <c r="E1105" s="20" t="e">
        <f t="array" ref="E1105">INDEX(C:C,SMALL(IF(ISNUMBER(FIND(CELL("contents"),$C$2:$C$4852)),ROW($C$2:$C$4852),4^8),ROW(C1105)))&amp;""</f>
        <v>#N/A</v>
      </c>
    </row>
    <row r="1106" ht="14.100000000000001" customHeight="1">
      <c r="B1106" s="20" t="s">
        <v>2359</v>
      </c>
      <c r="C1106" s="20" t="s">
        <v>2360</v>
      </c>
      <c r="D1106" s="20" t="s">
        <v>2359</v>
      </c>
      <c r="E1106" s="20" t="e">
        <f t="array" ref="E1106">INDEX(C:C,SMALL(IF(ISNUMBER(FIND(CELL("contents"),$C$2:$C$4852)),ROW($C$2:$C$4852),4^8),ROW(C1106)))&amp;""</f>
        <v>#N/A</v>
      </c>
    </row>
    <row r="1107" ht="14.100000000000001" customHeight="1">
      <c r="B1107" s="20" t="s">
        <v>2361</v>
      </c>
      <c r="C1107" s="20" t="s">
        <v>2362</v>
      </c>
      <c r="D1107" s="20" t="s">
        <v>2361</v>
      </c>
      <c r="E1107" s="20" t="e">
        <f t="array" ref="E1107">INDEX(C:C,SMALL(IF(ISNUMBER(FIND(CELL("contents"),$C$2:$C$4852)),ROW($C$2:$C$4852),4^8),ROW(C1107)))&amp;""</f>
        <v>#N/A</v>
      </c>
    </row>
    <row r="1108" ht="14.100000000000001" customHeight="1">
      <c r="B1108" s="20" t="s">
        <v>2363</v>
      </c>
      <c r="C1108" s="20" t="s">
        <v>2364</v>
      </c>
      <c r="D1108" s="20" t="s">
        <v>2363</v>
      </c>
      <c r="E1108" s="20" t="e">
        <f t="array" ref="E1108">INDEX(C:C,SMALL(IF(ISNUMBER(FIND(CELL("contents"),$C$2:$C$4852)),ROW($C$2:$C$4852),4^8),ROW(C1108)))&amp;""</f>
        <v>#N/A</v>
      </c>
    </row>
    <row r="1109" ht="14.100000000000001" customHeight="1">
      <c r="B1109" s="20" t="s">
        <v>2365</v>
      </c>
      <c r="C1109" s="20" t="s">
        <v>2366</v>
      </c>
      <c r="D1109" s="20" t="s">
        <v>2365</v>
      </c>
      <c r="E1109" s="20" t="e">
        <f t="array" ref="E1109">INDEX(C:C,SMALL(IF(ISNUMBER(FIND(CELL("contents"),$C$2:$C$4852)),ROW($C$2:$C$4852),4^8),ROW(C1109)))&amp;""</f>
        <v>#N/A</v>
      </c>
    </row>
    <row r="1110" ht="14.100000000000001" customHeight="1">
      <c r="B1110" s="20" t="s">
        <v>2367</v>
      </c>
      <c r="C1110" s="20" t="s">
        <v>2368</v>
      </c>
      <c r="D1110" s="20" t="s">
        <v>2367</v>
      </c>
      <c r="E1110" s="20" t="e">
        <f t="array" ref="E1110">INDEX(C:C,SMALL(IF(ISNUMBER(FIND(CELL("contents"),$C$2:$C$4852)),ROW($C$2:$C$4852),4^8),ROW(C1110)))&amp;""</f>
        <v>#N/A</v>
      </c>
    </row>
    <row r="1111" ht="14.100000000000001" customHeight="1">
      <c r="B1111" s="20" t="s">
        <v>2369</v>
      </c>
      <c r="C1111" s="20" t="s">
        <v>2370</v>
      </c>
      <c r="D1111" s="20" t="s">
        <v>2369</v>
      </c>
      <c r="E1111" s="20" t="e">
        <f t="array" ref="E1111">INDEX(C:C,SMALL(IF(ISNUMBER(FIND(CELL("contents"),$C$2:$C$4852)),ROW($C$2:$C$4852),4^8),ROW(C1111)))&amp;""</f>
        <v>#N/A</v>
      </c>
    </row>
    <row r="1112" ht="14.100000000000001" customHeight="1">
      <c r="B1112" s="20" t="s">
        <v>2371</v>
      </c>
      <c r="C1112" s="20" t="s">
        <v>2372</v>
      </c>
      <c r="D1112" s="20" t="s">
        <v>2371</v>
      </c>
      <c r="E1112" s="20" t="e">
        <f t="array" ref="E1112">INDEX(C:C,SMALL(IF(ISNUMBER(FIND(CELL("contents"),$C$2:$C$4852)),ROW($C$2:$C$4852),4^8),ROW(C1112)))&amp;""</f>
        <v>#N/A</v>
      </c>
    </row>
    <row r="1113" ht="14.100000000000001" customHeight="1">
      <c r="B1113" s="20" t="s">
        <v>2373</v>
      </c>
      <c r="C1113" s="20" t="s">
        <v>2374</v>
      </c>
      <c r="D1113" s="20" t="s">
        <v>2373</v>
      </c>
      <c r="E1113" s="20" t="e">
        <f t="array" ref="E1113">INDEX(C:C,SMALL(IF(ISNUMBER(FIND(CELL("contents"),$C$2:$C$4852)),ROW($C$2:$C$4852),4^8),ROW(C1113)))&amp;""</f>
        <v>#N/A</v>
      </c>
    </row>
    <row r="1114" ht="14.100000000000001" customHeight="1">
      <c r="B1114" s="20" t="s">
        <v>2375</v>
      </c>
      <c r="C1114" s="20" t="s">
        <v>2376</v>
      </c>
      <c r="D1114" s="20" t="s">
        <v>2375</v>
      </c>
      <c r="E1114" s="20" t="e">
        <f t="array" ref="E1114">INDEX(C:C,SMALL(IF(ISNUMBER(FIND(CELL("contents"),$C$2:$C$4852)),ROW($C$2:$C$4852),4^8),ROW(C1114)))&amp;""</f>
        <v>#N/A</v>
      </c>
    </row>
    <row r="1115" ht="14.100000000000001" customHeight="1">
      <c r="B1115" s="20" t="s">
        <v>2377</v>
      </c>
      <c r="C1115" s="20" t="s">
        <v>2378</v>
      </c>
      <c r="D1115" s="20" t="s">
        <v>2377</v>
      </c>
      <c r="E1115" s="20" t="e">
        <f t="array" ref="E1115">INDEX(C:C,SMALL(IF(ISNUMBER(FIND(CELL("contents"),$C$2:$C$4852)),ROW($C$2:$C$4852),4^8),ROW(C1115)))&amp;""</f>
        <v>#N/A</v>
      </c>
    </row>
    <row r="1116" ht="14.100000000000001" customHeight="1">
      <c r="B1116" s="20" t="s">
        <v>2379</v>
      </c>
      <c r="C1116" s="20" t="s">
        <v>2380</v>
      </c>
      <c r="D1116" s="20" t="s">
        <v>2379</v>
      </c>
      <c r="E1116" s="20" t="e">
        <f t="array" ref="E1116">INDEX(C:C,SMALL(IF(ISNUMBER(FIND(CELL("contents"),$C$2:$C$4852)),ROW($C$2:$C$4852),4^8),ROW(C1116)))&amp;""</f>
        <v>#N/A</v>
      </c>
    </row>
    <row r="1117" ht="14.100000000000001" customHeight="1">
      <c r="B1117" s="20" t="s">
        <v>2381</v>
      </c>
      <c r="C1117" s="20" t="s">
        <v>2382</v>
      </c>
      <c r="D1117" s="20" t="s">
        <v>2381</v>
      </c>
      <c r="E1117" s="20" t="e">
        <f t="array" ref="E1117">INDEX(C:C,SMALL(IF(ISNUMBER(FIND(CELL("contents"),$C$2:$C$4852)),ROW($C$2:$C$4852),4^8),ROW(C1117)))&amp;""</f>
        <v>#N/A</v>
      </c>
    </row>
    <row r="1118" ht="14.100000000000001" customHeight="1">
      <c r="B1118" s="20" t="s">
        <v>2383</v>
      </c>
      <c r="C1118" s="20" t="s">
        <v>2384</v>
      </c>
      <c r="D1118" s="20" t="s">
        <v>2383</v>
      </c>
      <c r="E1118" s="20" t="e">
        <f t="array" ref="E1118">INDEX(C:C,SMALL(IF(ISNUMBER(FIND(CELL("contents"),$C$2:$C$4852)),ROW($C$2:$C$4852),4^8),ROW(C1118)))&amp;""</f>
        <v>#N/A</v>
      </c>
    </row>
    <row r="1119" ht="14.100000000000001" customHeight="1">
      <c r="B1119" s="20" t="s">
        <v>2385</v>
      </c>
      <c r="C1119" s="20" t="s">
        <v>2386</v>
      </c>
      <c r="D1119" s="20" t="s">
        <v>2385</v>
      </c>
      <c r="E1119" s="20" t="e">
        <f t="array" ref="E1119">INDEX(C:C,SMALL(IF(ISNUMBER(FIND(CELL("contents"),$C$2:$C$4852)),ROW($C$2:$C$4852),4^8),ROW(C1119)))&amp;""</f>
        <v>#N/A</v>
      </c>
    </row>
    <row r="1120" ht="14.100000000000001" customHeight="1">
      <c r="B1120" s="20" t="s">
        <v>2387</v>
      </c>
      <c r="C1120" s="20" t="s">
        <v>2388</v>
      </c>
      <c r="D1120" s="20" t="s">
        <v>2387</v>
      </c>
      <c r="E1120" s="20" t="e">
        <f t="array" ref="E1120">INDEX(C:C,SMALL(IF(ISNUMBER(FIND(CELL("contents"),$C$2:$C$4852)),ROW($C$2:$C$4852),4^8),ROW(C1120)))&amp;""</f>
        <v>#N/A</v>
      </c>
    </row>
    <row r="1121" ht="14.100000000000001" customHeight="1">
      <c r="B1121" s="20" t="s">
        <v>2389</v>
      </c>
      <c r="C1121" s="20" t="s">
        <v>2390</v>
      </c>
      <c r="D1121" s="20" t="s">
        <v>2389</v>
      </c>
      <c r="E1121" s="20" t="e">
        <f t="array" ref="E1121">INDEX(C:C,SMALL(IF(ISNUMBER(FIND(CELL("contents"),$C$2:$C$4852)),ROW($C$2:$C$4852),4^8),ROW(C1121)))&amp;""</f>
        <v>#N/A</v>
      </c>
    </row>
    <row r="1122" ht="14.100000000000001" customHeight="1">
      <c r="B1122" s="20" t="s">
        <v>2391</v>
      </c>
      <c r="C1122" s="20" t="s">
        <v>2392</v>
      </c>
      <c r="D1122" s="20" t="s">
        <v>2391</v>
      </c>
      <c r="E1122" s="20" t="e">
        <f t="array" ref="E1122">INDEX(C:C,SMALL(IF(ISNUMBER(FIND(CELL("contents"),$C$2:$C$4852)),ROW($C$2:$C$4852),4^8),ROW(C1122)))&amp;""</f>
        <v>#N/A</v>
      </c>
    </row>
    <row r="1123" ht="14.100000000000001" customHeight="1">
      <c r="B1123" s="20" t="s">
        <v>2393</v>
      </c>
      <c r="C1123" s="20" t="s">
        <v>2394</v>
      </c>
      <c r="D1123" s="20" t="s">
        <v>2393</v>
      </c>
      <c r="E1123" s="20" t="e">
        <f t="array" ref="E1123">INDEX(C:C,SMALL(IF(ISNUMBER(FIND(CELL("contents"),$C$2:$C$4852)),ROW($C$2:$C$4852),4^8),ROW(C1123)))&amp;""</f>
        <v>#N/A</v>
      </c>
    </row>
    <row r="1124" ht="14.100000000000001" customHeight="1">
      <c r="B1124" s="20" t="s">
        <v>2395</v>
      </c>
      <c r="C1124" s="20" t="s">
        <v>2396</v>
      </c>
      <c r="D1124" s="20" t="s">
        <v>2395</v>
      </c>
      <c r="E1124" s="20" t="e">
        <f t="array" ref="E1124">INDEX(C:C,SMALL(IF(ISNUMBER(FIND(CELL("contents"),$C$2:$C$4852)),ROW($C$2:$C$4852),4^8),ROW(C1124)))&amp;""</f>
        <v>#N/A</v>
      </c>
    </row>
    <row r="1125" ht="14.100000000000001" customHeight="1">
      <c r="B1125" s="20" t="s">
        <v>2397</v>
      </c>
      <c r="C1125" s="20" t="s">
        <v>2398</v>
      </c>
      <c r="D1125" s="20" t="s">
        <v>2397</v>
      </c>
      <c r="E1125" s="20" t="e">
        <f t="array" ref="E1125">INDEX(C:C,SMALL(IF(ISNUMBER(FIND(CELL("contents"),$C$2:$C$4852)),ROW($C$2:$C$4852),4^8),ROW(C1125)))&amp;""</f>
        <v>#N/A</v>
      </c>
    </row>
    <row r="1126" ht="14.100000000000001" customHeight="1">
      <c r="B1126" s="20" t="s">
        <v>2399</v>
      </c>
      <c r="C1126" s="20" t="s">
        <v>2400</v>
      </c>
      <c r="D1126" s="20" t="s">
        <v>2399</v>
      </c>
      <c r="E1126" s="20" t="e">
        <f t="array" ref="E1126">INDEX(C:C,SMALL(IF(ISNUMBER(FIND(CELL("contents"),$C$2:$C$4852)),ROW($C$2:$C$4852),4^8),ROW(C1126)))&amp;""</f>
        <v>#N/A</v>
      </c>
    </row>
    <row r="1127" ht="14.100000000000001" customHeight="1">
      <c r="B1127" s="20" t="s">
        <v>2401</v>
      </c>
      <c r="C1127" s="20" t="s">
        <v>2402</v>
      </c>
      <c r="D1127" s="20" t="s">
        <v>2401</v>
      </c>
      <c r="E1127" s="20" t="e">
        <f t="array" ref="E1127">INDEX(C:C,SMALL(IF(ISNUMBER(FIND(CELL("contents"),$C$2:$C$4852)),ROW($C$2:$C$4852),4^8),ROW(C1127)))&amp;""</f>
        <v>#N/A</v>
      </c>
    </row>
    <row r="1128" ht="14.100000000000001" customHeight="1">
      <c r="B1128" s="20" t="s">
        <v>2403</v>
      </c>
      <c r="C1128" s="20" t="s">
        <v>2404</v>
      </c>
      <c r="D1128" s="20" t="s">
        <v>2403</v>
      </c>
      <c r="E1128" s="20" t="e">
        <f t="array" ref="E1128">INDEX(C:C,SMALL(IF(ISNUMBER(FIND(CELL("contents"),$C$2:$C$4852)),ROW($C$2:$C$4852),4^8),ROW(C1128)))&amp;""</f>
        <v>#N/A</v>
      </c>
    </row>
    <row r="1129" ht="14.100000000000001" customHeight="1">
      <c r="B1129" s="20" t="s">
        <v>2405</v>
      </c>
      <c r="C1129" s="20" t="s">
        <v>2406</v>
      </c>
      <c r="D1129" s="20" t="s">
        <v>2405</v>
      </c>
      <c r="E1129" s="20" t="e">
        <f t="array" ref="E1129">INDEX(C:C,SMALL(IF(ISNUMBER(FIND(CELL("contents"),$C$2:$C$4852)),ROW($C$2:$C$4852),4^8),ROW(C1129)))&amp;""</f>
        <v>#N/A</v>
      </c>
    </row>
    <row r="1130" ht="14.100000000000001" customHeight="1">
      <c r="B1130" s="20" t="s">
        <v>2407</v>
      </c>
      <c r="C1130" s="20" t="s">
        <v>2408</v>
      </c>
      <c r="D1130" s="20" t="s">
        <v>2407</v>
      </c>
      <c r="E1130" s="20" t="e">
        <f t="array" ref="E1130">INDEX(C:C,SMALL(IF(ISNUMBER(FIND(CELL("contents"),$C$2:$C$4852)),ROW($C$2:$C$4852),4^8),ROW(C1130)))&amp;""</f>
        <v>#N/A</v>
      </c>
    </row>
    <row r="1131" ht="14.100000000000001" customHeight="1">
      <c r="B1131" s="20" t="s">
        <v>2409</v>
      </c>
      <c r="C1131" s="20" t="s">
        <v>2410</v>
      </c>
      <c r="D1131" s="20" t="s">
        <v>2409</v>
      </c>
      <c r="E1131" s="20" t="e">
        <f t="array" ref="E1131">INDEX(C:C,SMALL(IF(ISNUMBER(FIND(CELL("contents"),$C$2:$C$4852)),ROW($C$2:$C$4852),4^8),ROW(C1131)))&amp;""</f>
        <v>#N/A</v>
      </c>
    </row>
    <row r="1132" ht="14.100000000000001" customHeight="1">
      <c r="B1132" s="20" t="s">
        <v>2411</v>
      </c>
      <c r="C1132" s="20" t="s">
        <v>2412</v>
      </c>
      <c r="D1132" s="20" t="s">
        <v>2411</v>
      </c>
      <c r="E1132" s="20" t="e">
        <f t="array" ref="E1132">INDEX(C:C,SMALL(IF(ISNUMBER(FIND(CELL("contents"),$C$2:$C$4852)),ROW($C$2:$C$4852),4^8),ROW(C1132)))&amp;""</f>
        <v>#N/A</v>
      </c>
    </row>
    <row r="1133" ht="14.100000000000001" customHeight="1">
      <c r="B1133" s="20" t="s">
        <v>2413</v>
      </c>
      <c r="C1133" s="20" t="s">
        <v>2414</v>
      </c>
      <c r="D1133" s="20" t="s">
        <v>2413</v>
      </c>
      <c r="E1133" s="20" t="e">
        <f t="array" ref="E1133">INDEX(C:C,SMALL(IF(ISNUMBER(FIND(CELL("contents"),$C$2:$C$4852)),ROW($C$2:$C$4852),4^8),ROW(C1133)))&amp;""</f>
        <v>#N/A</v>
      </c>
    </row>
    <row r="1134" ht="14.100000000000001" customHeight="1">
      <c r="B1134" s="20" t="s">
        <v>2415</v>
      </c>
      <c r="C1134" s="20" t="s">
        <v>2416</v>
      </c>
      <c r="D1134" s="20" t="s">
        <v>2415</v>
      </c>
      <c r="E1134" s="20" t="e">
        <f t="array" ref="E1134">INDEX(C:C,SMALL(IF(ISNUMBER(FIND(CELL("contents"),$C$2:$C$4852)),ROW($C$2:$C$4852),4^8),ROW(C1134)))&amp;""</f>
        <v>#N/A</v>
      </c>
    </row>
    <row r="1135" ht="14.100000000000001" customHeight="1">
      <c r="B1135" s="20" t="s">
        <v>2417</v>
      </c>
      <c r="C1135" s="20" t="s">
        <v>2418</v>
      </c>
      <c r="D1135" s="20" t="s">
        <v>2417</v>
      </c>
      <c r="E1135" s="20" t="e">
        <f t="array" ref="E1135">INDEX(C:C,SMALL(IF(ISNUMBER(FIND(CELL("contents"),$C$2:$C$4852)),ROW($C$2:$C$4852),4^8),ROW(C1135)))&amp;""</f>
        <v>#N/A</v>
      </c>
    </row>
    <row r="1136" ht="14.100000000000001" customHeight="1">
      <c r="B1136" s="20" t="s">
        <v>2419</v>
      </c>
      <c r="C1136" s="20" t="s">
        <v>2420</v>
      </c>
      <c r="D1136" s="20" t="s">
        <v>2419</v>
      </c>
      <c r="E1136" s="20" t="e">
        <f t="array" ref="E1136">INDEX(C:C,SMALL(IF(ISNUMBER(FIND(CELL("contents"),$C$2:$C$4852)),ROW($C$2:$C$4852),4^8),ROW(C1136)))&amp;""</f>
        <v>#N/A</v>
      </c>
    </row>
    <row r="1137" ht="14.100000000000001" customHeight="1">
      <c r="B1137" s="20" t="s">
        <v>2421</v>
      </c>
      <c r="C1137" s="20" t="s">
        <v>2422</v>
      </c>
      <c r="D1137" s="20" t="s">
        <v>2421</v>
      </c>
      <c r="E1137" s="20" t="e">
        <f t="array" ref="E1137">INDEX(C:C,SMALL(IF(ISNUMBER(FIND(CELL("contents"),$C$2:$C$4852)),ROW($C$2:$C$4852),4^8),ROW(C1137)))&amp;""</f>
        <v>#N/A</v>
      </c>
    </row>
    <row r="1138" ht="14.100000000000001" customHeight="1">
      <c r="B1138" s="20" t="s">
        <v>2423</v>
      </c>
      <c r="C1138" s="20" t="s">
        <v>2424</v>
      </c>
      <c r="D1138" s="20" t="s">
        <v>2423</v>
      </c>
      <c r="E1138" s="20" t="e">
        <f t="array" ref="E1138">INDEX(C:C,SMALL(IF(ISNUMBER(FIND(CELL("contents"),$C$2:$C$4852)),ROW($C$2:$C$4852),4^8),ROW(C1138)))&amp;""</f>
        <v>#N/A</v>
      </c>
    </row>
    <row r="1139" ht="14.100000000000001" customHeight="1">
      <c r="B1139" s="20" t="s">
        <v>2425</v>
      </c>
      <c r="C1139" s="20" t="s">
        <v>2426</v>
      </c>
      <c r="D1139" s="20" t="s">
        <v>2425</v>
      </c>
      <c r="E1139" s="20" t="e">
        <f t="array" ref="E1139">INDEX(C:C,SMALL(IF(ISNUMBER(FIND(CELL("contents"),$C$2:$C$4852)),ROW($C$2:$C$4852),4^8),ROW(C1139)))&amp;""</f>
        <v>#N/A</v>
      </c>
    </row>
    <row r="1140" ht="14.100000000000001" customHeight="1">
      <c r="B1140" s="20" t="s">
        <v>2427</v>
      </c>
      <c r="C1140" s="20" t="s">
        <v>2428</v>
      </c>
      <c r="D1140" s="20" t="s">
        <v>2427</v>
      </c>
      <c r="E1140" s="20" t="e">
        <f t="array" ref="E1140">INDEX(C:C,SMALL(IF(ISNUMBER(FIND(CELL("contents"),$C$2:$C$4852)),ROW($C$2:$C$4852),4^8),ROW(C1140)))&amp;""</f>
        <v>#N/A</v>
      </c>
    </row>
    <row r="1141" ht="14.100000000000001" customHeight="1">
      <c r="B1141" s="20" t="s">
        <v>2429</v>
      </c>
      <c r="C1141" s="20" t="s">
        <v>2430</v>
      </c>
      <c r="D1141" s="20" t="s">
        <v>2429</v>
      </c>
      <c r="E1141" s="20" t="e">
        <f t="array" ref="E1141">INDEX(C:C,SMALL(IF(ISNUMBER(FIND(CELL("contents"),$C$2:$C$4852)),ROW($C$2:$C$4852),4^8),ROW(C1141)))&amp;""</f>
        <v>#N/A</v>
      </c>
    </row>
    <row r="1142" ht="14.100000000000001" customHeight="1">
      <c r="B1142" s="20" t="s">
        <v>2431</v>
      </c>
      <c r="C1142" s="20" t="s">
        <v>2432</v>
      </c>
      <c r="D1142" s="20" t="s">
        <v>2431</v>
      </c>
      <c r="E1142" s="20" t="e">
        <f t="array" ref="E1142">INDEX(C:C,SMALL(IF(ISNUMBER(FIND(CELL("contents"),$C$2:$C$4852)),ROW($C$2:$C$4852),4^8),ROW(C1142)))&amp;""</f>
        <v>#N/A</v>
      </c>
    </row>
    <row r="1143" ht="14.100000000000001" customHeight="1">
      <c r="B1143" s="20" t="s">
        <v>2433</v>
      </c>
      <c r="C1143" s="20" t="s">
        <v>2434</v>
      </c>
      <c r="D1143" s="20" t="s">
        <v>2433</v>
      </c>
      <c r="E1143" s="20" t="e">
        <f t="array" ref="E1143">INDEX(C:C,SMALL(IF(ISNUMBER(FIND(CELL("contents"),$C$2:$C$4852)),ROW($C$2:$C$4852),4^8),ROW(C1143)))&amp;""</f>
        <v>#N/A</v>
      </c>
    </row>
    <row r="1144" ht="14.100000000000001" customHeight="1">
      <c r="B1144" s="20" t="s">
        <v>2435</v>
      </c>
      <c r="C1144" s="20" t="s">
        <v>2436</v>
      </c>
      <c r="D1144" s="20" t="s">
        <v>2435</v>
      </c>
      <c r="E1144" s="20" t="e">
        <f t="array" ref="E1144">INDEX(C:C,SMALL(IF(ISNUMBER(FIND(CELL("contents"),$C$2:$C$4852)),ROW($C$2:$C$4852),4^8),ROW(C1144)))&amp;""</f>
        <v>#N/A</v>
      </c>
    </row>
    <row r="1145" ht="14.100000000000001" customHeight="1">
      <c r="B1145" s="20" t="s">
        <v>2437</v>
      </c>
      <c r="C1145" s="20" t="s">
        <v>2438</v>
      </c>
      <c r="D1145" s="20" t="s">
        <v>2437</v>
      </c>
      <c r="E1145" s="20" t="e">
        <f t="array" ref="E1145">INDEX(C:C,SMALL(IF(ISNUMBER(FIND(CELL("contents"),$C$2:$C$4852)),ROW($C$2:$C$4852),4^8),ROW(C1145)))&amp;""</f>
        <v>#N/A</v>
      </c>
    </row>
    <row r="1146" ht="14.100000000000001" customHeight="1">
      <c r="B1146" s="20" t="s">
        <v>2439</v>
      </c>
      <c r="C1146" s="20" t="s">
        <v>2440</v>
      </c>
      <c r="D1146" s="20" t="s">
        <v>2439</v>
      </c>
      <c r="E1146" s="20" t="e">
        <f t="array" ref="E1146">INDEX(C:C,SMALL(IF(ISNUMBER(FIND(CELL("contents"),$C$2:$C$4852)),ROW($C$2:$C$4852),4^8),ROW(C1146)))&amp;""</f>
        <v>#N/A</v>
      </c>
    </row>
    <row r="1147" ht="14.100000000000001" customHeight="1">
      <c r="B1147" s="20" t="s">
        <v>2441</v>
      </c>
      <c r="C1147" s="20" t="s">
        <v>2442</v>
      </c>
      <c r="D1147" s="20" t="s">
        <v>2441</v>
      </c>
      <c r="E1147" s="20" t="e">
        <f t="array" ref="E1147">INDEX(C:C,SMALL(IF(ISNUMBER(FIND(CELL("contents"),$C$2:$C$4852)),ROW($C$2:$C$4852),4^8),ROW(C1147)))&amp;""</f>
        <v>#N/A</v>
      </c>
    </row>
    <row r="1148" ht="14.100000000000001" customHeight="1">
      <c r="B1148" s="20" t="s">
        <v>2443</v>
      </c>
      <c r="C1148" s="20" t="s">
        <v>2444</v>
      </c>
      <c r="D1148" s="20" t="s">
        <v>2443</v>
      </c>
      <c r="E1148" s="20" t="e">
        <f t="array" ref="E1148">INDEX(C:C,SMALL(IF(ISNUMBER(FIND(CELL("contents"),$C$2:$C$4852)),ROW($C$2:$C$4852),4^8),ROW(C1148)))&amp;""</f>
        <v>#N/A</v>
      </c>
    </row>
    <row r="1149" ht="14.100000000000001" customHeight="1">
      <c r="B1149" s="20" t="s">
        <v>2445</v>
      </c>
      <c r="C1149" s="20" t="s">
        <v>2446</v>
      </c>
      <c r="D1149" s="20" t="s">
        <v>2445</v>
      </c>
      <c r="E1149" s="20" t="e">
        <f t="array" ref="E1149">INDEX(C:C,SMALL(IF(ISNUMBER(FIND(CELL("contents"),$C$2:$C$4852)),ROW($C$2:$C$4852),4^8),ROW(C1149)))&amp;""</f>
        <v>#N/A</v>
      </c>
    </row>
    <row r="1150" ht="14.100000000000001" customHeight="1">
      <c r="B1150" s="20" t="s">
        <v>2447</v>
      </c>
      <c r="C1150" s="20" t="s">
        <v>2448</v>
      </c>
      <c r="D1150" s="20" t="s">
        <v>2447</v>
      </c>
      <c r="E1150" s="20" t="e">
        <f t="array" ref="E1150">INDEX(C:C,SMALL(IF(ISNUMBER(FIND(CELL("contents"),$C$2:$C$4852)),ROW($C$2:$C$4852),4^8),ROW(C1150)))&amp;""</f>
        <v>#N/A</v>
      </c>
    </row>
    <row r="1151" ht="14.100000000000001" customHeight="1">
      <c r="B1151" s="20" t="s">
        <v>2449</v>
      </c>
      <c r="C1151" s="20" t="s">
        <v>2450</v>
      </c>
      <c r="D1151" s="20" t="s">
        <v>2449</v>
      </c>
      <c r="E1151" s="20" t="e">
        <f t="array" ref="E1151">INDEX(C:C,SMALL(IF(ISNUMBER(FIND(CELL("contents"),$C$2:$C$4852)),ROW($C$2:$C$4852),4^8),ROW(C1151)))&amp;""</f>
        <v>#N/A</v>
      </c>
    </row>
    <row r="1152" ht="14.100000000000001" customHeight="1">
      <c r="B1152" s="20" t="s">
        <v>2451</v>
      </c>
      <c r="C1152" s="20" t="s">
        <v>2452</v>
      </c>
      <c r="D1152" s="20" t="s">
        <v>2451</v>
      </c>
      <c r="E1152" s="20" t="e">
        <f t="array" ref="E1152">INDEX(C:C,SMALL(IF(ISNUMBER(FIND(CELL("contents"),$C$2:$C$4852)),ROW($C$2:$C$4852),4^8),ROW(C1152)))&amp;""</f>
        <v>#N/A</v>
      </c>
    </row>
    <row r="1153" ht="14.100000000000001" customHeight="1">
      <c r="B1153" s="20" t="s">
        <v>2453</v>
      </c>
      <c r="C1153" s="20" t="s">
        <v>2454</v>
      </c>
      <c r="D1153" s="20" t="s">
        <v>2453</v>
      </c>
      <c r="E1153" s="20" t="e">
        <f t="array" ref="E1153">INDEX(C:C,SMALL(IF(ISNUMBER(FIND(CELL("contents"),$C$2:$C$4852)),ROW($C$2:$C$4852),4^8),ROW(C1153)))&amp;""</f>
        <v>#N/A</v>
      </c>
    </row>
    <row r="1154" ht="14.100000000000001" customHeight="1">
      <c r="B1154" s="20" t="s">
        <v>2455</v>
      </c>
      <c r="C1154" s="20" t="s">
        <v>2456</v>
      </c>
      <c r="D1154" s="20" t="s">
        <v>2455</v>
      </c>
      <c r="E1154" s="20" t="e">
        <f t="array" ref="E1154">INDEX(C:C,SMALL(IF(ISNUMBER(FIND(CELL("contents"),$C$2:$C$4852)),ROW($C$2:$C$4852),4^8),ROW(C1154)))&amp;""</f>
        <v>#N/A</v>
      </c>
    </row>
    <row r="1155" ht="14.100000000000001" customHeight="1">
      <c r="B1155" s="20" t="s">
        <v>2457</v>
      </c>
      <c r="C1155" s="20" t="s">
        <v>2458</v>
      </c>
      <c r="D1155" s="20" t="s">
        <v>2457</v>
      </c>
      <c r="E1155" s="20" t="e">
        <f t="array" ref="E1155">INDEX(C:C,SMALL(IF(ISNUMBER(FIND(CELL("contents"),$C$2:$C$4852)),ROW($C$2:$C$4852),4^8),ROW(C1155)))&amp;""</f>
        <v>#N/A</v>
      </c>
    </row>
    <row r="1156" ht="14.100000000000001" customHeight="1">
      <c r="B1156" s="20" t="s">
        <v>2459</v>
      </c>
      <c r="C1156" s="20" t="s">
        <v>2460</v>
      </c>
      <c r="D1156" s="20" t="s">
        <v>2459</v>
      </c>
      <c r="E1156" s="20" t="e">
        <f t="array" ref="E1156">INDEX(C:C,SMALL(IF(ISNUMBER(FIND(CELL("contents"),$C$2:$C$4852)),ROW($C$2:$C$4852),4^8),ROW(C1156)))&amp;""</f>
        <v>#N/A</v>
      </c>
    </row>
    <row r="1157" ht="14.100000000000001" customHeight="1">
      <c r="B1157" s="20" t="s">
        <v>2461</v>
      </c>
      <c r="C1157" s="20" t="s">
        <v>2462</v>
      </c>
      <c r="D1157" s="20" t="s">
        <v>2461</v>
      </c>
      <c r="E1157" s="20" t="e">
        <f t="array" ref="E1157">INDEX(C:C,SMALL(IF(ISNUMBER(FIND(CELL("contents"),$C$2:$C$4852)),ROW($C$2:$C$4852),4^8),ROW(C1157)))&amp;""</f>
        <v>#N/A</v>
      </c>
    </row>
    <row r="1158" ht="14.100000000000001" customHeight="1">
      <c r="B1158" s="20" t="s">
        <v>2463</v>
      </c>
      <c r="C1158" s="20" t="s">
        <v>2464</v>
      </c>
      <c r="D1158" s="20" t="s">
        <v>2463</v>
      </c>
      <c r="E1158" s="20" t="e">
        <f t="array" ref="E1158">INDEX(C:C,SMALL(IF(ISNUMBER(FIND(CELL("contents"),$C$2:$C$4852)),ROW($C$2:$C$4852),4^8),ROW(C1158)))&amp;""</f>
        <v>#N/A</v>
      </c>
    </row>
    <row r="1159" ht="14.100000000000001" customHeight="1">
      <c r="B1159" s="20" t="s">
        <v>2465</v>
      </c>
      <c r="C1159" s="20" t="s">
        <v>2466</v>
      </c>
      <c r="D1159" s="20" t="s">
        <v>2465</v>
      </c>
      <c r="E1159" s="20" t="e">
        <f t="array" ref="E1159">INDEX(C:C,SMALL(IF(ISNUMBER(FIND(CELL("contents"),$C$2:$C$4852)),ROW($C$2:$C$4852),4^8),ROW(C1159)))&amp;""</f>
        <v>#N/A</v>
      </c>
    </row>
    <row r="1160" ht="14.100000000000001" customHeight="1">
      <c r="B1160" s="20" t="s">
        <v>2467</v>
      </c>
      <c r="C1160" s="20" t="s">
        <v>2468</v>
      </c>
      <c r="D1160" s="20" t="s">
        <v>2467</v>
      </c>
      <c r="E1160" s="20" t="e">
        <f t="array" ref="E1160">INDEX(C:C,SMALL(IF(ISNUMBER(FIND(CELL("contents"),$C$2:$C$4852)),ROW($C$2:$C$4852),4^8),ROW(C1160)))&amp;""</f>
        <v>#N/A</v>
      </c>
    </row>
    <row r="1161" ht="14.100000000000001" customHeight="1">
      <c r="B1161" s="20" t="s">
        <v>2469</v>
      </c>
      <c r="C1161" s="20" t="s">
        <v>2470</v>
      </c>
      <c r="D1161" s="20" t="s">
        <v>2469</v>
      </c>
      <c r="E1161" s="20" t="e">
        <f t="array" ref="E1161">INDEX(C:C,SMALL(IF(ISNUMBER(FIND(CELL("contents"),$C$2:$C$4852)),ROW($C$2:$C$4852),4^8),ROW(C1161)))&amp;""</f>
        <v>#N/A</v>
      </c>
    </row>
    <row r="1162" ht="14.100000000000001" customHeight="1">
      <c r="B1162" s="20" t="s">
        <v>2471</v>
      </c>
      <c r="C1162" s="20" t="s">
        <v>2472</v>
      </c>
      <c r="D1162" s="20" t="s">
        <v>2471</v>
      </c>
      <c r="E1162" s="20" t="e">
        <f t="array" ref="E1162">INDEX(C:C,SMALL(IF(ISNUMBER(FIND(CELL("contents"),$C$2:$C$4852)),ROW($C$2:$C$4852),4^8),ROW(C1162)))&amp;""</f>
        <v>#N/A</v>
      </c>
    </row>
    <row r="1163" ht="14.100000000000001" customHeight="1">
      <c r="B1163" s="20" t="s">
        <v>2473</v>
      </c>
      <c r="C1163" s="20" t="s">
        <v>2474</v>
      </c>
      <c r="D1163" s="20" t="s">
        <v>2473</v>
      </c>
      <c r="E1163" s="20" t="e">
        <f t="array" ref="E1163">INDEX(C:C,SMALL(IF(ISNUMBER(FIND(CELL("contents"),$C$2:$C$4852)),ROW($C$2:$C$4852),4^8),ROW(C1163)))&amp;""</f>
        <v>#N/A</v>
      </c>
    </row>
    <row r="1164" ht="14.100000000000001" customHeight="1">
      <c r="B1164" s="20" t="s">
        <v>2475</v>
      </c>
      <c r="C1164" s="20" t="s">
        <v>2476</v>
      </c>
      <c r="D1164" s="20" t="s">
        <v>2475</v>
      </c>
      <c r="E1164" s="20" t="e">
        <f t="array" ref="E1164">INDEX(C:C,SMALL(IF(ISNUMBER(FIND(CELL("contents"),$C$2:$C$4852)),ROW($C$2:$C$4852),4^8),ROW(C1164)))&amp;""</f>
        <v>#N/A</v>
      </c>
    </row>
    <row r="1165" ht="14.100000000000001" customHeight="1">
      <c r="B1165" s="20" t="s">
        <v>2477</v>
      </c>
      <c r="C1165" s="20" t="s">
        <v>2478</v>
      </c>
      <c r="D1165" s="20" t="s">
        <v>2477</v>
      </c>
      <c r="E1165" s="20" t="e">
        <f t="array" ref="E1165">INDEX(C:C,SMALL(IF(ISNUMBER(FIND(CELL("contents"),$C$2:$C$4852)),ROW($C$2:$C$4852),4^8),ROW(C1165)))&amp;""</f>
        <v>#N/A</v>
      </c>
    </row>
    <row r="1166" ht="14.100000000000001" customHeight="1">
      <c r="B1166" s="20" t="s">
        <v>2479</v>
      </c>
      <c r="C1166" s="20" t="s">
        <v>2480</v>
      </c>
      <c r="D1166" s="20" t="s">
        <v>2479</v>
      </c>
      <c r="E1166" s="20" t="e">
        <f t="array" ref="E1166">INDEX(C:C,SMALL(IF(ISNUMBER(FIND(CELL("contents"),$C$2:$C$4852)),ROW($C$2:$C$4852),4^8),ROW(C1166)))&amp;""</f>
        <v>#N/A</v>
      </c>
    </row>
    <row r="1167" ht="14.100000000000001" customHeight="1">
      <c r="B1167" s="20" t="s">
        <v>2481</v>
      </c>
      <c r="C1167" s="20" t="s">
        <v>2482</v>
      </c>
      <c r="D1167" s="20" t="s">
        <v>2481</v>
      </c>
      <c r="E1167" s="20" t="e">
        <f t="array" ref="E1167">INDEX(C:C,SMALL(IF(ISNUMBER(FIND(CELL("contents"),$C$2:$C$4852)),ROW($C$2:$C$4852),4^8),ROW(C1167)))&amp;""</f>
        <v>#N/A</v>
      </c>
    </row>
    <row r="1168" ht="14.100000000000001" customHeight="1">
      <c r="B1168" s="20" t="s">
        <v>2483</v>
      </c>
      <c r="C1168" s="20" t="s">
        <v>2484</v>
      </c>
      <c r="D1168" s="20" t="s">
        <v>2483</v>
      </c>
      <c r="E1168" s="20" t="e">
        <f t="array" ref="E1168">INDEX(C:C,SMALL(IF(ISNUMBER(FIND(CELL("contents"),$C$2:$C$4852)),ROW($C$2:$C$4852),4^8),ROW(C1168)))&amp;""</f>
        <v>#N/A</v>
      </c>
    </row>
    <row r="1169" ht="14.100000000000001" customHeight="1">
      <c r="B1169" s="20" t="s">
        <v>2485</v>
      </c>
      <c r="C1169" s="20" t="s">
        <v>2486</v>
      </c>
      <c r="D1169" s="20" t="s">
        <v>2485</v>
      </c>
      <c r="E1169" s="20" t="e">
        <f t="array" ref="E1169">INDEX(C:C,SMALL(IF(ISNUMBER(FIND(CELL("contents"),$C$2:$C$4852)),ROW($C$2:$C$4852),4^8),ROW(C1169)))&amp;""</f>
        <v>#N/A</v>
      </c>
    </row>
    <row r="1170" ht="14.100000000000001" customHeight="1">
      <c r="B1170" s="20" t="s">
        <v>2487</v>
      </c>
      <c r="C1170" s="20" t="s">
        <v>2488</v>
      </c>
      <c r="D1170" s="20" t="s">
        <v>2487</v>
      </c>
      <c r="E1170" s="20" t="e">
        <f t="array" ref="E1170">INDEX(C:C,SMALL(IF(ISNUMBER(FIND(CELL("contents"),$C$2:$C$4852)),ROW($C$2:$C$4852),4^8),ROW(C1170)))&amp;""</f>
        <v>#N/A</v>
      </c>
    </row>
    <row r="1171" ht="14.100000000000001" customHeight="1">
      <c r="B1171" s="20" t="s">
        <v>2489</v>
      </c>
      <c r="C1171" s="20" t="s">
        <v>2490</v>
      </c>
      <c r="D1171" s="20" t="s">
        <v>2489</v>
      </c>
      <c r="E1171" s="20" t="e">
        <f t="array" ref="E1171">INDEX(C:C,SMALL(IF(ISNUMBER(FIND(CELL("contents"),$C$2:$C$4852)),ROW($C$2:$C$4852),4^8),ROW(C1171)))&amp;""</f>
        <v>#N/A</v>
      </c>
    </row>
    <row r="1172" ht="14.100000000000001" customHeight="1">
      <c r="B1172" s="20" t="s">
        <v>2491</v>
      </c>
      <c r="C1172" s="20" t="s">
        <v>2492</v>
      </c>
      <c r="D1172" s="20" t="s">
        <v>2491</v>
      </c>
      <c r="E1172" s="20" t="e">
        <f t="array" ref="E1172">INDEX(C:C,SMALL(IF(ISNUMBER(FIND(CELL("contents"),$C$2:$C$4852)),ROW($C$2:$C$4852),4^8),ROW(C1172)))&amp;""</f>
        <v>#N/A</v>
      </c>
    </row>
    <row r="1173" ht="14.100000000000001" customHeight="1">
      <c r="B1173" s="20" t="s">
        <v>2493</v>
      </c>
      <c r="C1173" s="20" t="s">
        <v>2494</v>
      </c>
      <c r="D1173" s="20" t="s">
        <v>2493</v>
      </c>
      <c r="E1173" s="20" t="e">
        <f t="array" ref="E1173">INDEX(C:C,SMALL(IF(ISNUMBER(FIND(CELL("contents"),$C$2:$C$4852)),ROW($C$2:$C$4852),4^8),ROW(C1173)))&amp;""</f>
        <v>#N/A</v>
      </c>
    </row>
    <row r="1174" ht="14.100000000000001" customHeight="1">
      <c r="B1174" s="20" t="s">
        <v>2495</v>
      </c>
      <c r="C1174" s="20" t="s">
        <v>2496</v>
      </c>
      <c r="D1174" s="20" t="s">
        <v>2495</v>
      </c>
      <c r="E1174" s="20" t="e">
        <f t="array" ref="E1174">INDEX(C:C,SMALL(IF(ISNUMBER(FIND(CELL("contents"),$C$2:$C$4852)),ROW($C$2:$C$4852),4^8),ROW(C1174)))&amp;""</f>
        <v>#N/A</v>
      </c>
    </row>
    <row r="1175" ht="14.100000000000001" customHeight="1">
      <c r="B1175" s="20" t="s">
        <v>2497</v>
      </c>
      <c r="C1175" s="20" t="s">
        <v>2498</v>
      </c>
      <c r="D1175" s="20" t="s">
        <v>2497</v>
      </c>
      <c r="E1175" s="20" t="e">
        <f t="array" ref="E1175">INDEX(C:C,SMALL(IF(ISNUMBER(FIND(CELL("contents"),$C$2:$C$4852)),ROW($C$2:$C$4852),4^8),ROW(C1175)))&amp;""</f>
        <v>#N/A</v>
      </c>
    </row>
    <row r="1176" ht="14.100000000000001" customHeight="1">
      <c r="B1176" s="20" t="s">
        <v>2499</v>
      </c>
      <c r="C1176" s="20" t="s">
        <v>2500</v>
      </c>
      <c r="D1176" s="20" t="s">
        <v>2499</v>
      </c>
      <c r="E1176" s="20" t="e">
        <f t="array" ref="E1176">INDEX(C:C,SMALL(IF(ISNUMBER(FIND(CELL("contents"),$C$2:$C$4852)),ROW($C$2:$C$4852),4^8),ROW(C1176)))&amp;""</f>
        <v>#N/A</v>
      </c>
    </row>
    <row r="1177" ht="14.100000000000001" customHeight="1">
      <c r="B1177" s="20" t="s">
        <v>2501</v>
      </c>
      <c r="C1177" s="20" t="s">
        <v>2502</v>
      </c>
      <c r="D1177" s="20" t="s">
        <v>2501</v>
      </c>
      <c r="E1177" s="20" t="e">
        <f t="array" ref="E1177">INDEX(C:C,SMALL(IF(ISNUMBER(FIND(CELL("contents"),$C$2:$C$4852)),ROW($C$2:$C$4852),4^8),ROW(C1177)))&amp;""</f>
        <v>#N/A</v>
      </c>
    </row>
    <row r="1178" ht="14.100000000000001" customHeight="1">
      <c r="B1178" s="20" t="s">
        <v>2503</v>
      </c>
      <c r="C1178" s="20" t="s">
        <v>2504</v>
      </c>
      <c r="D1178" s="20" t="s">
        <v>2503</v>
      </c>
      <c r="E1178" s="20" t="e">
        <f t="array" ref="E1178">INDEX(C:C,SMALL(IF(ISNUMBER(FIND(CELL("contents"),$C$2:$C$4852)),ROW($C$2:$C$4852),4^8),ROW(C1178)))&amp;""</f>
        <v>#N/A</v>
      </c>
    </row>
    <row r="1179" ht="14.100000000000001" customHeight="1">
      <c r="B1179" s="20" t="s">
        <v>2505</v>
      </c>
      <c r="C1179" s="20" t="s">
        <v>2506</v>
      </c>
      <c r="D1179" s="20" t="s">
        <v>2505</v>
      </c>
      <c r="E1179" s="20" t="e">
        <f t="array" ref="E1179">INDEX(C:C,SMALL(IF(ISNUMBER(FIND(CELL("contents"),$C$2:$C$4852)),ROW($C$2:$C$4852),4^8),ROW(C1179)))&amp;""</f>
        <v>#N/A</v>
      </c>
    </row>
    <row r="1180" ht="14.100000000000001" customHeight="1">
      <c r="B1180" s="20" t="s">
        <v>2507</v>
      </c>
      <c r="C1180" s="20" t="s">
        <v>2508</v>
      </c>
      <c r="D1180" s="20" t="s">
        <v>2507</v>
      </c>
      <c r="E1180" s="20" t="e">
        <f t="array" ref="E1180">INDEX(C:C,SMALL(IF(ISNUMBER(FIND(CELL("contents"),$C$2:$C$4852)),ROW($C$2:$C$4852),4^8),ROW(C1180)))&amp;""</f>
        <v>#N/A</v>
      </c>
    </row>
    <row r="1181" ht="14.100000000000001" customHeight="1">
      <c r="B1181" s="20" t="s">
        <v>2509</v>
      </c>
      <c r="C1181" s="20" t="s">
        <v>2510</v>
      </c>
      <c r="D1181" s="20" t="s">
        <v>2509</v>
      </c>
      <c r="E1181" s="20" t="e">
        <f t="array" ref="E1181">INDEX(C:C,SMALL(IF(ISNUMBER(FIND(CELL("contents"),$C$2:$C$4852)),ROW($C$2:$C$4852),4^8),ROW(C1181)))&amp;""</f>
        <v>#N/A</v>
      </c>
    </row>
    <row r="1182" ht="14.100000000000001" customHeight="1">
      <c r="B1182" s="20" t="s">
        <v>2511</v>
      </c>
      <c r="C1182" s="20" t="s">
        <v>2512</v>
      </c>
      <c r="D1182" s="20" t="s">
        <v>2511</v>
      </c>
      <c r="E1182" s="20" t="e">
        <f t="array" ref="E1182">INDEX(C:C,SMALL(IF(ISNUMBER(FIND(CELL("contents"),$C$2:$C$4852)),ROW($C$2:$C$4852),4^8),ROW(C1182)))&amp;""</f>
        <v>#N/A</v>
      </c>
    </row>
    <row r="1183" ht="14.100000000000001" customHeight="1">
      <c r="B1183" s="20" t="s">
        <v>2513</v>
      </c>
      <c r="C1183" s="20" t="s">
        <v>2514</v>
      </c>
      <c r="D1183" s="20" t="s">
        <v>2513</v>
      </c>
      <c r="E1183" s="20" t="e">
        <f t="array" ref="E1183">INDEX(C:C,SMALL(IF(ISNUMBER(FIND(CELL("contents"),$C$2:$C$4852)),ROW($C$2:$C$4852),4^8),ROW(C1183)))&amp;""</f>
        <v>#N/A</v>
      </c>
    </row>
    <row r="1184" ht="14.100000000000001" customHeight="1">
      <c r="B1184" s="20" t="s">
        <v>2515</v>
      </c>
      <c r="C1184" s="20" t="s">
        <v>2516</v>
      </c>
      <c r="D1184" s="20" t="s">
        <v>2515</v>
      </c>
      <c r="E1184" s="20" t="e">
        <f t="array" ref="E1184">INDEX(C:C,SMALL(IF(ISNUMBER(FIND(CELL("contents"),$C$2:$C$4852)),ROW($C$2:$C$4852),4^8),ROW(C1184)))&amp;""</f>
        <v>#N/A</v>
      </c>
    </row>
    <row r="1185" ht="14.100000000000001" customHeight="1">
      <c r="B1185" s="20" t="s">
        <v>2517</v>
      </c>
      <c r="C1185" s="20" t="s">
        <v>2518</v>
      </c>
      <c r="D1185" s="20" t="s">
        <v>2517</v>
      </c>
      <c r="E1185" s="20" t="e">
        <f t="array" ref="E1185">INDEX(C:C,SMALL(IF(ISNUMBER(FIND(CELL("contents"),$C$2:$C$4852)),ROW($C$2:$C$4852),4^8),ROW(C1185)))&amp;""</f>
        <v>#N/A</v>
      </c>
    </row>
    <row r="1186" ht="14.100000000000001" customHeight="1">
      <c r="B1186" s="20" t="s">
        <v>2519</v>
      </c>
      <c r="C1186" s="20" t="s">
        <v>2520</v>
      </c>
      <c r="D1186" s="20" t="s">
        <v>2519</v>
      </c>
      <c r="E1186" s="20" t="e">
        <f t="array" ref="E1186">INDEX(C:C,SMALL(IF(ISNUMBER(FIND(CELL("contents"),$C$2:$C$4852)),ROW($C$2:$C$4852),4^8),ROW(C1186)))&amp;""</f>
        <v>#N/A</v>
      </c>
    </row>
    <row r="1187" ht="14.100000000000001" customHeight="1">
      <c r="B1187" s="20" t="s">
        <v>2521</v>
      </c>
      <c r="C1187" s="20" t="s">
        <v>2522</v>
      </c>
      <c r="D1187" s="20" t="s">
        <v>2521</v>
      </c>
      <c r="E1187" s="20" t="e">
        <f t="array" ref="E1187">INDEX(C:C,SMALL(IF(ISNUMBER(FIND(CELL("contents"),$C$2:$C$4852)),ROW($C$2:$C$4852),4^8),ROW(C1187)))&amp;""</f>
        <v>#N/A</v>
      </c>
    </row>
    <row r="1188" ht="14.100000000000001" customHeight="1">
      <c r="B1188" s="20" t="s">
        <v>2523</v>
      </c>
      <c r="C1188" s="20" t="s">
        <v>2524</v>
      </c>
      <c r="D1188" s="20" t="s">
        <v>2523</v>
      </c>
      <c r="E1188" s="20" t="e">
        <f t="array" ref="E1188">INDEX(C:C,SMALL(IF(ISNUMBER(FIND(CELL("contents"),$C$2:$C$4852)),ROW($C$2:$C$4852),4^8),ROW(C1188)))&amp;""</f>
        <v>#N/A</v>
      </c>
    </row>
    <row r="1189" ht="14.100000000000001" customHeight="1">
      <c r="B1189" s="20" t="s">
        <v>2525</v>
      </c>
      <c r="C1189" s="20" t="s">
        <v>2526</v>
      </c>
      <c r="D1189" s="20" t="s">
        <v>2525</v>
      </c>
      <c r="E1189" s="20" t="e">
        <f t="array" ref="E1189">INDEX(C:C,SMALL(IF(ISNUMBER(FIND(CELL("contents"),$C$2:$C$4852)),ROW($C$2:$C$4852),4^8),ROW(C1189)))&amp;""</f>
        <v>#N/A</v>
      </c>
    </row>
    <row r="1190" ht="14.100000000000001" customHeight="1">
      <c r="B1190" s="20" t="s">
        <v>2527</v>
      </c>
      <c r="C1190" s="20" t="s">
        <v>2528</v>
      </c>
      <c r="D1190" s="20" t="s">
        <v>2527</v>
      </c>
      <c r="E1190" s="20" t="e">
        <f t="array" ref="E1190">INDEX(C:C,SMALL(IF(ISNUMBER(FIND(CELL("contents"),$C$2:$C$4852)),ROW($C$2:$C$4852),4^8),ROW(C1190)))&amp;""</f>
        <v>#N/A</v>
      </c>
    </row>
    <row r="1191" ht="14.100000000000001" customHeight="1">
      <c r="B1191" s="20" t="s">
        <v>2529</v>
      </c>
      <c r="C1191" s="20" t="s">
        <v>2530</v>
      </c>
      <c r="D1191" s="20" t="s">
        <v>2529</v>
      </c>
      <c r="E1191" s="20" t="e">
        <f t="array" ref="E1191">INDEX(C:C,SMALL(IF(ISNUMBER(FIND(CELL("contents"),$C$2:$C$4852)),ROW($C$2:$C$4852),4^8),ROW(C1191)))&amp;""</f>
        <v>#N/A</v>
      </c>
    </row>
    <row r="1192" ht="14.100000000000001" customHeight="1">
      <c r="B1192" s="20" t="s">
        <v>2531</v>
      </c>
      <c r="C1192" s="20" t="s">
        <v>2532</v>
      </c>
      <c r="D1192" s="20" t="s">
        <v>2531</v>
      </c>
      <c r="E1192" s="20" t="e">
        <f t="array" ref="E1192">INDEX(C:C,SMALL(IF(ISNUMBER(FIND(CELL("contents"),$C$2:$C$4852)),ROW($C$2:$C$4852),4^8),ROW(C1192)))&amp;""</f>
        <v>#N/A</v>
      </c>
    </row>
    <row r="1193" ht="14.100000000000001" customHeight="1">
      <c r="B1193" s="20" t="s">
        <v>2533</v>
      </c>
      <c r="C1193" s="20" t="s">
        <v>2534</v>
      </c>
      <c r="D1193" s="20" t="s">
        <v>2533</v>
      </c>
      <c r="E1193" s="20" t="e">
        <f t="array" ref="E1193">INDEX(C:C,SMALL(IF(ISNUMBER(FIND(CELL("contents"),$C$2:$C$4852)),ROW($C$2:$C$4852),4^8),ROW(C1193)))&amp;""</f>
        <v>#N/A</v>
      </c>
    </row>
    <row r="1194" ht="14.100000000000001" customHeight="1">
      <c r="B1194" s="20" t="s">
        <v>2535</v>
      </c>
      <c r="C1194" s="20" t="s">
        <v>2536</v>
      </c>
      <c r="D1194" s="20" t="s">
        <v>2535</v>
      </c>
      <c r="E1194" s="20" t="e">
        <f t="array" ref="E1194">INDEX(C:C,SMALL(IF(ISNUMBER(FIND(CELL("contents"),$C$2:$C$4852)),ROW($C$2:$C$4852),4^8),ROW(C1194)))&amp;""</f>
        <v>#N/A</v>
      </c>
    </row>
    <row r="1195" ht="14.100000000000001" customHeight="1">
      <c r="B1195" s="20" t="s">
        <v>2537</v>
      </c>
      <c r="C1195" s="20" t="s">
        <v>2538</v>
      </c>
      <c r="D1195" s="20" t="s">
        <v>2537</v>
      </c>
      <c r="E1195" s="20" t="e">
        <f t="array" ref="E1195">INDEX(C:C,SMALL(IF(ISNUMBER(FIND(CELL("contents"),$C$2:$C$4852)),ROW($C$2:$C$4852),4^8),ROW(C1195)))&amp;""</f>
        <v>#N/A</v>
      </c>
    </row>
    <row r="1196" ht="14.100000000000001" customHeight="1">
      <c r="B1196" s="20" t="s">
        <v>2539</v>
      </c>
      <c r="C1196" s="20" t="s">
        <v>2540</v>
      </c>
      <c r="D1196" s="20" t="s">
        <v>2539</v>
      </c>
      <c r="E1196" s="20" t="e">
        <f t="array" ref="E1196">INDEX(C:C,SMALL(IF(ISNUMBER(FIND(CELL("contents"),$C$2:$C$4852)),ROW($C$2:$C$4852),4^8),ROW(C1196)))&amp;""</f>
        <v>#N/A</v>
      </c>
    </row>
    <row r="1197" ht="14.100000000000001" customHeight="1">
      <c r="B1197" s="20" t="s">
        <v>2541</v>
      </c>
      <c r="C1197" s="20" t="s">
        <v>2542</v>
      </c>
      <c r="D1197" s="20" t="s">
        <v>2541</v>
      </c>
      <c r="E1197" s="20" t="e">
        <f t="array" ref="E1197">INDEX(C:C,SMALL(IF(ISNUMBER(FIND(CELL("contents"),$C$2:$C$4852)),ROW($C$2:$C$4852),4^8),ROW(C1197)))&amp;""</f>
        <v>#N/A</v>
      </c>
    </row>
    <row r="1198" ht="14.100000000000001" customHeight="1">
      <c r="B1198" s="20" t="s">
        <v>2543</v>
      </c>
      <c r="C1198" s="20" t="s">
        <v>2544</v>
      </c>
      <c r="D1198" s="20" t="s">
        <v>2543</v>
      </c>
      <c r="E1198" s="20" t="e">
        <f t="array" ref="E1198">INDEX(C:C,SMALL(IF(ISNUMBER(FIND(CELL("contents"),$C$2:$C$4852)),ROW($C$2:$C$4852),4^8),ROW(C1198)))&amp;""</f>
        <v>#N/A</v>
      </c>
    </row>
    <row r="1199" ht="14.100000000000001" customHeight="1">
      <c r="B1199" s="20" t="s">
        <v>2545</v>
      </c>
      <c r="C1199" s="20" t="s">
        <v>2546</v>
      </c>
      <c r="D1199" s="20" t="s">
        <v>2545</v>
      </c>
      <c r="E1199" s="20" t="e">
        <f t="array" ref="E1199">INDEX(C:C,SMALL(IF(ISNUMBER(FIND(CELL("contents"),$C$2:$C$4852)),ROW($C$2:$C$4852),4^8),ROW(C1199)))&amp;""</f>
        <v>#N/A</v>
      </c>
    </row>
    <row r="1200" ht="14.100000000000001" customHeight="1">
      <c r="B1200" s="20" t="s">
        <v>2547</v>
      </c>
      <c r="C1200" s="20" t="s">
        <v>2548</v>
      </c>
      <c r="D1200" s="20" t="s">
        <v>2547</v>
      </c>
      <c r="E1200" s="20" t="e">
        <f t="array" ref="E1200">INDEX(C:C,SMALL(IF(ISNUMBER(FIND(CELL("contents"),$C$2:$C$4852)),ROW($C$2:$C$4852),4^8),ROW(C1200)))&amp;""</f>
        <v>#N/A</v>
      </c>
    </row>
    <row r="1201" ht="14.100000000000001" customHeight="1">
      <c r="B1201" s="20" t="s">
        <v>2549</v>
      </c>
      <c r="C1201" s="20" t="s">
        <v>2550</v>
      </c>
      <c r="D1201" s="20" t="s">
        <v>2549</v>
      </c>
      <c r="E1201" s="20" t="e">
        <f t="array" ref="E1201">INDEX(C:C,SMALL(IF(ISNUMBER(FIND(CELL("contents"),$C$2:$C$4852)),ROW($C$2:$C$4852),4^8),ROW(C1201)))&amp;""</f>
        <v>#N/A</v>
      </c>
    </row>
    <row r="1202" ht="14.100000000000001" customHeight="1">
      <c r="B1202" s="20" t="s">
        <v>2551</v>
      </c>
      <c r="C1202" s="20" t="s">
        <v>2552</v>
      </c>
      <c r="D1202" s="20" t="s">
        <v>2551</v>
      </c>
      <c r="E1202" s="20" t="e">
        <f t="array" ref="E1202">INDEX(C:C,SMALL(IF(ISNUMBER(FIND(CELL("contents"),$C$2:$C$4852)),ROW($C$2:$C$4852),4^8),ROW(C1202)))&amp;""</f>
        <v>#N/A</v>
      </c>
    </row>
    <row r="1203" ht="14.100000000000001" customHeight="1">
      <c r="B1203" s="20" t="s">
        <v>2553</v>
      </c>
      <c r="C1203" s="20" t="s">
        <v>2554</v>
      </c>
      <c r="D1203" s="20" t="s">
        <v>2553</v>
      </c>
      <c r="E1203" s="20" t="e">
        <f t="array" ref="E1203">INDEX(C:C,SMALL(IF(ISNUMBER(FIND(CELL("contents"),$C$2:$C$4852)),ROW($C$2:$C$4852),4^8),ROW(C1203)))&amp;""</f>
        <v>#N/A</v>
      </c>
    </row>
    <row r="1204" ht="14.100000000000001" customHeight="1">
      <c r="B1204" s="20" t="s">
        <v>2555</v>
      </c>
      <c r="C1204" s="20" t="s">
        <v>2556</v>
      </c>
      <c r="D1204" s="20" t="s">
        <v>2555</v>
      </c>
      <c r="E1204" s="20" t="e">
        <f t="array" ref="E1204">INDEX(C:C,SMALL(IF(ISNUMBER(FIND(CELL("contents"),$C$2:$C$4852)),ROW($C$2:$C$4852),4^8),ROW(C1204)))&amp;""</f>
        <v>#N/A</v>
      </c>
    </row>
    <row r="1205" ht="14.100000000000001" customHeight="1">
      <c r="B1205" s="20" t="s">
        <v>2557</v>
      </c>
      <c r="C1205" s="20" t="s">
        <v>2558</v>
      </c>
      <c r="D1205" s="20" t="s">
        <v>2557</v>
      </c>
      <c r="E1205" s="20" t="e">
        <f t="array" ref="E1205">INDEX(C:C,SMALL(IF(ISNUMBER(FIND(CELL("contents"),$C$2:$C$4852)),ROW($C$2:$C$4852),4^8),ROW(C1205)))&amp;""</f>
        <v>#N/A</v>
      </c>
    </row>
    <row r="1206" ht="14.100000000000001" customHeight="1">
      <c r="B1206" s="20" t="s">
        <v>2559</v>
      </c>
      <c r="C1206" s="20" t="s">
        <v>2560</v>
      </c>
      <c r="D1206" s="20" t="s">
        <v>2559</v>
      </c>
      <c r="E1206" s="20" t="e">
        <f t="array" ref="E1206">INDEX(C:C,SMALL(IF(ISNUMBER(FIND(CELL("contents"),$C$2:$C$4852)),ROW($C$2:$C$4852),4^8),ROW(C1206)))&amp;""</f>
        <v>#N/A</v>
      </c>
    </row>
    <row r="1207" ht="14.100000000000001" customHeight="1">
      <c r="B1207" s="20" t="s">
        <v>2561</v>
      </c>
      <c r="C1207" s="20" t="s">
        <v>2562</v>
      </c>
      <c r="D1207" s="20" t="s">
        <v>2561</v>
      </c>
      <c r="E1207" s="20" t="e">
        <f t="array" ref="E1207">INDEX(C:C,SMALL(IF(ISNUMBER(FIND(CELL("contents"),$C$2:$C$4852)),ROW($C$2:$C$4852),4^8),ROW(C1207)))&amp;""</f>
        <v>#N/A</v>
      </c>
    </row>
    <row r="1208" ht="14.100000000000001" customHeight="1">
      <c r="B1208" s="20" t="s">
        <v>2563</v>
      </c>
      <c r="C1208" s="20" t="s">
        <v>2564</v>
      </c>
      <c r="D1208" s="20" t="s">
        <v>2563</v>
      </c>
      <c r="E1208" s="20" t="e">
        <f t="array" ref="E1208">INDEX(C:C,SMALL(IF(ISNUMBER(FIND(CELL("contents"),$C$2:$C$4852)),ROW($C$2:$C$4852),4^8),ROW(C1208)))&amp;""</f>
        <v>#N/A</v>
      </c>
    </row>
    <row r="1209" ht="14.100000000000001" customHeight="1">
      <c r="B1209" s="20" t="s">
        <v>2565</v>
      </c>
      <c r="C1209" s="20" t="s">
        <v>2566</v>
      </c>
      <c r="D1209" s="20" t="s">
        <v>2565</v>
      </c>
      <c r="E1209" s="20" t="e">
        <f t="array" ref="E1209">INDEX(C:C,SMALL(IF(ISNUMBER(FIND(CELL("contents"),$C$2:$C$4852)),ROW($C$2:$C$4852),4^8),ROW(C1209)))&amp;""</f>
        <v>#N/A</v>
      </c>
    </row>
    <row r="1210" ht="14.100000000000001" customHeight="1">
      <c r="B1210" s="20" t="s">
        <v>2567</v>
      </c>
      <c r="C1210" s="20" t="s">
        <v>2568</v>
      </c>
      <c r="D1210" s="20" t="s">
        <v>2567</v>
      </c>
      <c r="E1210" s="20" t="e">
        <f t="array" ref="E1210">INDEX(C:C,SMALL(IF(ISNUMBER(FIND(CELL("contents"),$C$2:$C$4852)),ROW($C$2:$C$4852),4^8),ROW(C1210)))&amp;""</f>
        <v>#N/A</v>
      </c>
    </row>
    <row r="1211" ht="14.100000000000001" customHeight="1">
      <c r="B1211" s="20" t="s">
        <v>2569</v>
      </c>
      <c r="C1211" s="20" t="s">
        <v>2570</v>
      </c>
      <c r="D1211" s="20" t="s">
        <v>2569</v>
      </c>
      <c r="E1211" s="20" t="e">
        <f t="array" ref="E1211">INDEX(C:C,SMALL(IF(ISNUMBER(FIND(CELL("contents"),$C$2:$C$4852)),ROW($C$2:$C$4852),4^8),ROW(C1211)))&amp;""</f>
        <v>#N/A</v>
      </c>
    </row>
    <row r="1212" ht="14.100000000000001" customHeight="1">
      <c r="B1212" s="20" t="s">
        <v>2571</v>
      </c>
      <c r="C1212" s="20" t="s">
        <v>2572</v>
      </c>
      <c r="D1212" s="20" t="s">
        <v>2571</v>
      </c>
      <c r="E1212" s="20" t="e">
        <f t="array" ref="E1212">INDEX(C:C,SMALL(IF(ISNUMBER(FIND(CELL("contents"),$C$2:$C$4852)),ROW($C$2:$C$4852),4^8),ROW(C1212)))&amp;""</f>
        <v>#N/A</v>
      </c>
    </row>
    <row r="1213" ht="14.100000000000001" customHeight="1">
      <c r="B1213" s="20" t="s">
        <v>2573</v>
      </c>
      <c r="C1213" s="20" t="s">
        <v>2574</v>
      </c>
      <c r="D1213" s="20" t="s">
        <v>2573</v>
      </c>
      <c r="E1213" s="20" t="e">
        <f t="array" ref="E1213">INDEX(C:C,SMALL(IF(ISNUMBER(FIND(CELL("contents"),$C$2:$C$4852)),ROW($C$2:$C$4852),4^8),ROW(C1213)))&amp;""</f>
        <v>#N/A</v>
      </c>
    </row>
    <row r="1214" ht="14.100000000000001" customHeight="1">
      <c r="B1214" s="20" t="s">
        <v>2575</v>
      </c>
      <c r="C1214" s="20" t="s">
        <v>2576</v>
      </c>
      <c r="D1214" s="20" t="s">
        <v>2575</v>
      </c>
      <c r="E1214" s="20" t="e">
        <f t="array" ref="E1214">INDEX(C:C,SMALL(IF(ISNUMBER(FIND(CELL("contents"),$C$2:$C$4852)),ROW($C$2:$C$4852),4^8),ROW(C1214)))&amp;""</f>
        <v>#N/A</v>
      </c>
    </row>
    <row r="1215" ht="14.100000000000001" customHeight="1">
      <c r="B1215" s="20" t="s">
        <v>2577</v>
      </c>
      <c r="C1215" s="20" t="s">
        <v>2578</v>
      </c>
      <c r="D1215" s="20" t="s">
        <v>2577</v>
      </c>
      <c r="E1215" s="20" t="e">
        <f t="array" ref="E1215">INDEX(C:C,SMALL(IF(ISNUMBER(FIND(CELL("contents"),$C$2:$C$4852)),ROW($C$2:$C$4852),4^8),ROW(C1215)))&amp;""</f>
        <v>#N/A</v>
      </c>
    </row>
    <row r="1216" ht="14.100000000000001" customHeight="1">
      <c r="B1216" s="20" t="s">
        <v>2579</v>
      </c>
      <c r="C1216" s="20" t="s">
        <v>2580</v>
      </c>
      <c r="D1216" s="20" t="s">
        <v>2579</v>
      </c>
      <c r="E1216" s="20" t="e">
        <f t="array" ref="E1216">INDEX(C:C,SMALL(IF(ISNUMBER(FIND(CELL("contents"),$C$2:$C$4852)),ROW($C$2:$C$4852),4^8),ROW(C1216)))&amp;""</f>
        <v>#N/A</v>
      </c>
    </row>
    <row r="1217" ht="14.100000000000001" customHeight="1">
      <c r="B1217" s="20" t="s">
        <v>2581</v>
      </c>
      <c r="C1217" s="20" t="s">
        <v>2582</v>
      </c>
      <c r="D1217" s="20" t="s">
        <v>2581</v>
      </c>
      <c r="E1217" s="20" t="e">
        <f t="array" ref="E1217">INDEX(C:C,SMALL(IF(ISNUMBER(FIND(CELL("contents"),$C$2:$C$4852)),ROW($C$2:$C$4852),4^8),ROW(C1217)))&amp;""</f>
        <v>#N/A</v>
      </c>
    </row>
    <row r="1218" ht="14.100000000000001" customHeight="1">
      <c r="B1218" s="20" t="s">
        <v>2583</v>
      </c>
      <c r="C1218" s="20" t="s">
        <v>2584</v>
      </c>
      <c r="D1218" s="20" t="s">
        <v>2583</v>
      </c>
      <c r="E1218" s="20" t="e">
        <f t="array" ref="E1218">INDEX(C:C,SMALL(IF(ISNUMBER(FIND(CELL("contents"),$C$2:$C$4852)),ROW($C$2:$C$4852),4^8),ROW(C1218)))&amp;""</f>
        <v>#N/A</v>
      </c>
    </row>
    <row r="1219" ht="14.100000000000001" customHeight="1">
      <c r="B1219" s="20" t="s">
        <v>2585</v>
      </c>
      <c r="C1219" s="20" t="s">
        <v>2586</v>
      </c>
      <c r="D1219" s="20" t="s">
        <v>2585</v>
      </c>
      <c r="E1219" s="20" t="e">
        <f t="array" ref="E1219">INDEX(C:C,SMALL(IF(ISNUMBER(FIND(CELL("contents"),$C$2:$C$4852)),ROW($C$2:$C$4852),4^8),ROW(C1219)))&amp;""</f>
        <v>#N/A</v>
      </c>
    </row>
    <row r="1220" ht="14.100000000000001" customHeight="1">
      <c r="B1220" s="20" t="s">
        <v>2587</v>
      </c>
      <c r="C1220" s="20" t="s">
        <v>2588</v>
      </c>
      <c r="D1220" s="20" t="s">
        <v>2587</v>
      </c>
      <c r="E1220" s="20" t="e">
        <f t="array" ref="E1220">INDEX(C:C,SMALL(IF(ISNUMBER(FIND(CELL("contents"),$C$2:$C$4852)),ROW($C$2:$C$4852),4^8),ROW(C1220)))&amp;""</f>
        <v>#N/A</v>
      </c>
    </row>
    <row r="1221" ht="14.100000000000001" customHeight="1">
      <c r="B1221" s="20" t="s">
        <v>2589</v>
      </c>
      <c r="C1221" s="20" t="s">
        <v>2590</v>
      </c>
      <c r="D1221" s="20" t="s">
        <v>2589</v>
      </c>
      <c r="E1221" s="20" t="e">
        <f t="array" ref="E1221">INDEX(C:C,SMALL(IF(ISNUMBER(FIND(CELL("contents"),$C$2:$C$4852)),ROW($C$2:$C$4852),4^8),ROW(C1221)))&amp;""</f>
        <v>#N/A</v>
      </c>
    </row>
    <row r="1222" ht="14.100000000000001" customHeight="1">
      <c r="B1222" s="20" t="s">
        <v>2591</v>
      </c>
      <c r="C1222" s="20" t="s">
        <v>2592</v>
      </c>
      <c r="D1222" s="20" t="s">
        <v>2591</v>
      </c>
      <c r="E1222" s="20" t="e">
        <f t="array" ref="E1222">INDEX(C:C,SMALL(IF(ISNUMBER(FIND(CELL("contents"),$C$2:$C$4852)),ROW($C$2:$C$4852),4^8),ROW(C1222)))&amp;""</f>
        <v>#N/A</v>
      </c>
    </row>
    <row r="1223" ht="14.100000000000001" customHeight="1">
      <c r="B1223" s="20" t="s">
        <v>2593</v>
      </c>
      <c r="C1223" s="20" t="s">
        <v>2594</v>
      </c>
      <c r="D1223" s="20" t="s">
        <v>2593</v>
      </c>
      <c r="E1223" s="20" t="e">
        <f t="array" ref="E1223">INDEX(C:C,SMALL(IF(ISNUMBER(FIND(CELL("contents"),$C$2:$C$4852)),ROW($C$2:$C$4852),4^8),ROW(C1223)))&amp;""</f>
        <v>#N/A</v>
      </c>
    </row>
    <row r="1224" ht="14.100000000000001" customHeight="1">
      <c r="B1224" s="20" t="s">
        <v>2595</v>
      </c>
      <c r="C1224" s="20" t="s">
        <v>2596</v>
      </c>
      <c r="D1224" s="20" t="s">
        <v>2595</v>
      </c>
      <c r="E1224" s="20" t="e">
        <f t="array" ref="E1224">INDEX(C:C,SMALL(IF(ISNUMBER(FIND(CELL("contents"),$C$2:$C$4852)),ROW($C$2:$C$4852),4^8),ROW(C1224)))&amp;""</f>
        <v>#N/A</v>
      </c>
    </row>
    <row r="1225" ht="14.100000000000001" customHeight="1">
      <c r="B1225" s="20" t="s">
        <v>2597</v>
      </c>
      <c r="C1225" s="20" t="s">
        <v>2598</v>
      </c>
      <c r="D1225" s="20" t="s">
        <v>2597</v>
      </c>
      <c r="E1225" s="20" t="e">
        <f t="array" ref="E1225">INDEX(C:C,SMALL(IF(ISNUMBER(FIND(CELL("contents"),$C$2:$C$4852)),ROW($C$2:$C$4852),4^8),ROW(C1225)))&amp;""</f>
        <v>#N/A</v>
      </c>
    </row>
    <row r="1226" ht="14.100000000000001" customHeight="1">
      <c r="B1226" s="20" t="s">
        <v>2599</v>
      </c>
      <c r="C1226" s="20" t="s">
        <v>2600</v>
      </c>
      <c r="D1226" s="20" t="s">
        <v>2599</v>
      </c>
      <c r="E1226" s="20" t="e">
        <f t="array" ref="E1226">INDEX(C:C,SMALL(IF(ISNUMBER(FIND(CELL("contents"),$C$2:$C$4852)),ROW($C$2:$C$4852),4^8),ROW(C1226)))&amp;""</f>
        <v>#N/A</v>
      </c>
    </row>
    <row r="1227" ht="14.100000000000001" customHeight="1">
      <c r="B1227" s="20" t="s">
        <v>2601</v>
      </c>
      <c r="C1227" s="20" t="s">
        <v>2602</v>
      </c>
      <c r="D1227" s="20" t="s">
        <v>2601</v>
      </c>
      <c r="E1227" s="20" t="e">
        <f t="array" ref="E1227">INDEX(C:C,SMALL(IF(ISNUMBER(FIND(CELL("contents"),$C$2:$C$4852)),ROW($C$2:$C$4852),4^8),ROW(C1227)))&amp;""</f>
        <v>#N/A</v>
      </c>
    </row>
    <row r="1228" ht="14.100000000000001" customHeight="1">
      <c r="B1228" s="20" t="s">
        <v>2603</v>
      </c>
      <c r="C1228" s="20" t="s">
        <v>2604</v>
      </c>
      <c r="D1228" s="20" t="s">
        <v>2603</v>
      </c>
      <c r="E1228" s="20" t="e">
        <f t="array" ref="E1228">INDEX(C:C,SMALL(IF(ISNUMBER(FIND(CELL("contents"),$C$2:$C$4852)),ROW($C$2:$C$4852),4^8),ROW(C1228)))&amp;""</f>
        <v>#N/A</v>
      </c>
    </row>
    <row r="1229" ht="14.100000000000001" customHeight="1">
      <c r="B1229" s="20" t="s">
        <v>2605</v>
      </c>
      <c r="C1229" s="20" t="s">
        <v>2606</v>
      </c>
      <c r="D1229" s="20" t="s">
        <v>2605</v>
      </c>
      <c r="E1229" s="20" t="e">
        <f t="array" ref="E1229">INDEX(C:C,SMALL(IF(ISNUMBER(FIND(CELL("contents"),$C$2:$C$4852)),ROW($C$2:$C$4852),4^8),ROW(C1229)))&amp;""</f>
        <v>#N/A</v>
      </c>
    </row>
    <row r="1230" ht="14.100000000000001" customHeight="1">
      <c r="B1230" s="20" t="s">
        <v>2607</v>
      </c>
      <c r="C1230" s="20" t="s">
        <v>2608</v>
      </c>
      <c r="D1230" s="20" t="s">
        <v>2607</v>
      </c>
      <c r="E1230" s="20" t="e">
        <f t="array" ref="E1230">INDEX(C:C,SMALL(IF(ISNUMBER(FIND(CELL("contents"),$C$2:$C$4852)),ROW($C$2:$C$4852),4^8),ROW(C1230)))&amp;""</f>
        <v>#N/A</v>
      </c>
    </row>
    <row r="1231" ht="14.100000000000001" customHeight="1">
      <c r="B1231" s="20" t="s">
        <v>2609</v>
      </c>
      <c r="C1231" s="20" t="s">
        <v>2610</v>
      </c>
      <c r="D1231" s="20" t="s">
        <v>2609</v>
      </c>
      <c r="E1231" s="20" t="e">
        <f t="array" ref="E1231">INDEX(C:C,SMALL(IF(ISNUMBER(FIND(CELL("contents"),$C$2:$C$4852)),ROW($C$2:$C$4852),4^8),ROW(C1231)))&amp;""</f>
        <v>#N/A</v>
      </c>
    </row>
    <row r="1232" ht="14.100000000000001" customHeight="1">
      <c r="B1232" s="20" t="s">
        <v>2611</v>
      </c>
      <c r="C1232" s="20" t="s">
        <v>2612</v>
      </c>
      <c r="D1232" s="20" t="s">
        <v>2611</v>
      </c>
      <c r="E1232" s="20" t="e">
        <f t="array" ref="E1232">INDEX(C:C,SMALL(IF(ISNUMBER(FIND(CELL("contents"),$C$2:$C$4852)),ROW($C$2:$C$4852),4^8),ROW(C1232)))&amp;""</f>
        <v>#N/A</v>
      </c>
    </row>
    <row r="1233" ht="14.100000000000001" customHeight="1">
      <c r="B1233" s="20" t="s">
        <v>2613</v>
      </c>
      <c r="C1233" s="20" t="s">
        <v>2614</v>
      </c>
      <c r="D1233" s="20" t="s">
        <v>2613</v>
      </c>
      <c r="E1233" s="20" t="e">
        <f t="array" ref="E1233">INDEX(C:C,SMALL(IF(ISNUMBER(FIND(CELL("contents"),$C$2:$C$4852)),ROW($C$2:$C$4852),4^8),ROW(C1233)))&amp;""</f>
        <v>#N/A</v>
      </c>
    </row>
    <row r="1234" ht="14.100000000000001" customHeight="1">
      <c r="B1234" s="20" t="s">
        <v>2615</v>
      </c>
      <c r="C1234" s="20" t="s">
        <v>2616</v>
      </c>
      <c r="D1234" s="20" t="s">
        <v>2615</v>
      </c>
      <c r="E1234" s="20" t="e">
        <f t="array" ref="E1234">INDEX(C:C,SMALL(IF(ISNUMBER(FIND(CELL("contents"),$C$2:$C$4852)),ROW($C$2:$C$4852),4^8),ROW(C1234)))&amp;""</f>
        <v>#N/A</v>
      </c>
    </row>
    <row r="1235" ht="14.100000000000001" customHeight="1">
      <c r="B1235" s="20" t="s">
        <v>2617</v>
      </c>
      <c r="C1235" s="20" t="s">
        <v>2618</v>
      </c>
      <c r="D1235" s="20" t="s">
        <v>2617</v>
      </c>
      <c r="E1235" s="20" t="e">
        <f t="array" ref="E1235">INDEX(C:C,SMALL(IF(ISNUMBER(FIND(CELL("contents"),$C$2:$C$4852)),ROW($C$2:$C$4852),4^8),ROW(C1235)))&amp;""</f>
        <v>#N/A</v>
      </c>
    </row>
    <row r="1236" ht="14.100000000000001" customHeight="1">
      <c r="B1236" s="20" t="s">
        <v>2619</v>
      </c>
      <c r="C1236" s="20" t="s">
        <v>2620</v>
      </c>
      <c r="D1236" s="20" t="s">
        <v>2619</v>
      </c>
      <c r="E1236" s="20" t="e">
        <f t="array" ref="E1236">INDEX(C:C,SMALL(IF(ISNUMBER(FIND(CELL("contents"),$C$2:$C$4852)),ROW($C$2:$C$4852),4^8),ROW(C1236)))&amp;""</f>
        <v>#N/A</v>
      </c>
    </row>
    <row r="1237" ht="14.100000000000001" customHeight="1">
      <c r="B1237" s="20" t="s">
        <v>2621</v>
      </c>
      <c r="C1237" s="20" t="s">
        <v>2622</v>
      </c>
      <c r="D1237" s="20" t="s">
        <v>2621</v>
      </c>
      <c r="E1237" s="20" t="e">
        <f t="array" ref="E1237">INDEX(C:C,SMALL(IF(ISNUMBER(FIND(CELL("contents"),$C$2:$C$4852)),ROW($C$2:$C$4852),4^8),ROW(C1237)))&amp;""</f>
        <v>#N/A</v>
      </c>
    </row>
    <row r="1238" ht="14.100000000000001" customHeight="1">
      <c r="B1238" s="20" t="s">
        <v>2623</v>
      </c>
      <c r="C1238" s="20" t="s">
        <v>2624</v>
      </c>
      <c r="D1238" s="20" t="s">
        <v>2623</v>
      </c>
      <c r="E1238" s="20" t="e">
        <f t="array" ref="E1238">INDEX(C:C,SMALL(IF(ISNUMBER(FIND(CELL("contents"),$C$2:$C$4852)),ROW($C$2:$C$4852),4^8),ROW(C1238)))&amp;""</f>
        <v>#N/A</v>
      </c>
    </row>
    <row r="1239" ht="14.100000000000001" customHeight="1">
      <c r="B1239" s="20" t="s">
        <v>2625</v>
      </c>
      <c r="C1239" s="20" t="s">
        <v>2626</v>
      </c>
      <c r="D1239" s="20" t="s">
        <v>2625</v>
      </c>
      <c r="E1239" s="20" t="e">
        <f t="array" ref="E1239">INDEX(C:C,SMALL(IF(ISNUMBER(FIND(CELL("contents"),$C$2:$C$4852)),ROW($C$2:$C$4852),4^8),ROW(C1239)))&amp;""</f>
        <v>#N/A</v>
      </c>
    </row>
    <row r="1240" ht="14.100000000000001" customHeight="1">
      <c r="B1240" s="20" t="s">
        <v>2627</v>
      </c>
      <c r="C1240" s="20" t="s">
        <v>2628</v>
      </c>
      <c r="D1240" s="20" t="s">
        <v>2627</v>
      </c>
      <c r="E1240" s="20" t="e">
        <f t="array" ref="E1240">INDEX(C:C,SMALL(IF(ISNUMBER(FIND(CELL("contents"),$C$2:$C$4852)),ROW($C$2:$C$4852),4^8),ROW(C1240)))&amp;""</f>
        <v>#N/A</v>
      </c>
    </row>
    <row r="1241" ht="14.100000000000001" customHeight="1">
      <c r="B1241" s="20" t="s">
        <v>2629</v>
      </c>
      <c r="C1241" s="20" t="s">
        <v>2630</v>
      </c>
      <c r="D1241" s="20" t="s">
        <v>2629</v>
      </c>
      <c r="E1241" s="20" t="e">
        <f t="array" ref="E1241">INDEX(C:C,SMALL(IF(ISNUMBER(FIND(CELL("contents"),$C$2:$C$4852)),ROW($C$2:$C$4852),4^8),ROW(C1241)))&amp;""</f>
        <v>#N/A</v>
      </c>
    </row>
    <row r="1242" ht="14.100000000000001" customHeight="1">
      <c r="B1242" s="20" t="s">
        <v>2631</v>
      </c>
      <c r="C1242" s="20" t="s">
        <v>2632</v>
      </c>
      <c r="D1242" s="20" t="s">
        <v>2631</v>
      </c>
      <c r="E1242" s="20" t="e">
        <f t="array" ref="E1242">INDEX(C:C,SMALL(IF(ISNUMBER(FIND(CELL("contents"),$C$2:$C$4852)),ROW($C$2:$C$4852),4^8),ROW(C1242)))&amp;""</f>
        <v>#N/A</v>
      </c>
    </row>
    <row r="1243" ht="14.100000000000001" customHeight="1">
      <c r="B1243" s="20" t="s">
        <v>2633</v>
      </c>
      <c r="C1243" s="20" t="s">
        <v>2634</v>
      </c>
      <c r="D1243" s="20" t="s">
        <v>2633</v>
      </c>
      <c r="E1243" s="20" t="e">
        <f t="array" ref="E1243">INDEX(C:C,SMALL(IF(ISNUMBER(FIND(CELL("contents"),$C$2:$C$4852)),ROW($C$2:$C$4852),4^8),ROW(C1243)))&amp;""</f>
        <v>#N/A</v>
      </c>
    </row>
    <row r="1244" ht="14.100000000000001" customHeight="1">
      <c r="B1244" s="20" t="s">
        <v>2635</v>
      </c>
      <c r="C1244" s="20" t="s">
        <v>2636</v>
      </c>
      <c r="D1244" s="20" t="s">
        <v>2635</v>
      </c>
      <c r="E1244" s="20" t="e">
        <f t="array" ref="E1244">INDEX(C:C,SMALL(IF(ISNUMBER(FIND(CELL("contents"),$C$2:$C$4852)),ROW($C$2:$C$4852),4^8),ROW(C1244)))&amp;""</f>
        <v>#N/A</v>
      </c>
    </row>
    <row r="1245" ht="14.100000000000001" customHeight="1">
      <c r="B1245" s="20" t="s">
        <v>2637</v>
      </c>
      <c r="C1245" s="20" t="s">
        <v>2638</v>
      </c>
      <c r="D1245" s="20" t="s">
        <v>2637</v>
      </c>
      <c r="E1245" s="20" t="e">
        <f t="array" ref="E1245">INDEX(C:C,SMALL(IF(ISNUMBER(FIND(CELL("contents"),$C$2:$C$4852)),ROW($C$2:$C$4852),4^8),ROW(C1245)))&amp;""</f>
        <v>#N/A</v>
      </c>
    </row>
    <row r="1246" ht="14.100000000000001" customHeight="1">
      <c r="B1246" s="20" t="s">
        <v>2639</v>
      </c>
      <c r="C1246" s="20" t="s">
        <v>2640</v>
      </c>
      <c r="D1246" s="20" t="s">
        <v>2639</v>
      </c>
      <c r="E1246" s="20" t="e">
        <f t="array" ref="E1246">INDEX(C:C,SMALL(IF(ISNUMBER(FIND(CELL("contents"),$C$2:$C$4852)),ROW($C$2:$C$4852),4^8),ROW(C1246)))&amp;""</f>
        <v>#N/A</v>
      </c>
    </row>
    <row r="1247" ht="14.100000000000001" customHeight="1">
      <c r="B1247" s="20" t="s">
        <v>2641</v>
      </c>
      <c r="C1247" s="20" t="s">
        <v>2642</v>
      </c>
      <c r="D1247" s="20" t="s">
        <v>2641</v>
      </c>
      <c r="E1247" s="20" t="e">
        <f t="array" ref="E1247">INDEX(C:C,SMALL(IF(ISNUMBER(FIND(CELL("contents"),$C$2:$C$4852)),ROW($C$2:$C$4852),4^8),ROW(C1247)))&amp;""</f>
        <v>#N/A</v>
      </c>
    </row>
    <row r="1248" ht="14.100000000000001" customHeight="1">
      <c r="B1248" s="20" t="s">
        <v>2643</v>
      </c>
      <c r="C1248" s="20" t="s">
        <v>2644</v>
      </c>
      <c r="D1248" s="20" t="s">
        <v>2643</v>
      </c>
      <c r="E1248" s="20" t="e">
        <f t="array" ref="E1248">INDEX(C:C,SMALL(IF(ISNUMBER(FIND(CELL("contents"),$C$2:$C$4852)),ROW($C$2:$C$4852),4^8),ROW(C1248)))&amp;""</f>
        <v>#N/A</v>
      </c>
    </row>
    <row r="1249" ht="14.100000000000001" customHeight="1">
      <c r="B1249" s="20" t="s">
        <v>2645</v>
      </c>
      <c r="C1249" s="20" t="s">
        <v>2646</v>
      </c>
      <c r="D1249" s="20" t="s">
        <v>2645</v>
      </c>
      <c r="E1249" s="20" t="e">
        <f t="array" ref="E1249">INDEX(C:C,SMALL(IF(ISNUMBER(FIND(CELL("contents"),$C$2:$C$4852)),ROW($C$2:$C$4852),4^8),ROW(C1249)))&amp;""</f>
        <v>#N/A</v>
      </c>
    </row>
    <row r="1250" ht="14.100000000000001" customHeight="1">
      <c r="B1250" s="20" t="s">
        <v>2647</v>
      </c>
      <c r="C1250" s="20" t="s">
        <v>2648</v>
      </c>
      <c r="D1250" s="20" t="s">
        <v>2647</v>
      </c>
      <c r="E1250" s="20" t="e">
        <f t="array" ref="E1250">INDEX(C:C,SMALL(IF(ISNUMBER(FIND(CELL("contents"),$C$2:$C$4852)),ROW($C$2:$C$4852),4^8),ROW(C1250)))&amp;""</f>
        <v>#N/A</v>
      </c>
    </row>
    <row r="1251" ht="14.100000000000001" customHeight="1">
      <c r="B1251" s="20" t="s">
        <v>2649</v>
      </c>
      <c r="C1251" s="20" t="s">
        <v>2650</v>
      </c>
      <c r="D1251" s="20" t="s">
        <v>2649</v>
      </c>
      <c r="E1251" s="20" t="e">
        <f t="array" ref="E1251">INDEX(C:C,SMALL(IF(ISNUMBER(FIND(CELL("contents"),$C$2:$C$4852)),ROW($C$2:$C$4852),4^8),ROW(C1251)))&amp;""</f>
        <v>#N/A</v>
      </c>
    </row>
    <row r="1252" ht="14.100000000000001" customHeight="1">
      <c r="B1252" s="20" t="s">
        <v>2651</v>
      </c>
      <c r="C1252" s="20" t="s">
        <v>2652</v>
      </c>
      <c r="D1252" s="20" t="s">
        <v>2651</v>
      </c>
      <c r="E1252" s="20" t="e">
        <f t="array" ref="E1252">INDEX(C:C,SMALL(IF(ISNUMBER(FIND(CELL("contents"),$C$2:$C$4852)),ROW($C$2:$C$4852),4^8),ROW(C1252)))&amp;""</f>
        <v>#N/A</v>
      </c>
    </row>
    <row r="1253" ht="14.100000000000001" customHeight="1">
      <c r="B1253" s="20" t="s">
        <v>2653</v>
      </c>
      <c r="C1253" s="20" t="s">
        <v>2654</v>
      </c>
      <c r="D1253" s="20" t="s">
        <v>2653</v>
      </c>
      <c r="E1253" s="20" t="e">
        <f t="array" ref="E1253">INDEX(C:C,SMALL(IF(ISNUMBER(FIND(CELL("contents"),$C$2:$C$4852)),ROW($C$2:$C$4852),4^8),ROW(C1253)))&amp;""</f>
        <v>#N/A</v>
      </c>
    </row>
    <row r="1254" ht="14.100000000000001" customHeight="1">
      <c r="B1254" s="20" t="s">
        <v>2655</v>
      </c>
      <c r="C1254" s="20" t="s">
        <v>2656</v>
      </c>
      <c r="D1254" s="20" t="s">
        <v>2655</v>
      </c>
      <c r="E1254" s="20" t="e">
        <f t="array" ref="E1254">INDEX(C:C,SMALL(IF(ISNUMBER(FIND(CELL("contents"),$C$2:$C$4852)),ROW($C$2:$C$4852),4^8),ROW(C1254)))&amp;""</f>
        <v>#N/A</v>
      </c>
    </row>
    <row r="1255" ht="14.100000000000001" customHeight="1">
      <c r="B1255" s="20" t="s">
        <v>2657</v>
      </c>
      <c r="C1255" s="20" t="s">
        <v>2658</v>
      </c>
      <c r="D1255" s="20" t="s">
        <v>2657</v>
      </c>
      <c r="E1255" s="20" t="e">
        <f t="array" ref="E1255">INDEX(C:C,SMALL(IF(ISNUMBER(FIND(CELL("contents"),$C$2:$C$4852)),ROW($C$2:$C$4852),4^8),ROW(C1255)))&amp;""</f>
        <v>#N/A</v>
      </c>
    </row>
    <row r="1256" ht="14.100000000000001" customHeight="1">
      <c r="B1256" s="20" t="s">
        <v>2659</v>
      </c>
      <c r="C1256" s="20" t="s">
        <v>2660</v>
      </c>
      <c r="D1256" s="20" t="s">
        <v>2659</v>
      </c>
      <c r="E1256" s="20" t="e">
        <f t="array" ref="E1256">INDEX(C:C,SMALL(IF(ISNUMBER(FIND(CELL("contents"),$C$2:$C$4852)),ROW($C$2:$C$4852),4^8),ROW(C1256)))&amp;""</f>
        <v>#N/A</v>
      </c>
    </row>
    <row r="1257" ht="14.100000000000001" customHeight="1">
      <c r="B1257" s="20" t="s">
        <v>2661</v>
      </c>
      <c r="C1257" s="20" t="s">
        <v>2662</v>
      </c>
      <c r="D1257" s="20" t="s">
        <v>2661</v>
      </c>
      <c r="E1257" s="20" t="e">
        <f t="array" ref="E1257">INDEX(C:C,SMALL(IF(ISNUMBER(FIND(CELL("contents"),$C$2:$C$4852)),ROW($C$2:$C$4852),4^8),ROW(C1257)))&amp;""</f>
        <v>#N/A</v>
      </c>
    </row>
    <row r="1258" ht="14.100000000000001" customHeight="1">
      <c r="B1258" s="20" t="s">
        <v>2663</v>
      </c>
      <c r="C1258" s="20" t="s">
        <v>2664</v>
      </c>
      <c r="D1258" s="20" t="s">
        <v>2663</v>
      </c>
      <c r="E1258" s="20" t="e">
        <f t="array" ref="E1258">INDEX(C:C,SMALL(IF(ISNUMBER(FIND(CELL("contents"),$C$2:$C$4852)),ROW($C$2:$C$4852),4^8),ROW(C1258)))&amp;""</f>
        <v>#N/A</v>
      </c>
    </row>
    <row r="1259" ht="14.100000000000001" customHeight="1">
      <c r="B1259" s="20" t="s">
        <v>2665</v>
      </c>
      <c r="C1259" s="20" t="s">
        <v>2666</v>
      </c>
      <c r="D1259" s="20" t="s">
        <v>2665</v>
      </c>
      <c r="E1259" s="20" t="e">
        <f t="array" ref="E1259">INDEX(C:C,SMALL(IF(ISNUMBER(FIND(CELL("contents"),$C$2:$C$4852)),ROW($C$2:$C$4852),4^8),ROW(C1259)))&amp;""</f>
        <v>#N/A</v>
      </c>
    </row>
    <row r="1260" ht="14.100000000000001" customHeight="1">
      <c r="B1260" s="20" t="s">
        <v>2667</v>
      </c>
      <c r="C1260" s="20" t="s">
        <v>2668</v>
      </c>
      <c r="D1260" s="20" t="s">
        <v>2667</v>
      </c>
      <c r="E1260" s="20" t="e">
        <f t="array" ref="E1260">INDEX(C:C,SMALL(IF(ISNUMBER(FIND(CELL("contents"),$C$2:$C$4852)),ROW($C$2:$C$4852),4^8),ROW(C1260)))&amp;""</f>
        <v>#N/A</v>
      </c>
    </row>
    <row r="1261" ht="14.100000000000001" customHeight="1">
      <c r="B1261" s="20" t="s">
        <v>2669</v>
      </c>
      <c r="C1261" s="20" t="s">
        <v>2670</v>
      </c>
      <c r="D1261" s="20" t="s">
        <v>2669</v>
      </c>
      <c r="E1261" s="20" t="e">
        <f t="array" ref="E1261">INDEX(C:C,SMALL(IF(ISNUMBER(FIND(CELL("contents"),$C$2:$C$4852)),ROW($C$2:$C$4852),4^8),ROW(C1261)))&amp;""</f>
        <v>#N/A</v>
      </c>
    </row>
    <row r="1262" ht="14.100000000000001" customHeight="1">
      <c r="B1262" s="20" t="s">
        <v>2671</v>
      </c>
      <c r="C1262" s="20" t="s">
        <v>2672</v>
      </c>
      <c r="D1262" s="20" t="s">
        <v>2671</v>
      </c>
      <c r="E1262" s="20" t="e">
        <f t="array" ref="E1262">INDEX(C:C,SMALL(IF(ISNUMBER(FIND(CELL("contents"),$C$2:$C$4852)),ROW($C$2:$C$4852),4^8),ROW(C1262)))&amp;""</f>
        <v>#N/A</v>
      </c>
    </row>
    <row r="1263" ht="14.100000000000001" customHeight="1">
      <c r="B1263" s="20" t="s">
        <v>2673</v>
      </c>
      <c r="C1263" s="20" t="s">
        <v>2674</v>
      </c>
      <c r="D1263" s="20" t="s">
        <v>2673</v>
      </c>
      <c r="E1263" s="20" t="e">
        <f t="array" ref="E1263">INDEX(C:C,SMALL(IF(ISNUMBER(FIND(CELL("contents"),$C$2:$C$4852)),ROW($C$2:$C$4852),4^8),ROW(C1263)))&amp;""</f>
        <v>#N/A</v>
      </c>
    </row>
    <row r="1264" ht="14.100000000000001" customHeight="1">
      <c r="B1264" s="20" t="s">
        <v>2675</v>
      </c>
      <c r="C1264" s="20" t="s">
        <v>2676</v>
      </c>
      <c r="D1264" s="20" t="s">
        <v>2675</v>
      </c>
      <c r="E1264" s="20" t="e">
        <f t="array" ref="E1264">INDEX(C:C,SMALL(IF(ISNUMBER(FIND(CELL("contents"),$C$2:$C$4852)),ROW($C$2:$C$4852),4^8),ROW(C1264)))&amp;""</f>
        <v>#N/A</v>
      </c>
    </row>
    <row r="1265" ht="14.100000000000001" customHeight="1">
      <c r="B1265" s="20" t="s">
        <v>2677</v>
      </c>
      <c r="C1265" s="20" t="s">
        <v>2678</v>
      </c>
      <c r="D1265" s="20" t="s">
        <v>2677</v>
      </c>
      <c r="E1265" s="20" t="e">
        <f t="array" ref="E1265">INDEX(C:C,SMALL(IF(ISNUMBER(FIND(CELL("contents"),$C$2:$C$4852)),ROW($C$2:$C$4852),4^8),ROW(C1265)))&amp;""</f>
        <v>#N/A</v>
      </c>
    </row>
    <row r="1266" ht="14.100000000000001" customHeight="1">
      <c r="B1266" s="20" t="s">
        <v>2679</v>
      </c>
      <c r="C1266" s="20" t="s">
        <v>2680</v>
      </c>
      <c r="D1266" s="20" t="s">
        <v>2679</v>
      </c>
      <c r="E1266" s="20" t="e">
        <f t="array" ref="E1266">INDEX(C:C,SMALL(IF(ISNUMBER(FIND(CELL("contents"),$C$2:$C$4852)),ROW($C$2:$C$4852),4^8),ROW(C1266)))&amp;""</f>
        <v>#N/A</v>
      </c>
    </row>
    <row r="1267" ht="14.100000000000001" customHeight="1">
      <c r="B1267" s="20" t="s">
        <v>2681</v>
      </c>
      <c r="C1267" s="20" t="s">
        <v>2682</v>
      </c>
      <c r="D1267" s="20" t="s">
        <v>2681</v>
      </c>
      <c r="E1267" s="20" t="e">
        <f t="array" ref="E1267">INDEX(C:C,SMALL(IF(ISNUMBER(FIND(CELL("contents"),$C$2:$C$4852)),ROW($C$2:$C$4852),4^8),ROW(C1267)))&amp;""</f>
        <v>#N/A</v>
      </c>
    </row>
    <row r="1268" ht="14.100000000000001" customHeight="1">
      <c r="B1268" s="20" t="s">
        <v>2683</v>
      </c>
      <c r="C1268" s="20" t="s">
        <v>2684</v>
      </c>
      <c r="D1268" s="20" t="s">
        <v>2683</v>
      </c>
      <c r="E1268" s="20" t="e">
        <f t="array" ref="E1268">INDEX(C:C,SMALL(IF(ISNUMBER(FIND(CELL("contents"),$C$2:$C$4852)),ROW($C$2:$C$4852),4^8),ROW(C1268)))&amp;""</f>
        <v>#N/A</v>
      </c>
    </row>
    <row r="1269" ht="14.100000000000001" customHeight="1">
      <c r="B1269" s="20" t="s">
        <v>2685</v>
      </c>
      <c r="C1269" s="20" t="s">
        <v>2686</v>
      </c>
      <c r="D1269" s="20" t="s">
        <v>2685</v>
      </c>
      <c r="E1269" s="20" t="e">
        <f t="array" ref="E1269">INDEX(C:C,SMALL(IF(ISNUMBER(FIND(CELL("contents"),$C$2:$C$4852)),ROW($C$2:$C$4852),4^8),ROW(C1269)))&amp;""</f>
        <v>#N/A</v>
      </c>
    </row>
    <row r="1270" ht="14.100000000000001" customHeight="1">
      <c r="B1270" s="20" t="s">
        <v>2687</v>
      </c>
      <c r="C1270" s="20" t="s">
        <v>2688</v>
      </c>
      <c r="D1270" s="20" t="s">
        <v>2687</v>
      </c>
      <c r="E1270" s="20" t="e">
        <f t="array" ref="E1270">INDEX(C:C,SMALL(IF(ISNUMBER(FIND(CELL("contents"),$C$2:$C$4852)),ROW($C$2:$C$4852),4^8),ROW(C1270)))&amp;""</f>
        <v>#N/A</v>
      </c>
    </row>
    <row r="1271" ht="14.100000000000001" customHeight="1">
      <c r="B1271" s="20" t="s">
        <v>2689</v>
      </c>
      <c r="C1271" s="20" t="s">
        <v>2690</v>
      </c>
      <c r="D1271" s="20" t="s">
        <v>2689</v>
      </c>
      <c r="E1271" s="20" t="e">
        <f t="array" ref="E1271">INDEX(C:C,SMALL(IF(ISNUMBER(FIND(CELL("contents"),$C$2:$C$4852)),ROW($C$2:$C$4852),4^8),ROW(C1271)))&amp;""</f>
        <v>#N/A</v>
      </c>
    </row>
    <row r="1272" ht="14.100000000000001" customHeight="1">
      <c r="B1272" s="20" t="s">
        <v>2691</v>
      </c>
      <c r="C1272" s="20" t="s">
        <v>2692</v>
      </c>
      <c r="D1272" s="20" t="s">
        <v>2691</v>
      </c>
      <c r="E1272" s="20" t="e">
        <f t="array" ref="E1272">INDEX(C:C,SMALL(IF(ISNUMBER(FIND(CELL("contents"),$C$2:$C$4852)),ROW($C$2:$C$4852),4^8),ROW(C1272)))&amp;""</f>
        <v>#N/A</v>
      </c>
    </row>
    <row r="1273" ht="14.100000000000001" customHeight="1">
      <c r="B1273" s="20" t="s">
        <v>2693</v>
      </c>
      <c r="C1273" s="20" t="s">
        <v>2694</v>
      </c>
      <c r="D1273" s="20" t="s">
        <v>2693</v>
      </c>
      <c r="E1273" s="20" t="e">
        <f t="array" ref="E1273">INDEX(C:C,SMALL(IF(ISNUMBER(FIND(CELL("contents"),$C$2:$C$4852)),ROW($C$2:$C$4852),4^8),ROW(C1273)))&amp;""</f>
        <v>#N/A</v>
      </c>
    </row>
    <row r="1274" ht="14.100000000000001" customHeight="1">
      <c r="B1274" s="20" t="s">
        <v>2695</v>
      </c>
      <c r="C1274" s="20" t="s">
        <v>2696</v>
      </c>
      <c r="D1274" s="20" t="s">
        <v>2695</v>
      </c>
      <c r="E1274" s="20" t="e">
        <f t="array" ref="E1274">INDEX(C:C,SMALL(IF(ISNUMBER(FIND(CELL("contents"),$C$2:$C$4852)),ROW($C$2:$C$4852),4^8),ROW(C1274)))&amp;""</f>
        <v>#N/A</v>
      </c>
    </row>
    <row r="1275" ht="14.100000000000001" customHeight="1">
      <c r="B1275" s="20" t="s">
        <v>2697</v>
      </c>
      <c r="C1275" s="20" t="s">
        <v>2698</v>
      </c>
      <c r="D1275" s="20" t="s">
        <v>2697</v>
      </c>
      <c r="E1275" s="20" t="e">
        <f t="array" ref="E1275">INDEX(C:C,SMALL(IF(ISNUMBER(FIND(CELL("contents"),$C$2:$C$4852)),ROW($C$2:$C$4852),4^8),ROW(C1275)))&amp;""</f>
        <v>#N/A</v>
      </c>
    </row>
    <row r="1276" ht="14.100000000000001" customHeight="1">
      <c r="B1276" s="20" t="s">
        <v>2699</v>
      </c>
      <c r="C1276" s="20" t="s">
        <v>2700</v>
      </c>
      <c r="D1276" s="20" t="s">
        <v>2699</v>
      </c>
      <c r="E1276" s="20" t="e">
        <f t="array" ref="E1276">INDEX(C:C,SMALL(IF(ISNUMBER(FIND(CELL("contents"),$C$2:$C$4852)),ROW($C$2:$C$4852),4^8),ROW(C1276)))&amp;""</f>
        <v>#N/A</v>
      </c>
    </row>
    <row r="1277" ht="14.100000000000001" customHeight="1">
      <c r="B1277" s="20" t="s">
        <v>2701</v>
      </c>
      <c r="C1277" s="20" t="s">
        <v>2702</v>
      </c>
      <c r="D1277" s="20" t="s">
        <v>2701</v>
      </c>
      <c r="E1277" s="20" t="e">
        <f t="array" ref="E1277">INDEX(C:C,SMALL(IF(ISNUMBER(FIND(CELL("contents"),$C$2:$C$4852)),ROW($C$2:$C$4852),4^8),ROW(C1277)))&amp;""</f>
        <v>#N/A</v>
      </c>
    </row>
    <row r="1278" ht="14.100000000000001" customHeight="1">
      <c r="B1278" s="20" t="s">
        <v>2703</v>
      </c>
      <c r="C1278" s="20" t="s">
        <v>2704</v>
      </c>
      <c r="D1278" s="20" t="s">
        <v>2703</v>
      </c>
      <c r="E1278" s="20" t="e">
        <f t="array" ref="E1278">INDEX(C:C,SMALL(IF(ISNUMBER(FIND(CELL("contents"),$C$2:$C$4852)),ROW($C$2:$C$4852),4^8),ROW(C1278)))&amp;""</f>
        <v>#N/A</v>
      </c>
    </row>
    <row r="1279" ht="14.100000000000001" customHeight="1">
      <c r="B1279" s="20" t="s">
        <v>2705</v>
      </c>
      <c r="C1279" s="20" t="s">
        <v>2706</v>
      </c>
      <c r="D1279" s="20" t="s">
        <v>2705</v>
      </c>
      <c r="E1279" s="20" t="e">
        <f t="array" ref="E1279">INDEX(C:C,SMALL(IF(ISNUMBER(FIND(CELL("contents"),$C$2:$C$4852)),ROW($C$2:$C$4852),4^8),ROW(C1279)))&amp;""</f>
        <v>#N/A</v>
      </c>
    </row>
    <row r="1280" ht="14.100000000000001" customHeight="1">
      <c r="B1280" s="20" t="s">
        <v>2707</v>
      </c>
      <c r="C1280" s="20" t="s">
        <v>2708</v>
      </c>
      <c r="D1280" s="20" t="s">
        <v>2707</v>
      </c>
      <c r="E1280" s="20" t="e">
        <f t="array" ref="E1280">INDEX(C:C,SMALL(IF(ISNUMBER(FIND(CELL("contents"),$C$2:$C$4852)),ROW($C$2:$C$4852),4^8),ROW(C1280)))&amp;""</f>
        <v>#N/A</v>
      </c>
    </row>
    <row r="1281" ht="14.100000000000001" customHeight="1">
      <c r="B1281" s="20" t="s">
        <v>2709</v>
      </c>
      <c r="C1281" s="20" t="s">
        <v>2710</v>
      </c>
      <c r="D1281" s="20" t="s">
        <v>2709</v>
      </c>
      <c r="E1281" s="20" t="e">
        <f t="array" ref="E1281">INDEX(C:C,SMALL(IF(ISNUMBER(FIND(CELL("contents"),$C$2:$C$4852)),ROW($C$2:$C$4852),4^8),ROW(C1281)))&amp;""</f>
        <v>#N/A</v>
      </c>
    </row>
    <row r="1282" ht="14.100000000000001" customHeight="1">
      <c r="B1282" s="20" t="s">
        <v>2711</v>
      </c>
      <c r="C1282" s="20" t="s">
        <v>2712</v>
      </c>
      <c r="D1282" s="20" t="s">
        <v>2711</v>
      </c>
      <c r="E1282" s="20" t="e">
        <f t="array" ref="E1282">INDEX(C:C,SMALL(IF(ISNUMBER(FIND(CELL("contents"),$C$2:$C$4852)),ROW($C$2:$C$4852),4^8),ROW(C1282)))&amp;""</f>
        <v>#N/A</v>
      </c>
    </row>
    <row r="1283" ht="14.100000000000001" customHeight="1">
      <c r="B1283" s="20" t="s">
        <v>2713</v>
      </c>
      <c r="C1283" s="20" t="s">
        <v>2714</v>
      </c>
      <c r="D1283" s="20" t="s">
        <v>2713</v>
      </c>
      <c r="E1283" s="20" t="e">
        <f t="array" ref="E1283">INDEX(C:C,SMALL(IF(ISNUMBER(FIND(CELL("contents"),$C$2:$C$4852)),ROW($C$2:$C$4852),4^8),ROW(C1283)))&amp;""</f>
        <v>#N/A</v>
      </c>
    </row>
    <row r="1284" ht="14.100000000000001" customHeight="1">
      <c r="B1284" s="20" t="s">
        <v>2715</v>
      </c>
      <c r="C1284" s="20" t="s">
        <v>2716</v>
      </c>
      <c r="D1284" s="20" t="s">
        <v>2715</v>
      </c>
      <c r="E1284" s="20" t="e">
        <f t="array" ref="E1284">INDEX(C:C,SMALL(IF(ISNUMBER(FIND(CELL("contents"),$C$2:$C$4852)),ROW($C$2:$C$4852),4^8),ROW(C1284)))&amp;""</f>
        <v>#N/A</v>
      </c>
    </row>
    <row r="1285" ht="14.100000000000001" customHeight="1">
      <c r="B1285" s="20" t="s">
        <v>2717</v>
      </c>
      <c r="C1285" s="20" t="s">
        <v>2718</v>
      </c>
      <c r="D1285" s="20" t="s">
        <v>2717</v>
      </c>
      <c r="E1285" s="20" t="e">
        <f t="array" ref="E1285">INDEX(C:C,SMALL(IF(ISNUMBER(FIND(CELL("contents"),$C$2:$C$4852)),ROW($C$2:$C$4852),4^8),ROW(C1285)))&amp;""</f>
        <v>#N/A</v>
      </c>
    </row>
    <row r="1286" ht="14.100000000000001" customHeight="1">
      <c r="B1286" s="20" t="s">
        <v>2719</v>
      </c>
      <c r="C1286" s="20" t="s">
        <v>2720</v>
      </c>
      <c r="D1286" s="20" t="s">
        <v>2719</v>
      </c>
      <c r="E1286" s="20" t="e">
        <f t="array" ref="E1286">INDEX(C:C,SMALL(IF(ISNUMBER(FIND(CELL("contents"),$C$2:$C$4852)),ROW($C$2:$C$4852),4^8),ROW(C1286)))&amp;""</f>
        <v>#N/A</v>
      </c>
    </row>
    <row r="1287" ht="14.100000000000001" customHeight="1">
      <c r="B1287" s="20" t="s">
        <v>2721</v>
      </c>
      <c r="C1287" s="20" t="s">
        <v>2722</v>
      </c>
      <c r="D1287" s="20" t="s">
        <v>2721</v>
      </c>
      <c r="E1287" s="20" t="e">
        <f t="array" ref="E1287">INDEX(C:C,SMALL(IF(ISNUMBER(FIND(CELL("contents"),$C$2:$C$4852)),ROW($C$2:$C$4852),4^8),ROW(C1287)))&amp;""</f>
        <v>#N/A</v>
      </c>
    </row>
    <row r="1288" ht="14.100000000000001" customHeight="1">
      <c r="B1288" s="20" t="s">
        <v>2723</v>
      </c>
      <c r="C1288" s="20" t="s">
        <v>2724</v>
      </c>
      <c r="D1288" s="20" t="s">
        <v>2723</v>
      </c>
      <c r="E1288" s="20" t="e">
        <f t="array" ref="E1288">INDEX(C:C,SMALL(IF(ISNUMBER(FIND(CELL("contents"),$C$2:$C$4852)),ROW($C$2:$C$4852),4^8),ROW(C1288)))&amp;""</f>
        <v>#N/A</v>
      </c>
    </row>
    <row r="1289" ht="14.100000000000001" customHeight="1">
      <c r="B1289" s="20" t="s">
        <v>2725</v>
      </c>
      <c r="C1289" s="20" t="s">
        <v>2726</v>
      </c>
      <c r="D1289" s="20" t="s">
        <v>2725</v>
      </c>
      <c r="E1289" s="20" t="e">
        <f t="array" ref="E1289">INDEX(C:C,SMALL(IF(ISNUMBER(FIND(CELL("contents"),$C$2:$C$4852)),ROW($C$2:$C$4852),4^8),ROW(C1289)))&amp;""</f>
        <v>#N/A</v>
      </c>
    </row>
    <row r="1290" ht="14.100000000000001" customHeight="1">
      <c r="B1290" s="20" t="s">
        <v>2727</v>
      </c>
      <c r="C1290" s="20" t="s">
        <v>2728</v>
      </c>
      <c r="D1290" s="20" t="s">
        <v>2727</v>
      </c>
      <c r="E1290" s="20" t="e">
        <f t="array" ref="E1290">INDEX(C:C,SMALL(IF(ISNUMBER(FIND(CELL("contents"),$C$2:$C$4852)),ROW($C$2:$C$4852),4^8),ROW(C1290)))&amp;""</f>
        <v>#N/A</v>
      </c>
    </row>
    <row r="1291" ht="14.100000000000001" customHeight="1">
      <c r="B1291" s="20" t="s">
        <v>2729</v>
      </c>
      <c r="C1291" s="20" t="s">
        <v>2730</v>
      </c>
      <c r="D1291" s="20" t="s">
        <v>2729</v>
      </c>
      <c r="E1291" s="20" t="e">
        <f t="array" ref="E1291">INDEX(C:C,SMALL(IF(ISNUMBER(FIND(CELL("contents"),$C$2:$C$4852)),ROW($C$2:$C$4852),4^8),ROW(C1291)))&amp;""</f>
        <v>#N/A</v>
      </c>
    </row>
    <row r="1292" ht="14.100000000000001" customHeight="1">
      <c r="B1292" s="20" t="s">
        <v>2731</v>
      </c>
      <c r="C1292" s="20" t="s">
        <v>2732</v>
      </c>
      <c r="D1292" s="20" t="s">
        <v>2731</v>
      </c>
      <c r="E1292" s="20" t="e">
        <f t="array" ref="E1292">INDEX(C:C,SMALL(IF(ISNUMBER(FIND(CELL("contents"),$C$2:$C$4852)),ROW($C$2:$C$4852),4^8),ROW(C1292)))&amp;""</f>
        <v>#N/A</v>
      </c>
    </row>
    <row r="1293" ht="14.100000000000001" customHeight="1">
      <c r="B1293" s="20" t="s">
        <v>2733</v>
      </c>
      <c r="C1293" s="20" t="s">
        <v>2734</v>
      </c>
      <c r="D1293" s="20" t="s">
        <v>2733</v>
      </c>
      <c r="E1293" s="20" t="e">
        <f t="array" ref="E1293">INDEX(C:C,SMALL(IF(ISNUMBER(FIND(CELL("contents"),$C$2:$C$4852)),ROW($C$2:$C$4852),4^8),ROW(C1293)))&amp;""</f>
        <v>#N/A</v>
      </c>
    </row>
    <row r="1294" ht="14.100000000000001" customHeight="1">
      <c r="B1294" s="20" t="s">
        <v>2735</v>
      </c>
      <c r="C1294" s="20" t="s">
        <v>2736</v>
      </c>
      <c r="D1294" s="20" t="s">
        <v>2735</v>
      </c>
      <c r="E1294" s="20" t="e">
        <f t="array" ref="E1294">INDEX(C:C,SMALL(IF(ISNUMBER(FIND(CELL("contents"),$C$2:$C$4852)),ROW($C$2:$C$4852),4^8),ROW(C1294)))&amp;""</f>
        <v>#N/A</v>
      </c>
    </row>
    <row r="1295" ht="14.100000000000001" customHeight="1">
      <c r="B1295" s="20" t="s">
        <v>2737</v>
      </c>
      <c r="C1295" s="20" t="s">
        <v>2738</v>
      </c>
      <c r="D1295" s="20" t="s">
        <v>2737</v>
      </c>
      <c r="E1295" s="20" t="e">
        <f t="array" ref="E1295">INDEX(C:C,SMALL(IF(ISNUMBER(FIND(CELL("contents"),$C$2:$C$4852)),ROW($C$2:$C$4852),4^8),ROW(C1295)))&amp;""</f>
        <v>#N/A</v>
      </c>
    </row>
    <row r="1296" ht="14.100000000000001" customHeight="1">
      <c r="B1296" s="20" t="s">
        <v>2739</v>
      </c>
      <c r="C1296" s="20" t="s">
        <v>2740</v>
      </c>
      <c r="D1296" s="20" t="s">
        <v>2739</v>
      </c>
      <c r="E1296" s="20" t="e">
        <f t="array" ref="E1296">INDEX(C:C,SMALL(IF(ISNUMBER(FIND(CELL("contents"),$C$2:$C$4852)),ROW($C$2:$C$4852),4^8),ROW(C1296)))&amp;""</f>
        <v>#N/A</v>
      </c>
    </row>
    <row r="1297" ht="14.100000000000001" customHeight="1">
      <c r="B1297" s="20" t="s">
        <v>2741</v>
      </c>
      <c r="C1297" s="20" t="s">
        <v>2742</v>
      </c>
      <c r="D1297" s="20" t="s">
        <v>2741</v>
      </c>
      <c r="E1297" s="20" t="e">
        <f t="array" ref="E1297">INDEX(C:C,SMALL(IF(ISNUMBER(FIND(CELL("contents"),$C$2:$C$4852)),ROW($C$2:$C$4852),4^8),ROW(C1297)))&amp;""</f>
        <v>#N/A</v>
      </c>
    </row>
    <row r="1298" ht="14.100000000000001" customHeight="1">
      <c r="B1298" s="20" t="s">
        <v>2743</v>
      </c>
      <c r="C1298" s="20" t="s">
        <v>2744</v>
      </c>
      <c r="D1298" s="20" t="s">
        <v>2743</v>
      </c>
      <c r="E1298" s="20" t="e">
        <f t="array" ref="E1298">INDEX(C:C,SMALL(IF(ISNUMBER(FIND(CELL("contents"),$C$2:$C$4852)),ROW($C$2:$C$4852),4^8),ROW(C1298)))&amp;""</f>
        <v>#N/A</v>
      </c>
    </row>
    <row r="1299" ht="14.100000000000001" customHeight="1">
      <c r="B1299" s="20" t="s">
        <v>2745</v>
      </c>
      <c r="C1299" s="20" t="s">
        <v>2746</v>
      </c>
      <c r="D1299" s="20" t="s">
        <v>2745</v>
      </c>
      <c r="E1299" s="20" t="e">
        <f t="array" ref="E1299">INDEX(C:C,SMALL(IF(ISNUMBER(FIND(CELL("contents"),$C$2:$C$4852)),ROW($C$2:$C$4852),4^8),ROW(C1299)))&amp;""</f>
        <v>#N/A</v>
      </c>
    </row>
    <row r="1300" ht="14.100000000000001" customHeight="1">
      <c r="B1300" s="20" t="s">
        <v>2747</v>
      </c>
      <c r="C1300" s="20" t="s">
        <v>2748</v>
      </c>
      <c r="D1300" s="20" t="s">
        <v>2747</v>
      </c>
      <c r="E1300" s="20" t="e">
        <f t="array" ref="E1300">INDEX(C:C,SMALL(IF(ISNUMBER(FIND(CELL("contents"),$C$2:$C$4852)),ROW($C$2:$C$4852),4^8),ROW(C1300)))&amp;""</f>
        <v>#N/A</v>
      </c>
    </row>
    <row r="1301" ht="14.100000000000001" customHeight="1">
      <c r="B1301" s="20" t="s">
        <v>2749</v>
      </c>
      <c r="C1301" s="20" t="s">
        <v>2750</v>
      </c>
      <c r="D1301" s="20" t="s">
        <v>2749</v>
      </c>
      <c r="E1301" s="20" t="e">
        <f t="array" ref="E1301">INDEX(C:C,SMALL(IF(ISNUMBER(FIND(CELL("contents"),$C$2:$C$4852)),ROW($C$2:$C$4852),4^8),ROW(C1301)))&amp;""</f>
        <v>#N/A</v>
      </c>
    </row>
    <row r="1302" ht="14.100000000000001" customHeight="1">
      <c r="B1302" s="20" t="s">
        <v>2751</v>
      </c>
      <c r="C1302" s="20" t="s">
        <v>2752</v>
      </c>
      <c r="D1302" s="20" t="s">
        <v>2751</v>
      </c>
      <c r="E1302" s="20" t="e">
        <f t="array" ref="E1302">INDEX(C:C,SMALL(IF(ISNUMBER(FIND(CELL("contents"),$C$2:$C$4852)),ROW($C$2:$C$4852),4^8),ROW(C1302)))&amp;""</f>
        <v>#N/A</v>
      </c>
    </row>
    <row r="1303" ht="14.100000000000001" customHeight="1">
      <c r="B1303" s="20" t="s">
        <v>2753</v>
      </c>
      <c r="C1303" s="20" t="s">
        <v>2754</v>
      </c>
      <c r="D1303" s="20" t="s">
        <v>2753</v>
      </c>
      <c r="E1303" s="20" t="e">
        <f t="array" ref="E1303">INDEX(C:C,SMALL(IF(ISNUMBER(FIND(CELL("contents"),$C$2:$C$4852)),ROW($C$2:$C$4852),4^8),ROW(C1303)))&amp;""</f>
        <v>#N/A</v>
      </c>
    </row>
    <row r="1304" ht="14.100000000000001" customHeight="1">
      <c r="B1304" s="20" t="s">
        <v>2755</v>
      </c>
      <c r="C1304" s="20" t="s">
        <v>2756</v>
      </c>
      <c r="D1304" s="20" t="s">
        <v>2755</v>
      </c>
      <c r="E1304" s="20" t="e">
        <f t="array" ref="E1304">INDEX(C:C,SMALL(IF(ISNUMBER(FIND(CELL("contents"),$C$2:$C$4852)),ROW($C$2:$C$4852),4^8),ROW(C1304)))&amp;""</f>
        <v>#N/A</v>
      </c>
    </row>
    <row r="1305" ht="14.100000000000001" customHeight="1">
      <c r="B1305" s="20" t="s">
        <v>2757</v>
      </c>
      <c r="C1305" s="20" t="s">
        <v>2758</v>
      </c>
      <c r="D1305" s="20" t="s">
        <v>2757</v>
      </c>
      <c r="E1305" s="20" t="e">
        <f t="array" ref="E1305">INDEX(C:C,SMALL(IF(ISNUMBER(FIND(CELL("contents"),$C$2:$C$4852)),ROW($C$2:$C$4852),4^8),ROW(C1305)))&amp;""</f>
        <v>#N/A</v>
      </c>
    </row>
    <row r="1306" ht="14.100000000000001" customHeight="1">
      <c r="B1306" s="20" t="s">
        <v>2759</v>
      </c>
      <c r="C1306" s="20" t="s">
        <v>2760</v>
      </c>
      <c r="D1306" s="20" t="s">
        <v>2759</v>
      </c>
      <c r="E1306" s="20" t="e">
        <f t="array" ref="E1306">INDEX(C:C,SMALL(IF(ISNUMBER(FIND(CELL("contents"),$C$2:$C$4852)),ROW($C$2:$C$4852),4^8),ROW(C1306)))&amp;""</f>
        <v>#N/A</v>
      </c>
    </row>
    <row r="1307" ht="14.100000000000001" customHeight="1">
      <c r="B1307" s="20" t="s">
        <v>2761</v>
      </c>
      <c r="C1307" s="20" t="s">
        <v>2762</v>
      </c>
      <c r="D1307" s="20" t="s">
        <v>2761</v>
      </c>
      <c r="E1307" s="20" t="e">
        <f t="array" ref="E1307">INDEX(C:C,SMALL(IF(ISNUMBER(FIND(CELL("contents"),$C$2:$C$4852)),ROW($C$2:$C$4852),4^8),ROW(C1307)))&amp;""</f>
        <v>#N/A</v>
      </c>
    </row>
    <row r="1308" ht="14.100000000000001" customHeight="1">
      <c r="B1308" s="20" t="s">
        <v>2763</v>
      </c>
      <c r="C1308" s="20" t="s">
        <v>2764</v>
      </c>
      <c r="D1308" s="20" t="s">
        <v>2763</v>
      </c>
      <c r="E1308" s="20" t="e">
        <f t="array" ref="E1308">INDEX(C:C,SMALL(IF(ISNUMBER(FIND(CELL("contents"),$C$2:$C$4852)),ROW($C$2:$C$4852),4^8),ROW(C1308)))&amp;""</f>
        <v>#N/A</v>
      </c>
    </row>
    <row r="1309" ht="14.100000000000001" customHeight="1">
      <c r="B1309" s="20" t="s">
        <v>2765</v>
      </c>
      <c r="C1309" s="20" t="s">
        <v>2766</v>
      </c>
      <c r="D1309" s="20" t="s">
        <v>2765</v>
      </c>
      <c r="E1309" s="20" t="e">
        <f t="array" ref="E1309">INDEX(C:C,SMALL(IF(ISNUMBER(FIND(CELL("contents"),$C$2:$C$4852)),ROW($C$2:$C$4852),4^8),ROW(C1309)))&amp;""</f>
        <v>#N/A</v>
      </c>
    </row>
    <row r="1310" ht="14.100000000000001" customHeight="1">
      <c r="B1310" s="20" t="s">
        <v>2767</v>
      </c>
      <c r="C1310" s="20" t="s">
        <v>2768</v>
      </c>
      <c r="D1310" s="20" t="s">
        <v>2767</v>
      </c>
      <c r="E1310" s="20" t="e">
        <f t="array" ref="E1310">INDEX(C:C,SMALL(IF(ISNUMBER(FIND(CELL("contents"),$C$2:$C$4852)),ROW($C$2:$C$4852),4^8),ROW(C1310)))&amp;""</f>
        <v>#N/A</v>
      </c>
    </row>
    <row r="1311" ht="14.100000000000001" customHeight="1">
      <c r="B1311" s="20" t="s">
        <v>2769</v>
      </c>
      <c r="C1311" s="20" t="s">
        <v>2770</v>
      </c>
      <c r="D1311" s="20" t="s">
        <v>2769</v>
      </c>
      <c r="E1311" s="20" t="e">
        <f t="array" ref="E1311">INDEX(C:C,SMALL(IF(ISNUMBER(FIND(CELL("contents"),$C$2:$C$4852)),ROW($C$2:$C$4852),4^8),ROW(C1311)))&amp;""</f>
        <v>#N/A</v>
      </c>
    </row>
    <row r="1312" ht="14.100000000000001" customHeight="1">
      <c r="B1312" s="20" t="s">
        <v>2771</v>
      </c>
      <c r="C1312" s="20" t="s">
        <v>2772</v>
      </c>
      <c r="D1312" s="20" t="s">
        <v>2771</v>
      </c>
      <c r="E1312" s="20" t="e">
        <f t="array" ref="E1312">INDEX(C:C,SMALL(IF(ISNUMBER(FIND(CELL("contents"),$C$2:$C$4852)),ROW($C$2:$C$4852),4^8),ROW(C1312)))&amp;""</f>
        <v>#N/A</v>
      </c>
    </row>
    <row r="1313" ht="14.100000000000001" customHeight="1">
      <c r="B1313" s="20" t="s">
        <v>2773</v>
      </c>
      <c r="C1313" s="20" t="s">
        <v>2774</v>
      </c>
      <c r="D1313" s="20" t="s">
        <v>2773</v>
      </c>
      <c r="E1313" s="20" t="e">
        <f t="array" ref="E1313">INDEX(C:C,SMALL(IF(ISNUMBER(FIND(CELL("contents"),$C$2:$C$4852)),ROW($C$2:$C$4852),4^8),ROW(C1313)))&amp;""</f>
        <v>#N/A</v>
      </c>
    </row>
    <row r="1314" ht="14.100000000000001" customHeight="1">
      <c r="B1314" s="20" t="s">
        <v>2775</v>
      </c>
      <c r="C1314" s="20" t="s">
        <v>2776</v>
      </c>
      <c r="D1314" s="20" t="s">
        <v>2775</v>
      </c>
      <c r="E1314" s="20" t="e">
        <f t="array" ref="E1314">INDEX(C:C,SMALL(IF(ISNUMBER(FIND(CELL("contents"),$C$2:$C$4852)),ROW($C$2:$C$4852),4^8),ROW(C1314)))&amp;""</f>
        <v>#N/A</v>
      </c>
    </row>
    <row r="1315" ht="14.100000000000001" customHeight="1">
      <c r="B1315" s="20" t="s">
        <v>2777</v>
      </c>
      <c r="C1315" s="20" t="s">
        <v>2778</v>
      </c>
      <c r="D1315" s="20" t="s">
        <v>2777</v>
      </c>
      <c r="E1315" s="20" t="e">
        <f t="array" ref="E1315">INDEX(C:C,SMALL(IF(ISNUMBER(FIND(CELL("contents"),$C$2:$C$4852)),ROW($C$2:$C$4852),4^8),ROW(C1315)))&amp;""</f>
        <v>#N/A</v>
      </c>
    </row>
    <row r="1316" ht="14.100000000000001" customHeight="1">
      <c r="B1316" s="20" t="s">
        <v>2779</v>
      </c>
      <c r="C1316" s="20" t="s">
        <v>2780</v>
      </c>
      <c r="D1316" s="20" t="s">
        <v>2779</v>
      </c>
      <c r="E1316" s="20" t="e">
        <f t="array" ref="E1316">INDEX(C:C,SMALL(IF(ISNUMBER(FIND(CELL("contents"),$C$2:$C$4852)),ROW($C$2:$C$4852),4^8),ROW(C1316)))&amp;""</f>
        <v>#N/A</v>
      </c>
    </row>
    <row r="1317" ht="14.100000000000001" customHeight="1">
      <c r="B1317" s="20" t="s">
        <v>2781</v>
      </c>
      <c r="C1317" s="20" t="s">
        <v>2782</v>
      </c>
      <c r="D1317" s="20" t="s">
        <v>2781</v>
      </c>
      <c r="E1317" s="20" t="e">
        <f t="array" ref="E1317">INDEX(C:C,SMALL(IF(ISNUMBER(FIND(CELL("contents"),$C$2:$C$4852)),ROW($C$2:$C$4852),4^8),ROW(C1317)))&amp;""</f>
        <v>#N/A</v>
      </c>
    </row>
    <row r="1318" ht="14.100000000000001" customHeight="1">
      <c r="B1318" s="20" t="s">
        <v>2783</v>
      </c>
      <c r="C1318" s="20" t="s">
        <v>2784</v>
      </c>
      <c r="D1318" s="20" t="s">
        <v>2783</v>
      </c>
      <c r="E1318" s="20" t="e">
        <f t="array" ref="E1318">INDEX(C:C,SMALL(IF(ISNUMBER(FIND(CELL("contents"),$C$2:$C$4852)),ROW($C$2:$C$4852),4^8),ROW(C1318)))&amp;""</f>
        <v>#N/A</v>
      </c>
    </row>
    <row r="1319" ht="14.100000000000001" customHeight="1">
      <c r="B1319" s="20" t="s">
        <v>2785</v>
      </c>
      <c r="C1319" s="20" t="s">
        <v>2786</v>
      </c>
      <c r="D1319" s="20" t="s">
        <v>2785</v>
      </c>
      <c r="E1319" s="20" t="e">
        <f t="array" ref="E1319">INDEX(C:C,SMALL(IF(ISNUMBER(FIND(CELL("contents"),$C$2:$C$4852)),ROW($C$2:$C$4852),4^8),ROW(C1319)))&amp;""</f>
        <v>#N/A</v>
      </c>
    </row>
    <row r="1320" ht="14.100000000000001" customHeight="1">
      <c r="B1320" s="20" t="s">
        <v>2787</v>
      </c>
      <c r="C1320" s="20" t="s">
        <v>2788</v>
      </c>
      <c r="D1320" s="20" t="s">
        <v>2787</v>
      </c>
      <c r="E1320" s="20" t="e">
        <f t="array" ref="E1320">INDEX(C:C,SMALL(IF(ISNUMBER(FIND(CELL("contents"),$C$2:$C$4852)),ROW($C$2:$C$4852),4^8),ROW(C1320)))&amp;""</f>
        <v>#N/A</v>
      </c>
    </row>
    <row r="1321" ht="14.100000000000001" customHeight="1">
      <c r="B1321" s="20" t="s">
        <v>2789</v>
      </c>
      <c r="C1321" s="20" t="s">
        <v>2790</v>
      </c>
      <c r="D1321" s="20" t="s">
        <v>2789</v>
      </c>
      <c r="E1321" s="20" t="e">
        <f t="array" ref="E1321">INDEX(C:C,SMALL(IF(ISNUMBER(FIND(CELL("contents"),$C$2:$C$4852)),ROW($C$2:$C$4852),4^8),ROW(C1321)))&amp;""</f>
        <v>#N/A</v>
      </c>
    </row>
    <row r="1322" ht="14.100000000000001" customHeight="1">
      <c r="B1322" s="20" t="s">
        <v>2791</v>
      </c>
      <c r="C1322" s="20" t="s">
        <v>2792</v>
      </c>
      <c r="D1322" s="20" t="s">
        <v>2791</v>
      </c>
      <c r="E1322" s="20" t="e">
        <f t="array" ref="E1322">INDEX(C:C,SMALL(IF(ISNUMBER(FIND(CELL("contents"),$C$2:$C$4852)),ROW($C$2:$C$4852),4^8),ROW(C1322)))&amp;""</f>
        <v>#N/A</v>
      </c>
    </row>
    <row r="1323" ht="14.100000000000001" customHeight="1">
      <c r="B1323" s="20" t="s">
        <v>2793</v>
      </c>
      <c r="C1323" s="20" t="s">
        <v>2794</v>
      </c>
      <c r="D1323" s="20" t="s">
        <v>2793</v>
      </c>
      <c r="E1323" s="20" t="e">
        <f t="array" ref="E1323">INDEX(C:C,SMALL(IF(ISNUMBER(FIND(CELL("contents"),$C$2:$C$4852)),ROW($C$2:$C$4852),4^8),ROW(C1323)))&amp;""</f>
        <v>#N/A</v>
      </c>
    </row>
    <row r="1324" ht="14.100000000000001" customHeight="1">
      <c r="B1324" s="20" t="s">
        <v>2795</v>
      </c>
      <c r="C1324" s="20" t="s">
        <v>2796</v>
      </c>
      <c r="D1324" s="20" t="s">
        <v>2795</v>
      </c>
      <c r="E1324" s="20" t="e">
        <f t="array" ref="E1324">INDEX(C:C,SMALL(IF(ISNUMBER(FIND(CELL("contents"),$C$2:$C$4852)),ROW($C$2:$C$4852),4^8),ROW(C1324)))&amp;""</f>
        <v>#N/A</v>
      </c>
    </row>
    <row r="1325" ht="14.100000000000001" customHeight="1">
      <c r="B1325" s="20" t="s">
        <v>2797</v>
      </c>
      <c r="C1325" s="20" t="s">
        <v>2798</v>
      </c>
      <c r="D1325" s="20" t="s">
        <v>2797</v>
      </c>
      <c r="E1325" s="20" t="e">
        <f t="array" ref="E1325">INDEX(C:C,SMALL(IF(ISNUMBER(FIND(CELL("contents"),$C$2:$C$4852)),ROW($C$2:$C$4852),4^8),ROW(C1325)))&amp;""</f>
        <v>#N/A</v>
      </c>
    </row>
    <row r="1326" ht="14.100000000000001" customHeight="1">
      <c r="B1326" s="20" t="s">
        <v>2799</v>
      </c>
      <c r="C1326" s="20" t="s">
        <v>2800</v>
      </c>
      <c r="D1326" s="20" t="s">
        <v>2799</v>
      </c>
      <c r="E1326" s="20" t="e">
        <f t="array" ref="E1326">INDEX(C:C,SMALL(IF(ISNUMBER(FIND(CELL("contents"),$C$2:$C$4852)),ROW($C$2:$C$4852),4^8),ROW(C1326)))&amp;""</f>
        <v>#N/A</v>
      </c>
    </row>
    <row r="1327" ht="14.100000000000001" customHeight="1">
      <c r="B1327" s="20" t="s">
        <v>2801</v>
      </c>
      <c r="C1327" s="20" t="s">
        <v>2802</v>
      </c>
      <c r="D1327" s="20" t="s">
        <v>2801</v>
      </c>
      <c r="E1327" s="20" t="e">
        <f t="array" ref="E1327">INDEX(C:C,SMALL(IF(ISNUMBER(FIND(CELL("contents"),$C$2:$C$4852)),ROW($C$2:$C$4852),4^8),ROW(C1327)))&amp;""</f>
        <v>#N/A</v>
      </c>
    </row>
    <row r="1328" ht="14.100000000000001" customHeight="1">
      <c r="B1328" s="20" t="s">
        <v>2803</v>
      </c>
      <c r="C1328" s="20" t="s">
        <v>2804</v>
      </c>
      <c r="D1328" s="20" t="s">
        <v>2803</v>
      </c>
      <c r="E1328" s="20" t="e">
        <f t="array" ref="E1328">INDEX(C:C,SMALL(IF(ISNUMBER(FIND(CELL("contents"),$C$2:$C$4852)),ROW($C$2:$C$4852),4^8),ROW(C1328)))&amp;""</f>
        <v>#N/A</v>
      </c>
    </row>
    <row r="1329" ht="14.100000000000001" customHeight="1">
      <c r="B1329" s="20" t="s">
        <v>2805</v>
      </c>
      <c r="C1329" s="20" t="s">
        <v>2806</v>
      </c>
      <c r="D1329" s="20" t="s">
        <v>2805</v>
      </c>
      <c r="E1329" s="20" t="e">
        <f t="array" ref="E1329">INDEX(C:C,SMALL(IF(ISNUMBER(FIND(CELL("contents"),$C$2:$C$4852)),ROW($C$2:$C$4852),4^8),ROW(C1329)))&amp;""</f>
        <v>#N/A</v>
      </c>
    </row>
    <row r="1330" ht="14.100000000000001" customHeight="1">
      <c r="B1330" s="20" t="s">
        <v>2807</v>
      </c>
      <c r="C1330" s="20" t="s">
        <v>2808</v>
      </c>
      <c r="D1330" s="20" t="s">
        <v>2807</v>
      </c>
      <c r="E1330" s="20" t="e">
        <f t="array" ref="E1330">INDEX(C:C,SMALL(IF(ISNUMBER(FIND(CELL("contents"),$C$2:$C$4852)),ROW($C$2:$C$4852),4^8),ROW(C1330)))&amp;""</f>
        <v>#N/A</v>
      </c>
    </row>
    <row r="1331" ht="14.100000000000001" customHeight="1">
      <c r="B1331" s="20" t="s">
        <v>2809</v>
      </c>
      <c r="C1331" s="20" t="s">
        <v>2810</v>
      </c>
      <c r="D1331" s="20" t="s">
        <v>2809</v>
      </c>
      <c r="E1331" s="20" t="e">
        <f t="array" ref="E1331">INDEX(C:C,SMALL(IF(ISNUMBER(FIND(CELL("contents"),$C$2:$C$4852)),ROW($C$2:$C$4852),4^8),ROW(C1331)))&amp;""</f>
        <v>#N/A</v>
      </c>
    </row>
    <row r="1332" ht="14.100000000000001" customHeight="1">
      <c r="B1332" s="20" t="s">
        <v>2811</v>
      </c>
      <c r="C1332" s="20" t="s">
        <v>2812</v>
      </c>
      <c r="D1332" s="20" t="s">
        <v>2811</v>
      </c>
      <c r="E1332" s="20" t="e">
        <f t="array" ref="E1332">INDEX(C:C,SMALL(IF(ISNUMBER(FIND(CELL("contents"),$C$2:$C$4852)),ROW($C$2:$C$4852),4^8),ROW(C1332)))&amp;""</f>
        <v>#N/A</v>
      </c>
    </row>
    <row r="1333" ht="14.100000000000001" customHeight="1">
      <c r="B1333" s="20" t="s">
        <v>2813</v>
      </c>
      <c r="C1333" s="20" t="s">
        <v>2814</v>
      </c>
      <c r="D1333" s="20" t="s">
        <v>2813</v>
      </c>
      <c r="E1333" s="20" t="e">
        <f t="array" ref="E1333">INDEX(C:C,SMALL(IF(ISNUMBER(FIND(CELL("contents"),$C$2:$C$4852)),ROW($C$2:$C$4852),4^8),ROW(C1333)))&amp;""</f>
        <v>#N/A</v>
      </c>
    </row>
    <row r="1334" ht="14.100000000000001" customHeight="1">
      <c r="B1334" s="20" t="s">
        <v>2815</v>
      </c>
      <c r="C1334" s="20" t="s">
        <v>2816</v>
      </c>
      <c r="D1334" s="20" t="s">
        <v>2815</v>
      </c>
      <c r="E1334" s="20" t="e">
        <f t="array" ref="E1334">INDEX(C:C,SMALL(IF(ISNUMBER(FIND(CELL("contents"),$C$2:$C$4852)),ROW($C$2:$C$4852),4^8),ROW(C1334)))&amp;""</f>
        <v>#N/A</v>
      </c>
    </row>
    <row r="1335" ht="14.100000000000001" customHeight="1">
      <c r="B1335" s="20" t="s">
        <v>2817</v>
      </c>
      <c r="C1335" s="20" t="s">
        <v>2818</v>
      </c>
      <c r="D1335" s="20" t="s">
        <v>2817</v>
      </c>
      <c r="E1335" s="20" t="e">
        <f t="array" ref="E1335">INDEX(C:C,SMALL(IF(ISNUMBER(FIND(CELL("contents"),$C$2:$C$4852)),ROW($C$2:$C$4852),4^8),ROW(C1335)))&amp;""</f>
        <v>#N/A</v>
      </c>
    </row>
    <row r="1336" ht="14.100000000000001" customHeight="1">
      <c r="B1336" s="20" t="s">
        <v>2819</v>
      </c>
      <c r="C1336" s="20" t="s">
        <v>2820</v>
      </c>
      <c r="D1336" s="20" t="s">
        <v>2819</v>
      </c>
      <c r="E1336" s="20" t="e">
        <f t="array" ref="E1336">INDEX(C:C,SMALL(IF(ISNUMBER(FIND(CELL("contents"),$C$2:$C$4852)),ROW($C$2:$C$4852),4^8),ROW(C1336)))&amp;""</f>
        <v>#N/A</v>
      </c>
    </row>
    <row r="1337" ht="14.100000000000001" customHeight="1">
      <c r="B1337" s="20" t="s">
        <v>2821</v>
      </c>
      <c r="C1337" s="20" t="s">
        <v>2822</v>
      </c>
      <c r="D1337" s="20" t="s">
        <v>2821</v>
      </c>
      <c r="E1337" s="20" t="e">
        <f t="array" ref="E1337">INDEX(C:C,SMALL(IF(ISNUMBER(FIND(CELL("contents"),$C$2:$C$4852)),ROW($C$2:$C$4852),4^8),ROW(C1337)))&amp;""</f>
        <v>#N/A</v>
      </c>
    </row>
    <row r="1338" ht="14.100000000000001" customHeight="1">
      <c r="B1338" s="20" t="s">
        <v>2823</v>
      </c>
      <c r="C1338" s="20" t="s">
        <v>2824</v>
      </c>
      <c r="D1338" s="20" t="s">
        <v>2823</v>
      </c>
      <c r="E1338" s="20" t="e">
        <f t="array" ref="E1338">INDEX(C:C,SMALL(IF(ISNUMBER(FIND(CELL("contents"),$C$2:$C$4852)),ROW($C$2:$C$4852),4^8),ROW(C1338)))&amp;""</f>
        <v>#N/A</v>
      </c>
    </row>
    <row r="1339" ht="14.100000000000001" customHeight="1">
      <c r="B1339" s="20" t="s">
        <v>2825</v>
      </c>
      <c r="C1339" s="20" t="s">
        <v>2826</v>
      </c>
      <c r="D1339" s="20" t="s">
        <v>2825</v>
      </c>
      <c r="E1339" s="20" t="e">
        <f t="array" ref="E1339">INDEX(C:C,SMALL(IF(ISNUMBER(FIND(CELL("contents"),$C$2:$C$4852)),ROW($C$2:$C$4852),4^8),ROW(C1339)))&amp;""</f>
        <v>#N/A</v>
      </c>
    </row>
    <row r="1340" ht="14.100000000000001" customHeight="1">
      <c r="B1340" s="20" t="s">
        <v>2827</v>
      </c>
      <c r="C1340" s="20" t="s">
        <v>2828</v>
      </c>
      <c r="D1340" s="20" t="s">
        <v>2827</v>
      </c>
      <c r="E1340" s="20" t="e">
        <f t="array" ref="E1340">INDEX(C:C,SMALL(IF(ISNUMBER(FIND(CELL("contents"),$C$2:$C$4852)),ROW($C$2:$C$4852),4^8),ROW(C1340)))&amp;""</f>
        <v>#N/A</v>
      </c>
    </row>
    <row r="1341" ht="14.100000000000001" customHeight="1">
      <c r="B1341" s="20" t="s">
        <v>2829</v>
      </c>
      <c r="C1341" s="20" t="s">
        <v>2830</v>
      </c>
      <c r="D1341" s="20" t="s">
        <v>2829</v>
      </c>
      <c r="E1341" s="20" t="e">
        <f t="array" ref="E1341">INDEX(C:C,SMALL(IF(ISNUMBER(FIND(CELL("contents"),$C$2:$C$4852)),ROW($C$2:$C$4852),4^8),ROW(C1341)))&amp;""</f>
        <v>#N/A</v>
      </c>
    </row>
    <row r="1342" ht="14.100000000000001" customHeight="1">
      <c r="B1342" s="20" t="s">
        <v>2831</v>
      </c>
      <c r="C1342" s="20" t="s">
        <v>2832</v>
      </c>
      <c r="D1342" s="20" t="s">
        <v>2831</v>
      </c>
      <c r="E1342" s="20" t="e">
        <f t="array" ref="E1342">INDEX(C:C,SMALL(IF(ISNUMBER(FIND(CELL("contents"),$C$2:$C$4852)),ROW($C$2:$C$4852),4^8),ROW(C1342)))&amp;""</f>
        <v>#N/A</v>
      </c>
    </row>
    <row r="1343" ht="14.100000000000001" customHeight="1">
      <c r="B1343" s="20" t="s">
        <v>2833</v>
      </c>
      <c r="C1343" s="20" t="s">
        <v>2834</v>
      </c>
      <c r="D1343" s="20" t="s">
        <v>2833</v>
      </c>
      <c r="E1343" s="20" t="e">
        <f t="array" ref="E1343">INDEX(C:C,SMALL(IF(ISNUMBER(FIND(CELL("contents"),$C$2:$C$4852)),ROW($C$2:$C$4852),4^8),ROW(C1343)))&amp;""</f>
        <v>#N/A</v>
      </c>
    </row>
    <row r="1344" ht="14.100000000000001" customHeight="1">
      <c r="B1344" s="20" t="s">
        <v>2835</v>
      </c>
      <c r="C1344" s="20" t="s">
        <v>2836</v>
      </c>
      <c r="D1344" s="20" t="s">
        <v>2835</v>
      </c>
      <c r="E1344" s="20" t="e">
        <f t="array" ref="E1344">INDEX(C:C,SMALL(IF(ISNUMBER(FIND(CELL("contents"),$C$2:$C$4852)),ROW($C$2:$C$4852),4^8),ROW(C1344)))&amp;""</f>
        <v>#N/A</v>
      </c>
    </row>
    <row r="1345" ht="14.100000000000001" customHeight="1">
      <c r="B1345" s="20" t="s">
        <v>2837</v>
      </c>
      <c r="C1345" s="20" t="s">
        <v>2838</v>
      </c>
      <c r="D1345" s="20" t="s">
        <v>2837</v>
      </c>
      <c r="E1345" s="20" t="e">
        <f t="array" ref="E1345">INDEX(C:C,SMALL(IF(ISNUMBER(FIND(CELL("contents"),$C$2:$C$4852)),ROW($C$2:$C$4852),4^8),ROW(C1345)))&amp;""</f>
        <v>#N/A</v>
      </c>
    </row>
    <row r="1346" ht="14.100000000000001" customHeight="1">
      <c r="B1346" s="20" t="s">
        <v>2839</v>
      </c>
      <c r="C1346" s="20" t="s">
        <v>2840</v>
      </c>
      <c r="D1346" s="20" t="s">
        <v>2839</v>
      </c>
      <c r="E1346" s="20" t="e">
        <f t="array" ref="E1346">INDEX(C:C,SMALL(IF(ISNUMBER(FIND(CELL("contents"),$C$2:$C$4852)),ROW($C$2:$C$4852),4^8),ROW(C1346)))&amp;""</f>
        <v>#N/A</v>
      </c>
    </row>
    <row r="1347" ht="14.100000000000001" customHeight="1">
      <c r="B1347" s="20" t="s">
        <v>2841</v>
      </c>
      <c r="C1347" s="20" t="s">
        <v>2842</v>
      </c>
      <c r="D1347" s="20" t="s">
        <v>2841</v>
      </c>
      <c r="E1347" s="20" t="e">
        <f t="array" ref="E1347">INDEX(C:C,SMALL(IF(ISNUMBER(FIND(CELL("contents"),$C$2:$C$4852)),ROW($C$2:$C$4852),4^8),ROW(C1347)))&amp;""</f>
        <v>#N/A</v>
      </c>
    </row>
    <row r="1348" ht="14.100000000000001" customHeight="1">
      <c r="B1348" s="20" t="s">
        <v>2843</v>
      </c>
      <c r="C1348" s="20" t="s">
        <v>2844</v>
      </c>
      <c r="D1348" s="20" t="s">
        <v>2843</v>
      </c>
      <c r="E1348" s="20" t="e">
        <f t="array" ref="E1348">INDEX(C:C,SMALL(IF(ISNUMBER(FIND(CELL("contents"),$C$2:$C$4852)),ROW($C$2:$C$4852),4^8),ROW(C1348)))&amp;""</f>
        <v>#N/A</v>
      </c>
    </row>
    <row r="1349" ht="14.100000000000001" customHeight="1">
      <c r="B1349" s="20" t="s">
        <v>2845</v>
      </c>
      <c r="C1349" s="20" t="s">
        <v>2846</v>
      </c>
      <c r="D1349" s="20" t="s">
        <v>2845</v>
      </c>
      <c r="E1349" s="20" t="e">
        <f t="array" ref="E1349">INDEX(C:C,SMALL(IF(ISNUMBER(FIND(CELL("contents"),$C$2:$C$4852)),ROW($C$2:$C$4852),4^8),ROW(C1349)))&amp;""</f>
        <v>#N/A</v>
      </c>
    </row>
    <row r="1350" ht="14.100000000000001" customHeight="1">
      <c r="B1350" s="20" t="s">
        <v>2847</v>
      </c>
      <c r="C1350" s="20" t="s">
        <v>2848</v>
      </c>
      <c r="D1350" s="20" t="s">
        <v>2847</v>
      </c>
      <c r="E1350" s="20" t="e">
        <f t="array" ref="E1350">INDEX(C:C,SMALL(IF(ISNUMBER(FIND(CELL("contents"),$C$2:$C$4852)),ROW($C$2:$C$4852),4^8),ROW(C1350)))&amp;""</f>
        <v>#N/A</v>
      </c>
    </row>
    <row r="1351" ht="14.100000000000001" customHeight="1">
      <c r="B1351" s="20" t="s">
        <v>2849</v>
      </c>
      <c r="C1351" s="20" t="s">
        <v>2850</v>
      </c>
      <c r="D1351" s="20" t="s">
        <v>2849</v>
      </c>
      <c r="E1351" s="20" t="e">
        <f t="array" ref="E1351">INDEX(C:C,SMALL(IF(ISNUMBER(FIND(CELL("contents"),$C$2:$C$4852)),ROW($C$2:$C$4852),4^8),ROW(C1351)))&amp;""</f>
        <v>#N/A</v>
      </c>
    </row>
    <row r="1352" ht="14.100000000000001" customHeight="1">
      <c r="B1352" s="20" t="s">
        <v>2851</v>
      </c>
      <c r="C1352" s="20" t="s">
        <v>2852</v>
      </c>
      <c r="D1352" s="20" t="s">
        <v>2851</v>
      </c>
      <c r="E1352" s="20" t="e">
        <f t="array" ref="E1352">INDEX(C:C,SMALL(IF(ISNUMBER(FIND(CELL("contents"),$C$2:$C$4852)),ROW($C$2:$C$4852),4^8),ROW(C1352)))&amp;""</f>
        <v>#N/A</v>
      </c>
    </row>
    <row r="1353" ht="14.100000000000001" customHeight="1">
      <c r="B1353" s="20" t="s">
        <v>2853</v>
      </c>
      <c r="C1353" s="20" t="s">
        <v>2854</v>
      </c>
      <c r="D1353" s="20" t="s">
        <v>2853</v>
      </c>
      <c r="E1353" s="20" t="e">
        <f t="array" ref="E1353">INDEX(C:C,SMALL(IF(ISNUMBER(FIND(CELL("contents"),$C$2:$C$4852)),ROW($C$2:$C$4852),4^8),ROW(C1353)))&amp;""</f>
        <v>#N/A</v>
      </c>
    </row>
    <row r="1354" ht="14.100000000000001" customHeight="1">
      <c r="B1354" s="20" t="s">
        <v>2855</v>
      </c>
      <c r="C1354" s="20" t="s">
        <v>2856</v>
      </c>
      <c r="D1354" s="20" t="s">
        <v>2855</v>
      </c>
      <c r="E1354" s="20" t="e">
        <f t="array" ref="E1354">INDEX(C:C,SMALL(IF(ISNUMBER(FIND(CELL("contents"),$C$2:$C$4852)),ROW($C$2:$C$4852),4^8),ROW(C1354)))&amp;""</f>
        <v>#N/A</v>
      </c>
    </row>
    <row r="1355" ht="14.100000000000001" customHeight="1">
      <c r="B1355" s="20" t="s">
        <v>2857</v>
      </c>
      <c r="C1355" s="20" t="s">
        <v>2858</v>
      </c>
      <c r="D1355" s="20" t="s">
        <v>2857</v>
      </c>
      <c r="E1355" s="20" t="e">
        <f t="array" ref="E1355">INDEX(C:C,SMALL(IF(ISNUMBER(FIND(CELL("contents"),$C$2:$C$4852)),ROW($C$2:$C$4852),4^8),ROW(C1355)))&amp;""</f>
        <v>#N/A</v>
      </c>
    </row>
    <row r="1356" ht="14.100000000000001" customHeight="1">
      <c r="B1356" s="20" t="s">
        <v>2859</v>
      </c>
      <c r="C1356" s="20" t="s">
        <v>2860</v>
      </c>
      <c r="D1356" s="20" t="s">
        <v>2859</v>
      </c>
      <c r="E1356" s="20" t="e">
        <f t="array" ref="E1356">INDEX(C:C,SMALL(IF(ISNUMBER(FIND(CELL("contents"),$C$2:$C$4852)),ROW($C$2:$C$4852),4^8),ROW(C1356)))&amp;""</f>
        <v>#N/A</v>
      </c>
    </row>
    <row r="1357" ht="14.100000000000001" customHeight="1">
      <c r="B1357" s="20" t="s">
        <v>2861</v>
      </c>
      <c r="C1357" s="20" t="s">
        <v>2862</v>
      </c>
      <c r="D1357" s="20" t="s">
        <v>2861</v>
      </c>
      <c r="E1357" s="20" t="e">
        <f t="array" ref="E1357">INDEX(C:C,SMALL(IF(ISNUMBER(FIND(CELL("contents"),$C$2:$C$4852)),ROW($C$2:$C$4852),4^8),ROW(C1357)))&amp;""</f>
        <v>#N/A</v>
      </c>
    </row>
    <row r="1358" ht="14.100000000000001" customHeight="1">
      <c r="B1358" s="20" t="s">
        <v>2863</v>
      </c>
      <c r="C1358" s="20" t="s">
        <v>2864</v>
      </c>
      <c r="D1358" s="20" t="s">
        <v>2863</v>
      </c>
      <c r="E1358" s="20" t="e">
        <f t="array" ref="E1358">INDEX(C:C,SMALL(IF(ISNUMBER(FIND(CELL("contents"),$C$2:$C$4852)),ROW($C$2:$C$4852),4^8),ROW(C1358)))&amp;""</f>
        <v>#N/A</v>
      </c>
    </row>
    <row r="1359" ht="14.100000000000001" customHeight="1">
      <c r="B1359" s="20" t="s">
        <v>2865</v>
      </c>
      <c r="C1359" s="20" t="s">
        <v>2866</v>
      </c>
      <c r="D1359" s="20" t="s">
        <v>2865</v>
      </c>
      <c r="E1359" s="20" t="e">
        <f t="array" ref="E1359">INDEX(C:C,SMALL(IF(ISNUMBER(FIND(CELL("contents"),$C$2:$C$4852)),ROW($C$2:$C$4852),4^8),ROW(C1359)))&amp;""</f>
        <v>#N/A</v>
      </c>
    </row>
    <row r="1360" ht="14.100000000000001" customHeight="1">
      <c r="B1360" s="20" t="s">
        <v>2867</v>
      </c>
      <c r="C1360" s="20" t="s">
        <v>2868</v>
      </c>
      <c r="D1360" s="20" t="s">
        <v>2867</v>
      </c>
      <c r="E1360" s="20" t="e">
        <f t="array" ref="E1360">INDEX(C:C,SMALL(IF(ISNUMBER(FIND(CELL("contents"),$C$2:$C$4852)),ROW($C$2:$C$4852),4^8),ROW(C1360)))&amp;""</f>
        <v>#N/A</v>
      </c>
    </row>
    <row r="1361" ht="14.100000000000001" customHeight="1">
      <c r="B1361" s="20" t="s">
        <v>2869</v>
      </c>
      <c r="C1361" s="20" t="s">
        <v>2870</v>
      </c>
      <c r="D1361" s="20" t="s">
        <v>2869</v>
      </c>
      <c r="E1361" s="20" t="e">
        <f t="array" ref="E1361">INDEX(C:C,SMALL(IF(ISNUMBER(FIND(CELL("contents"),$C$2:$C$4852)),ROW($C$2:$C$4852),4^8),ROW(C1361)))&amp;""</f>
        <v>#N/A</v>
      </c>
    </row>
    <row r="1362" ht="14.100000000000001" customHeight="1">
      <c r="B1362" s="20" t="s">
        <v>2871</v>
      </c>
      <c r="C1362" s="20" t="s">
        <v>2872</v>
      </c>
      <c r="D1362" s="20" t="s">
        <v>2871</v>
      </c>
      <c r="E1362" s="20" t="e">
        <f t="array" ref="E1362">INDEX(C:C,SMALL(IF(ISNUMBER(FIND(CELL("contents"),$C$2:$C$4852)),ROW($C$2:$C$4852),4^8),ROW(C1362)))&amp;""</f>
        <v>#N/A</v>
      </c>
    </row>
    <row r="1363" ht="14.100000000000001" customHeight="1">
      <c r="B1363" s="20" t="s">
        <v>2873</v>
      </c>
      <c r="C1363" s="20" t="s">
        <v>2874</v>
      </c>
      <c r="D1363" s="20" t="s">
        <v>2873</v>
      </c>
      <c r="E1363" s="20" t="e">
        <f t="array" ref="E1363">INDEX(C:C,SMALL(IF(ISNUMBER(FIND(CELL("contents"),$C$2:$C$4852)),ROW($C$2:$C$4852),4^8),ROW(C1363)))&amp;""</f>
        <v>#N/A</v>
      </c>
    </row>
    <row r="1364" ht="14.100000000000001" customHeight="1">
      <c r="B1364" s="20" t="s">
        <v>2875</v>
      </c>
      <c r="C1364" s="20" t="s">
        <v>2876</v>
      </c>
      <c r="D1364" s="20" t="s">
        <v>2875</v>
      </c>
      <c r="E1364" s="20" t="e">
        <f t="array" ref="E1364">INDEX(C:C,SMALL(IF(ISNUMBER(FIND(CELL("contents"),$C$2:$C$4852)),ROW($C$2:$C$4852),4^8),ROW(C1364)))&amp;""</f>
        <v>#N/A</v>
      </c>
    </row>
    <row r="1365" ht="14.100000000000001" customHeight="1">
      <c r="B1365" s="20" t="s">
        <v>2877</v>
      </c>
      <c r="C1365" s="20" t="s">
        <v>2878</v>
      </c>
      <c r="D1365" s="20" t="s">
        <v>2877</v>
      </c>
      <c r="E1365" s="20" t="e">
        <f t="array" ref="E1365">INDEX(C:C,SMALL(IF(ISNUMBER(FIND(CELL("contents"),$C$2:$C$4852)),ROW($C$2:$C$4852),4^8),ROW(C1365)))&amp;""</f>
        <v>#N/A</v>
      </c>
    </row>
    <row r="1366" ht="14.100000000000001" customHeight="1">
      <c r="B1366" s="20" t="s">
        <v>2879</v>
      </c>
      <c r="C1366" s="20" t="s">
        <v>2880</v>
      </c>
      <c r="D1366" s="20" t="s">
        <v>2879</v>
      </c>
      <c r="E1366" s="20" t="e">
        <f t="array" ref="E1366">INDEX(C:C,SMALL(IF(ISNUMBER(FIND(CELL("contents"),$C$2:$C$4852)),ROW($C$2:$C$4852),4^8),ROW(C1366)))&amp;""</f>
        <v>#N/A</v>
      </c>
    </row>
    <row r="1367" ht="14.100000000000001" customHeight="1">
      <c r="B1367" s="20" t="s">
        <v>2881</v>
      </c>
      <c r="C1367" s="20" t="s">
        <v>2882</v>
      </c>
      <c r="D1367" s="20" t="s">
        <v>2881</v>
      </c>
      <c r="E1367" s="20" t="e">
        <f t="array" ref="E1367">INDEX(C:C,SMALL(IF(ISNUMBER(FIND(CELL("contents"),$C$2:$C$4852)),ROW($C$2:$C$4852),4^8),ROW(C1367)))&amp;""</f>
        <v>#N/A</v>
      </c>
    </row>
    <row r="1368" ht="14.100000000000001" customHeight="1">
      <c r="B1368" s="20" t="s">
        <v>2883</v>
      </c>
      <c r="C1368" s="20" t="s">
        <v>2884</v>
      </c>
      <c r="D1368" s="20" t="s">
        <v>2883</v>
      </c>
      <c r="E1368" s="20" t="e">
        <f t="array" ref="E1368">INDEX(C:C,SMALL(IF(ISNUMBER(FIND(CELL("contents"),$C$2:$C$4852)),ROW($C$2:$C$4852),4^8),ROW(C1368)))&amp;""</f>
        <v>#N/A</v>
      </c>
    </row>
    <row r="1369" ht="14.100000000000001" customHeight="1">
      <c r="B1369" s="20" t="s">
        <v>2885</v>
      </c>
      <c r="C1369" s="20" t="s">
        <v>2886</v>
      </c>
      <c r="D1369" s="20" t="s">
        <v>2885</v>
      </c>
      <c r="E1369" s="20" t="e">
        <f t="array" ref="E1369">INDEX(C:C,SMALL(IF(ISNUMBER(FIND(CELL("contents"),$C$2:$C$4852)),ROW($C$2:$C$4852),4^8),ROW(C1369)))&amp;""</f>
        <v>#N/A</v>
      </c>
    </row>
    <row r="1370" ht="14.100000000000001" customHeight="1">
      <c r="B1370" s="20" t="s">
        <v>2887</v>
      </c>
      <c r="C1370" s="20" t="s">
        <v>2888</v>
      </c>
      <c r="D1370" s="20" t="s">
        <v>2887</v>
      </c>
      <c r="E1370" s="20" t="e">
        <f t="array" ref="E1370">INDEX(C:C,SMALL(IF(ISNUMBER(FIND(CELL("contents"),$C$2:$C$4852)),ROW($C$2:$C$4852),4^8),ROW(C1370)))&amp;""</f>
        <v>#N/A</v>
      </c>
    </row>
    <row r="1371" ht="14.100000000000001" customHeight="1">
      <c r="B1371" s="20" t="s">
        <v>2889</v>
      </c>
      <c r="C1371" s="20" t="s">
        <v>2890</v>
      </c>
      <c r="D1371" s="20" t="s">
        <v>2889</v>
      </c>
      <c r="E1371" s="20" t="e">
        <f t="array" ref="E1371">INDEX(C:C,SMALL(IF(ISNUMBER(FIND(CELL("contents"),$C$2:$C$4852)),ROW($C$2:$C$4852),4^8),ROW(C1371)))&amp;""</f>
        <v>#N/A</v>
      </c>
    </row>
    <row r="1372" ht="14.100000000000001" customHeight="1">
      <c r="B1372" s="20" t="s">
        <v>2891</v>
      </c>
      <c r="C1372" s="20" t="s">
        <v>2892</v>
      </c>
      <c r="D1372" s="20" t="s">
        <v>2891</v>
      </c>
      <c r="E1372" s="20" t="e">
        <f t="array" ref="E1372">INDEX(C:C,SMALL(IF(ISNUMBER(FIND(CELL("contents"),$C$2:$C$4852)),ROW($C$2:$C$4852),4^8),ROW(C1372)))&amp;""</f>
        <v>#N/A</v>
      </c>
    </row>
    <row r="1373" ht="14.100000000000001" customHeight="1">
      <c r="B1373" s="20" t="s">
        <v>2893</v>
      </c>
      <c r="C1373" s="20" t="s">
        <v>2894</v>
      </c>
      <c r="D1373" s="20" t="s">
        <v>2893</v>
      </c>
      <c r="E1373" s="20" t="e">
        <f t="array" ref="E1373">INDEX(C:C,SMALL(IF(ISNUMBER(FIND(CELL("contents"),$C$2:$C$4852)),ROW($C$2:$C$4852),4^8),ROW(C1373)))&amp;""</f>
        <v>#N/A</v>
      </c>
    </row>
    <row r="1374" ht="14.100000000000001" customHeight="1">
      <c r="B1374" s="20" t="s">
        <v>2895</v>
      </c>
      <c r="C1374" s="20" t="s">
        <v>2896</v>
      </c>
      <c r="D1374" s="20" t="s">
        <v>2895</v>
      </c>
      <c r="E1374" s="20" t="e">
        <f t="array" ref="E1374">INDEX(C:C,SMALL(IF(ISNUMBER(FIND(CELL("contents"),$C$2:$C$4852)),ROW($C$2:$C$4852),4^8),ROW(C1374)))&amp;""</f>
        <v>#N/A</v>
      </c>
    </row>
    <row r="1375" ht="14.100000000000001" customHeight="1">
      <c r="B1375" s="20" t="s">
        <v>2897</v>
      </c>
      <c r="C1375" s="20" t="s">
        <v>2898</v>
      </c>
      <c r="D1375" s="20" t="s">
        <v>2897</v>
      </c>
      <c r="E1375" s="20" t="e">
        <f t="array" ref="E1375">INDEX(C:C,SMALL(IF(ISNUMBER(FIND(CELL("contents"),$C$2:$C$4852)),ROW($C$2:$C$4852),4^8),ROW(C1375)))&amp;""</f>
        <v>#N/A</v>
      </c>
    </row>
    <row r="1376" ht="14.100000000000001" customHeight="1">
      <c r="B1376" s="20" t="s">
        <v>2899</v>
      </c>
      <c r="C1376" s="20" t="s">
        <v>2900</v>
      </c>
      <c r="D1376" s="20" t="s">
        <v>2899</v>
      </c>
      <c r="E1376" s="20" t="e">
        <f t="array" ref="E1376">INDEX(C:C,SMALL(IF(ISNUMBER(FIND(CELL("contents"),$C$2:$C$4852)),ROW($C$2:$C$4852),4^8),ROW(C1376)))&amp;""</f>
        <v>#N/A</v>
      </c>
    </row>
    <row r="1377" ht="14.100000000000001" customHeight="1">
      <c r="B1377" s="20" t="s">
        <v>2901</v>
      </c>
      <c r="C1377" s="20" t="s">
        <v>2902</v>
      </c>
      <c r="D1377" s="20" t="s">
        <v>2901</v>
      </c>
      <c r="E1377" s="20" t="e">
        <f t="array" ref="E1377">INDEX(C:C,SMALL(IF(ISNUMBER(FIND(CELL("contents"),$C$2:$C$4852)),ROW($C$2:$C$4852),4^8),ROW(C1377)))&amp;""</f>
        <v>#N/A</v>
      </c>
    </row>
    <row r="1378" ht="14.100000000000001" customHeight="1">
      <c r="B1378" s="20" t="s">
        <v>2903</v>
      </c>
      <c r="C1378" s="20" t="s">
        <v>2904</v>
      </c>
      <c r="D1378" s="20" t="s">
        <v>2903</v>
      </c>
      <c r="E1378" s="20" t="e">
        <f t="array" ref="E1378">INDEX(C:C,SMALL(IF(ISNUMBER(FIND(CELL("contents"),$C$2:$C$4852)),ROW($C$2:$C$4852),4^8),ROW(C1378)))&amp;""</f>
        <v>#N/A</v>
      </c>
    </row>
    <row r="1379" ht="14.100000000000001" customHeight="1">
      <c r="B1379" s="20" t="s">
        <v>2905</v>
      </c>
      <c r="C1379" s="20" t="s">
        <v>2906</v>
      </c>
      <c r="D1379" s="20" t="s">
        <v>2905</v>
      </c>
      <c r="E1379" s="20" t="e">
        <f t="array" ref="E1379">INDEX(C:C,SMALL(IF(ISNUMBER(FIND(CELL("contents"),$C$2:$C$4852)),ROW($C$2:$C$4852),4^8),ROW(C1379)))&amp;""</f>
        <v>#N/A</v>
      </c>
    </row>
    <row r="1380" ht="14.100000000000001" customHeight="1">
      <c r="B1380" s="20" t="s">
        <v>2907</v>
      </c>
      <c r="C1380" s="20" t="s">
        <v>2908</v>
      </c>
      <c r="D1380" s="20" t="s">
        <v>2907</v>
      </c>
      <c r="E1380" s="20" t="e">
        <f t="array" ref="E1380">INDEX(C:C,SMALL(IF(ISNUMBER(FIND(CELL("contents"),$C$2:$C$4852)),ROW($C$2:$C$4852),4^8),ROW(C1380)))&amp;""</f>
        <v>#N/A</v>
      </c>
    </row>
    <row r="1381" ht="14.100000000000001" customHeight="1">
      <c r="B1381" s="20" t="s">
        <v>2909</v>
      </c>
      <c r="C1381" s="20" t="s">
        <v>2910</v>
      </c>
      <c r="D1381" s="20" t="s">
        <v>2909</v>
      </c>
      <c r="E1381" s="20" t="e">
        <f t="array" ref="E1381">INDEX(C:C,SMALL(IF(ISNUMBER(FIND(CELL("contents"),$C$2:$C$4852)),ROW($C$2:$C$4852),4^8),ROW(C1381)))&amp;""</f>
        <v>#N/A</v>
      </c>
    </row>
    <row r="1382" ht="14.100000000000001" customHeight="1">
      <c r="B1382" s="20" t="s">
        <v>2911</v>
      </c>
      <c r="C1382" s="20" t="s">
        <v>2912</v>
      </c>
      <c r="D1382" s="20" t="s">
        <v>2911</v>
      </c>
      <c r="E1382" s="20" t="e">
        <f t="array" ref="E1382">INDEX(C:C,SMALL(IF(ISNUMBER(FIND(CELL("contents"),$C$2:$C$4852)),ROW($C$2:$C$4852),4^8),ROW(C1382)))&amp;""</f>
        <v>#N/A</v>
      </c>
    </row>
    <row r="1383" ht="14.100000000000001" customHeight="1">
      <c r="B1383" s="20" t="s">
        <v>2913</v>
      </c>
      <c r="C1383" s="20" t="s">
        <v>2914</v>
      </c>
      <c r="D1383" s="20" t="s">
        <v>2913</v>
      </c>
      <c r="E1383" s="20" t="e">
        <f t="array" ref="E1383">INDEX(C:C,SMALL(IF(ISNUMBER(FIND(CELL("contents"),$C$2:$C$4852)),ROW($C$2:$C$4852),4^8),ROW(C1383)))&amp;""</f>
        <v>#N/A</v>
      </c>
    </row>
    <row r="1384" ht="14.100000000000001" customHeight="1">
      <c r="B1384" s="20" t="s">
        <v>2915</v>
      </c>
      <c r="C1384" s="20" t="s">
        <v>2916</v>
      </c>
      <c r="D1384" s="20" t="s">
        <v>2915</v>
      </c>
      <c r="E1384" s="20" t="e">
        <f t="array" ref="E1384">INDEX(C:C,SMALL(IF(ISNUMBER(FIND(CELL("contents"),$C$2:$C$4852)),ROW($C$2:$C$4852),4^8),ROW(C1384)))&amp;""</f>
        <v>#N/A</v>
      </c>
    </row>
    <row r="1385" ht="14.100000000000001" customHeight="1">
      <c r="B1385" s="20" t="s">
        <v>2917</v>
      </c>
      <c r="C1385" s="20" t="s">
        <v>2918</v>
      </c>
      <c r="D1385" s="20" t="s">
        <v>2917</v>
      </c>
      <c r="E1385" s="20" t="e">
        <f t="array" ref="E1385">INDEX(C:C,SMALL(IF(ISNUMBER(FIND(CELL("contents"),$C$2:$C$4852)),ROW($C$2:$C$4852),4^8),ROW(C1385)))&amp;""</f>
        <v>#N/A</v>
      </c>
    </row>
    <row r="1386" ht="14.100000000000001" customHeight="1">
      <c r="B1386" s="20" t="s">
        <v>2919</v>
      </c>
      <c r="C1386" s="20" t="s">
        <v>2920</v>
      </c>
      <c r="D1386" s="20" t="s">
        <v>2919</v>
      </c>
      <c r="E1386" s="20" t="e">
        <f t="array" ref="E1386">INDEX(C:C,SMALL(IF(ISNUMBER(FIND(CELL("contents"),$C$2:$C$4852)),ROW($C$2:$C$4852),4^8),ROW(C1386)))&amp;""</f>
        <v>#N/A</v>
      </c>
    </row>
    <row r="1387" ht="14.100000000000001" customHeight="1">
      <c r="B1387" s="20" t="s">
        <v>2921</v>
      </c>
      <c r="C1387" s="20" t="s">
        <v>2922</v>
      </c>
      <c r="D1387" s="20" t="s">
        <v>2921</v>
      </c>
      <c r="E1387" s="20" t="e">
        <f t="array" ref="E1387">INDEX(C:C,SMALL(IF(ISNUMBER(FIND(CELL("contents"),$C$2:$C$4852)),ROW($C$2:$C$4852),4^8),ROW(C1387)))&amp;""</f>
        <v>#N/A</v>
      </c>
    </row>
    <row r="1388" ht="14.100000000000001" customHeight="1">
      <c r="B1388" s="20" t="s">
        <v>2923</v>
      </c>
      <c r="C1388" s="20" t="s">
        <v>2924</v>
      </c>
      <c r="D1388" s="20" t="s">
        <v>2923</v>
      </c>
      <c r="E1388" s="20" t="e">
        <f t="array" ref="E1388">INDEX(C:C,SMALL(IF(ISNUMBER(FIND(CELL("contents"),$C$2:$C$4852)),ROW($C$2:$C$4852),4^8),ROW(C1388)))&amp;""</f>
        <v>#N/A</v>
      </c>
    </row>
    <row r="1389" ht="14.100000000000001" customHeight="1">
      <c r="B1389" s="20" t="s">
        <v>2925</v>
      </c>
      <c r="C1389" s="20" t="s">
        <v>2926</v>
      </c>
      <c r="D1389" s="20" t="s">
        <v>2925</v>
      </c>
      <c r="E1389" s="20" t="e">
        <f t="array" ref="E1389">INDEX(C:C,SMALL(IF(ISNUMBER(FIND(CELL("contents"),$C$2:$C$4852)),ROW($C$2:$C$4852),4^8),ROW(C1389)))&amp;""</f>
        <v>#N/A</v>
      </c>
    </row>
    <row r="1390" ht="14.100000000000001" customHeight="1">
      <c r="B1390" s="20" t="s">
        <v>2927</v>
      </c>
      <c r="C1390" s="20" t="s">
        <v>2928</v>
      </c>
      <c r="D1390" s="20" t="s">
        <v>2927</v>
      </c>
      <c r="E1390" s="20" t="e">
        <f t="array" ref="E1390">INDEX(C:C,SMALL(IF(ISNUMBER(FIND(CELL("contents"),$C$2:$C$4852)),ROW($C$2:$C$4852),4^8),ROW(C1390)))&amp;""</f>
        <v>#N/A</v>
      </c>
    </row>
    <row r="1391" ht="14.100000000000001" customHeight="1">
      <c r="B1391" s="20" t="s">
        <v>2929</v>
      </c>
      <c r="C1391" s="20" t="s">
        <v>2930</v>
      </c>
      <c r="D1391" s="20" t="s">
        <v>2929</v>
      </c>
      <c r="E1391" s="20" t="e">
        <f t="array" ref="E1391">INDEX(C:C,SMALL(IF(ISNUMBER(FIND(CELL("contents"),$C$2:$C$4852)),ROW($C$2:$C$4852),4^8),ROW(C1391)))&amp;""</f>
        <v>#N/A</v>
      </c>
    </row>
    <row r="1392" ht="14.100000000000001" customHeight="1">
      <c r="B1392" s="20" t="s">
        <v>2931</v>
      </c>
      <c r="C1392" s="20" t="s">
        <v>2932</v>
      </c>
      <c r="D1392" s="20" t="s">
        <v>2931</v>
      </c>
      <c r="E1392" s="20" t="e">
        <f t="array" ref="E1392">INDEX(C:C,SMALL(IF(ISNUMBER(FIND(CELL("contents"),$C$2:$C$4852)),ROW($C$2:$C$4852),4^8),ROW(C1392)))&amp;""</f>
        <v>#N/A</v>
      </c>
    </row>
    <row r="1393" ht="14.100000000000001" customHeight="1">
      <c r="B1393" s="20" t="s">
        <v>2933</v>
      </c>
      <c r="C1393" s="20" t="s">
        <v>2934</v>
      </c>
      <c r="D1393" s="20" t="s">
        <v>2933</v>
      </c>
      <c r="E1393" s="20" t="e">
        <f t="array" ref="E1393">INDEX(C:C,SMALL(IF(ISNUMBER(FIND(CELL("contents"),$C$2:$C$4852)),ROW($C$2:$C$4852),4^8),ROW(C1393)))&amp;""</f>
        <v>#N/A</v>
      </c>
    </row>
    <row r="1394" ht="14.100000000000001" customHeight="1">
      <c r="B1394" s="20" t="s">
        <v>2935</v>
      </c>
      <c r="C1394" s="20" t="s">
        <v>2936</v>
      </c>
      <c r="D1394" s="20" t="s">
        <v>2935</v>
      </c>
      <c r="E1394" s="20" t="e">
        <f t="array" ref="E1394">INDEX(C:C,SMALL(IF(ISNUMBER(FIND(CELL("contents"),$C$2:$C$4852)),ROW($C$2:$C$4852),4^8),ROW(C1394)))&amp;""</f>
        <v>#N/A</v>
      </c>
    </row>
    <row r="1395" ht="14.100000000000001" customHeight="1">
      <c r="B1395" s="20" t="s">
        <v>2937</v>
      </c>
      <c r="C1395" s="20" t="s">
        <v>2938</v>
      </c>
      <c r="D1395" s="20" t="s">
        <v>2937</v>
      </c>
      <c r="E1395" s="20" t="e">
        <f t="array" ref="E1395">INDEX(C:C,SMALL(IF(ISNUMBER(FIND(CELL("contents"),$C$2:$C$4852)),ROW($C$2:$C$4852),4^8),ROW(C1395)))&amp;""</f>
        <v>#N/A</v>
      </c>
    </row>
    <row r="1396" ht="14.100000000000001" customHeight="1">
      <c r="B1396" s="20" t="s">
        <v>2939</v>
      </c>
      <c r="C1396" s="20" t="s">
        <v>2940</v>
      </c>
      <c r="D1396" s="20" t="s">
        <v>2939</v>
      </c>
      <c r="E1396" s="20" t="e">
        <f t="array" ref="E1396">INDEX(C:C,SMALL(IF(ISNUMBER(FIND(CELL("contents"),$C$2:$C$4852)),ROW($C$2:$C$4852),4^8),ROW(C1396)))&amp;""</f>
        <v>#N/A</v>
      </c>
    </row>
    <row r="1397" ht="14.100000000000001" customHeight="1">
      <c r="B1397" s="20" t="s">
        <v>2941</v>
      </c>
      <c r="C1397" s="20" t="s">
        <v>2942</v>
      </c>
      <c r="D1397" s="20" t="s">
        <v>2941</v>
      </c>
      <c r="E1397" s="20" t="e">
        <f t="array" ref="E1397">INDEX(C:C,SMALL(IF(ISNUMBER(FIND(CELL("contents"),$C$2:$C$4852)),ROW($C$2:$C$4852),4^8),ROW(C1397)))&amp;""</f>
        <v>#N/A</v>
      </c>
    </row>
    <row r="1398" ht="14.100000000000001" customHeight="1">
      <c r="B1398" s="20" t="s">
        <v>2943</v>
      </c>
      <c r="C1398" s="20" t="s">
        <v>2944</v>
      </c>
      <c r="D1398" s="20" t="s">
        <v>2943</v>
      </c>
      <c r="E1398" s="20" t="e">
        <f t="array" ref="E1398">INDEX(C:C,SMALL(IF(ISNUMBER(FIND(CELL("contents"),$C$2:$C$4852)),ROW($C$2:$C$4852),4^8),ROW(C1398)))&amp;""</f>
        <v>#N/A</v>
      </c>
    </row>
    <row r="1399" ht="14.100000000000001" customHeight="1">
      <c r="B1399" s="20" t="s">
        <v>2945</v>
      </c>
      <c r="C1399" s="20" t="s">
        <v>2946</v>
      </c>
      <c r="D1399" s="20" t="s">
        <v>2945</v>
      </c>
      <c r="E1399" s="20" t="e">
        <f t="array" ref="E1399">INDEX(C:C,SMALL(IF(ISNUMBER(FIND(CELL("contents"),$C$2:$C$4852)),ROW($C$2:$C$4852),4^8),ROW(C1399)))&amp;""</f>
        <v>#N/A</v>
      </c>
    </row>
    <row r="1400" ht="14.100000000000001" customHeight="1">
      <c r="B1400" s="20" t="s">
        <v>2947</v>
      </c>
      <c r="C1400" s="20" t="s">
        <v>2948</v>
      </c>
      <c r="D1400" s="20" t="s">
        <v>2947</v>
      </c>
      <c r="E1400" s="20" t="e">
        <f t="array" ref="E1400">INDEX(C:C,SMALL(IF(ISNUMBER(FIND(CELL("contents"),$C$2:$C$4852)),ROW($C$2:$C$4852),4^8),ROW(C1400)))&amp;""</f>
        <v>#N/A</v>
      </c>
    </row>
    <row r="1401" ht="14.100000000000001" customHeight="1">
      <c r="B1401" s="20" t="s">
        <v>2949</v>
      </c>
      <c r="C1401" s="20" t="s">
        <v>2950</v>
      </c>
      <c r="D1401" s="20" t="s">
        <v>2949</v>
      </c>
      <c r="E1401" s="20" t="e">
        <f t="array" ref="E1401">INDEX(C:C,SMALL(IF(ISNUMBER(FIND(CELL("contents"),$C$2:$C$4852)),ROW($C$2:$C$4852),4^8),ROW(C1401)))&amp;""</f>
        <v>#N/A</v>
      </c>
    </row>
    <row r="1402" ht="14.100000000000001" customHeight="1">
      <c r="B1402" s="20" t="s">
        <v>2951</v>
      </c>
      <c r="C1402" s="20" t="s">
        <v>2952</v>
      </c>
      <c r="D1402" s="20" t="s">
        <v>2951</v>
      </c>
      <c r="E1402" s="20" t="e">
        <f t="array" ref="E1402">INDEX(C:C,SMALL(IF(ISNUMBER(FIND(CELL("contents"),$C$2:$C$4852)),ROW($C$2:$C$4852),4^8),ROW(C1402)))&amp;""</f>
        <v>#N/A</v>
      </c>
    </row>
    <row r="1403" ht="14.100000000000001" customHeight="1">
      <c r="B1403" s="20" t="s">
        <v>2953</v>
      </c>
      <c r="C1403" s="20" t="s">
        <v>2954</v>
      </c>
      <c r="D1403" s="20" t="s">
        <v>2953</v>
      </c>
      <c r="E1403" s="20" t="e">
        <f t="array" ref="E1403">INDEX(C:C,SMALL(IF(ISNUMBER(FIND(CELL("contents"),$C$2:$C$4852)),ROW($C$2:$C$4852),4^8),ROW(C1403)))&amp;""</f>
        <v>#N/A</v>
      </c>
    </row>
    <row r="1404" ht="14.100000000000001" customHeight="1">
      <c r="B1404" s="20" t="s">
        <v>2955</v>
      </c>
      <c r="C1404" s="20" t="s">
        <v>2956</v>
      </c>
      <c r="D1404" s="20" t="s">
        <v>2955</v>
      </c>
      <c r="E1404" s="20" t="e">
        <f t="array" ref="E1404">INDEX(C:C,SMALL(IF(ISNUMBER(FIND(CELL("contents"),$C$2:$C$4852)),ROW($C$2:$C$4852),4^8),ROW(C1404)))&amp;""</f>
        <v>#N/A</v>
      </c>
    </row>
    <row r="1405" ht="14.100000000000001" customHeight="1">
      <c r="B1405" s="20" t="s">
        <v>2957</v>
      </c>
      <c r="C1405" s="20" t="s">
        <v>2958</v>
      </c>
      <c r="D1405" s="20" t="s">
        <v>2957</v>
      </c>
      <c r="E1405" s="20" t="e">
        <f t="array" ref="E1405">INDEX(C:C,SMALL(IF(ISNUMBER(FIND(CELL("contents"),$C$2:$C$4852)),ROW($C$2:$C$4852),4^8),ROW(C1405)))&amp;""</f>
        <v>#N/A</v>
      </c>
    </row>
    <row r="1406" ht="14.100000000000001" customHeight="1">
      <c r="B1406" s="20" t="s">
        <v>2959</v>
      </c>
      <c r="C1406" s="20" t="s">
        <v>2960</v>
      </c>
      <c r="D1406" s="20" t="s">
        <v>2959</v>
      </c>
      <c r="E1406" s="20" t="e">
        <f t="array" ref="E1406">INDEX(C:C,SMALL(IF(ISNUMBER(FIND(CELL("contents"),$C$2:$C$4852)),ROW($C$2:$C$4852),4^8),ROW(C1406)))&amp;""</f>
        <v>#N/A</v>
      </c>
    </row>
    <row r="1407" ht="14.100000000000001" customHeight="1">
      <c r="B1407" s="20" t="s">
        <v>2961</v>
      </c>
      <c r="C1407" s="20" t="s">
        <v>2962</v>
      </c>
      <c r="D1407" s="20" t="s">
        <v>2961</v>
      </c>
      <c r="E1407" s="20" t="e">
        <f t="array" ref="E1407">INDEX(C:C,SMALL(IF(ISNUMBER(FIND(CELL("contents"),$C$2:$C$4852)),ROW($C$2:$C$4852),4^8),ROW(C1407)))&amp;""</f>
        <v>#N/A</v>
      </c>
    </row>
    <row r="1408" ht="14.100000000000001" customHeight="1">
      <c r="B1408" s="20" t="s">
        <v>2963</v>
      </c>
      <c r="C1408" s="20" t="s">
        <v>2964</v>
      </c>
      <c r="D1408" s="20" t="s">
        <v>2963</v>
      </c>
      <c r="E1408" s="20" t="e">
        <f t="array" ref="E1408">INDEX(C:C,SMALL(IF(ISNUMBER(FIND(CELL("contents"),$C$2:$C$4852)),ROW($C$2:$C$4852),4^8),ROW(C1408)))&amp;""</f>
        <v>#N/A</v>
      </c>
    </row>
    <row r="1409" ht="14.100000000000001" customHeight="1">
      <c r="B1409" s="20" t="s">
        <v>2965</v>
      </c>
      <c r="C1409" s="20" t="s">
        <v>2966</v>
      </c>
      <c r="D1409" s="20" t="s">
        <v>2965</v>
      </c>
      <c r="E1409" s="20" t="e">
        <f t="array" ref="E1409">INDEX(C:C,SMALL(IF(ISNUMBER(FIND(CELL("contents"),$C$2:$C$4852)),ROW($C$2:$C$4852),4^8),ROW(C1409)))&amp;""</f>
        <v>#N/A</v>
      </c>
    </row>
    <row r="1410" ht="14.100000000000001" customHeight="1">
      <c r="B1410" s="20" t="s">
        <v>2967</v>
      </c>
      <c r="C1410" s="20" t="s">
        <v>2968</v>
      </c>
      <c r="D1410" s="20" t="s">
        <v>2967</v>
      </c>
      <c r="E1410" s="20" t="e">
        <f t="array" ref="E1410">INDEX(C:C,SMALL(IF(ISNUMBER(FIND(CELL("contents"),$C$2:$C$4852)),ROW($C$2:$C$4852),4^8),ROW(C1410)))&amp;""</f>
        <v>#N/A</v>
      </c>
    </row>
    <row r="1411" ht="14.100000000000001" customHeight="1">
      <c r="B1411" s="20" t="s">
        <v>2969</v>
      </c>
      <c r="C1411" s="20" t="s">
        <v>2970</v>
      </c>
      <c r="D1411" s="20" t="s">
        <v>2969</v>
      </c>
      <c r="E1411" s="20" t="e">
        <f t="array" ref="E1411">INDEX(C:C,SMALL(IF(ISNUMBER(FIND(CELL("contents"),$C$2:$C$4852)),ROW($C$2:$C$4852),4^8),ROW(C1411)))&amp;""</f>
        <v>#N/A</v>
      </c>
    </row>
    <row r="1412" ht="14.100000000000001" customHeight="1">
      <c r="B1412" s="20" t="s">
        <v>2971</v>
      </c>
      <c r="C1412" s="20" t="s">
        <v>2972</v>
      </c>
      <c r="D1412" s="20" t="s">
        <v>2971</v>
      </c>
      <c r="E1412" s="20" t="e">
        <f t="array" ref="E1412">INDEX(C:C,SMALL(IF(ISNUMBER(FIND(CELL("contents"),$C$2:$C$4852)),ROW($C$2:$C$4852),4^8),ROW(C1412)))&amp;""</f>
        <v>#N/A</v>
      </c>
    </row>
    <row r="1413" ht="14.100000000000001" customHeight="1">
      <c r="B1413" s="20" t="s">
        <v>2973</v>
      </c>
      <c r="C1413" s="20" t="s">
        <v>2974</v>
      </c>
      <c r="D1413" s="20" t="s">
        <v>2973</v>
      </c>
      <c r="E1413" s="20" t="e">
        <f t="array" ref="E1413">INDEX(C:C,SMALL(IF(ISNUMBER(FIND(CELL("contents"),$C$2:$C$4852)),ROW($C$2:$C$4852),4^8),ROW(C1413)))&amp;""</f>
        <v>#N/A</v>
      </c>
    </row>
    <row r="1414" ht="14.100000000000001" customHeight="1">
      <c r="B1414" s="20" t="s">
        <v>2975</v>
      </c>
      <c r="C1414" s="20" t="s">
        <v>2976</v>
      </c>
      <c r="D1414" s="20" t="s">
        <v>2975</v>
      </c>
      <c r="E1414" s="20" t="e">
        <f t="array" ref="E1414">INDEX(C:C,SMALL(IF(ISNUMBER(FIND(CELL("contents"),$C$2:$C$4852)),ROW($C$2:$C$4852),4^8),ROW(C1414)))&amp;""</f>
        <v>#N/A</v>
      </c>
    </row>
    <row r="1415" ht="14.100000000000001" customHeight="1">
      <c r="B1415" s="20" t="s">
        <v>2977</v>
      </c>
      <c r="C1415" s="20" t="s">
        <v>2978</v>
      </c>
      <c r="D1415" s="20" t="s">
        <v>2977</v>
      </c>
      <c r="E1415" s="20" t="e">
        <f t="array" ref="E1415">INDEX(C:C,SMALL(IF(ISNUMBER(FIND(CELL("contents"),$C$2:$C$4852)),ROW($C$2:$C$4852),4^8),ROW(C1415)))&amp;""</f>
        <v>#N/A</v>
      </c>
    </row>
    <row r="1416" ht="14.100000000000001" customHeight="1">
      <c r="B1416" s="20" t="s">
        <v>2979</v>
      </c>
      <c r="C1416" s="20" t="s">
        <v>2980</v>
      </c>
      <c r="D1416" s="20" t="s">
        <v>2979</v>
      </c>
      <c r="E1416" s="20" t="e">
        <f t="array" ref="E1416">INDEX(C:C,SMALL(IF(ISNUMBER(FIND(CELL("contents"),$C$2:$C$4852)),ROW($C$2:$C$4852),4^8),ROW(C1416)))&amp;""</f>
        <v>#N/A</v>
      </c>
    </row>
    <row r="1417" ht="14.100000000000001" customHeight="1">
      <c r="B1417" s="20" t="s">
        <v>2981</v>
      </c>
      <c r="C1417" s="20" t="s">
        <v>2982</v>
      </c>
      <c r="D1417" s="20" t="s">
        <v>2981</v>
      </c>
      <c r="E1417" s="20" t="e">
        <f t="array" ref="E1417">INDEX(C:C,SMALL(IF(ISNUMBER(FIND(CELL("contents"),$C$2:$C$4852)),ROW($C$2:$C$4852),4^8),ROW(C1417)))&amp;""</f>
        <v>#N/A</v>
      </c>
    </row>
    <row r="1418" ht="14.100000000000001" customHeight="1">
      <c r="B1418" s="20" t="s">
        <v>2983</v>
      </c>
      <c r="C1418" s="20" t="s">
        <v>2984</v>
      </c>
      <c r="D1418" s="20" t="s">
        <v>2983</v>
      </c>
      <c r="E1418" s="20" t="e">
        <f t="array" ref="E1418">INDEX(C:C,SMALL(IF(ISNUMBER(FIND(CELL("contents"),$C$2:$C$4852)),ROW($C$2:$C$4852),4^8),ROW(C1418)))&amp;""</f>
        <v>#N/A</v>
      </c>
    </row>
    <row r="1419" ht="14.100000000000001" customHeight="1">
      <c r="B1419" s="20" t="s">
        <v>2985</v>
      </c>
      <c r="C1419" s="20" t="s">
        <v>2986</v>
      </c>
      <c r="D1419" s="20" t="s">
        <v>2985</v>
      </c>
      <c r="E1419" s="20" t="e">
        <f t="array" ref="E1419">INDEX(C:C,SMALL(IF(ISNUMBER(FIND(CELL("contents"),$C$2:$C$4852)),ROW($C$2:$C$4852),4^8),ROW(C1419)))&amp;""</f>
        <v>#N/A</v>
      </c>
    </row>
    <row r="1420" ht="14.100000000000001" customHeight="1">
      <c r="B1420" s="20" t="s">
        <v>2987</v>
      </c>
      <c r="C1420" s="20" t="s">
        <v>2988</v>
      </c>
      <c r="D1420" s="20" t="s">
        <v>2987</v>
      </c>
      <c r="E1420" s="20" t="e">
        <f t="array" ref="E1420">INDEX(C:C,SMALL(IF(ISNUMBER(FIND(CELL("contents"),$C$2:$C$4852)),ROW($C$2:$C$4852),4^8),ROW(C1420)))&amp;""</f>
        <v>#N/A</v>
      </c>
    </row>
    <row r="1421" ht="14.100000000000001" customHeight="1">
      <c r="B1421" s="20" t="s">
        <v>2989</v>
      </c>
      <c r="C1421" s="20" t="s">
        <v>2990</v>
      </c>
      <c r="D1421" s="20" t="s">
        <v>2989</v>
      </c>
      <c r="E1421" s="20" t="e">
        <f t="array" ref="E1421">INDEX(C:C,SMALL(IF(ISNUMBER(FIND(CELL("contents"),$C$2:$C$4852)),ROW($C$2:$C$4852),4^8),ROW(C1421)))&amp;""</f>
        <v>#N/A</v>
      </c>
    </row>
    <row r="1422" ht="14.100000000000001" customHeight="1">
      <c r="B1422" s="20" t="s">
        <v>2991</v>
      </c>
      <c r="C1422" s="20" t="s">
        <v>2992</v>
      </c>
      <c r="D1422" s="20" t="s">
        <v>2991</v>
      </c>
      <c r="E1422" s="20" t="e">
        <f t="array" ref="E1422">INDEX(C:C,SMALL(IF(ISNUMBER(FIND(CELL("contents"),$C$2:$C$4852)),ROW($C$2:$C$4852),4^8),ROW(C1422)))&amp;""</f>
        <v>#N/A</v>
      </c>
    </row>
    <row r="1423" ht="14.100000000000001" customHeight="1">
      <c r="B1423" s="20" t="s">
        <v>2993</v>
      </c>
      <c r="C1423" s="20" t="s">
        <v>2994</v>
      </c>
      <c r="D1423" s="20" t="s">
        <v>2993</v>
      </c>
      <c r="E1423" s="20" t="e">
        <f t="array" ref="E1423">INDEX(C:C,SMALL(IF(ISNUMBER(FIND(CELL("contents"),$C$2:$C$4852)),ROW($C$2:$C$4852),4^8),ROW(C1423)))&amp;""</f>
        <v>#N/A</v>
      </c>
    </row>
    <row r="1424" ht="14.100000000000001" customHeight="1">
      <c r="B1424" s="20" t="s">
        <v>2995</v>
      </c>
      <c r="C1424" s="20" t="s">
        <v>2996</v>
      </c>
      <c r="D1424" s="20" t="s">
        <v>2995</v>
      </c>
      <c r="E1424" s="20" t="e">
        <f t="array" ref="E1424">INDEX(C:C,SMALL(IF(ISNUMBER(FIND(CELL("contents"),$C$2:$C$4852)),ROW($C$2:$C$4852),4^8),ROW(C1424)))&amp;""</f>
        <v>#N/A</v>
      </c>
    </row>
    <row r="1425" ht="14.100000000000001" customHeight="1">
      <c r="B1425" s="20" t="s">
        <v>2997</v>
      </c>
      <c r="C1425" s="20" t="s">
        <v>2998</v>
      </c>
      <c r="D1425" s="20" t="s">
        <v>2997</v>
      </c>
      <c r="E1425" s="20" t="e">
        <f t="array" ref="E1425">INDEX(C:C,SMALL(IF(ISNUMBER(FIND(CELL("contents"),$C$2:$C$4852)),ROW($C$2:$C$4852),4^8),ROW(C1425)))&amp;""</f>
        <v>#N/A</v>
      </c>
    </row>
    <row r="1426" ht="14.100000000000001" customHeight="1">
      <c r="B1426" s="20" t="s">
        <v>2999</v>
      </c>
      <c r="C1426" s="20" t="s">
        <v>3000</v>
      </c>
      <c r="D1426" s="20" t="s">
        <v>2999</v>
      </c>
      <c r="E1426" s="20" t="e">
        <f t="array" ref="E1426">INDEX(C:C,SMALL(IF(ISNUMBER(FIND(CELL("contents"),$C$2:$C$4852)),ROW($C$2:$C$4852),4^8),ROW(C1426)))&amp;""</f>
        <v>#N/A</v>
      </c>
    </row>
    <row r="1427" ht="14.100000000000001" customHeight="1">
      <c r="B1427" s="20" t="s">
        <v>3001</v>
      </c>
      <c r="C1427" s="20" t="s">
        <v>3002</v>
      </c>
      <c r="D1427" s="20" t="s">
        <v>3001</v>
      </c>
      <c r="E1427" s="20" t="e">
        <f t="array" ref="E1427">INDEX(C:C,SMALL(IF(ISNUMBER(FIND(CELL("contents"),$C$2:$C$4852)),ROW($C$2:$C$4852),4^8),ROW(C1427)))&amp;""</f>
        <v>#N/A</v>
      </c>
    </row>
    <row r="1428" ht="14.100000000000001" customHeight="1">
      <c r="B1428" s="20" t="s">
        <v>3003</v>
      </c>
      <c r="C1428" s="20" t="s">
        <v>3004</v>
      </c>
      <c r="D1428" s="20" t="s">
        <v>3003</v>
      </c>
      <c r="E1428" s="20" t="e">
        <f t="array" ref="E1428">INDEX(C:C,SMALL(IF(ISNUMBER(FIND(CELL("contents"),$C$2:$C$4852)),ROW($C$2:$C$4852),4^8),ROW(C1428)))&amp;""</f>
        <v>#N/A</v>
      </c>
    </row>
    <row r="1429" ht="14.100000000000001" customHeight="1">
      <c r="B1429" s="20" t="s">
        <v>3005</v>
      </c>
      <c r="C1429" s="20" t="s">
        <v>3006</v>
      </c>
      <c r="D1429" s="20" t="s">
        <v>3005</v>
      </c>
      <c r="E1429" s="20" t="e">
        <f t="array" ref="E1429">INDEX(C:C,SMALL(IF(ISNUMBER(FIND(CELL("contents"),$C$2:$C$4852)),ROW($C$2:$C$4852),4^8),ROW(C1429)))&amp;""</f>
        <v>#N/A</v>
      </c>
    </row>
    <row r="1430" ht="14.100000000000001" customHeight="1">
      <c r="B1430" s="20" t="s">
        <v>3007</v>
      </c>
      <c r="C1430" s="20" t="s">
        <v>3008</v>
      </c>
      <c r="D1430" s="20" t="s">
        <v>3007</v>
      </c>
      <c r="E1430" s="20" t="e">
        <f t="array" ref="E1430">INDEX(C:C,SMALL(IF(ISNUMBER(FIND(CELL("contents"),$C$2:$C$4852)),ROW($C$2:$C$4852),4^8),ROW(C1430)))&amp;""</f>
        <v>#N/A</v>
      </c>
    </row>
    <row r="1431" ht="14.100000000000001" customHeight="1">
      <c r="B1431" s="20" t="s">
        <v>3009</v>
      </c>
      <c r="C1431" s="20" t="s">
        <v>3010</v>
      </c>
      <c r="D1431" s="20" t="s">
        <v>3009</v>
      </c>
      <c r="E1431" s="20" t="e">
        <f t="array" ref="E1431">INDEX(C:C,SMALL(IF(ISNUMBER(FIND(CELL("contents"),$C$2:$C$4852)),ROW($C$2:$C$4852),4^8),ROW(C1431)))&amp;""</f>
        <v>#N/A</v>
      </c>
    </row>
    <row r="1432" ht="14.100000000000001" customHeight="1">
      <c r="B1432" s="20" t="s">
        <v>3011</v>
      </c>
      <c r="C1432" s="20" t="s">
        <v>3012</v>
      </c>
      <c r="D1432" s="20" t="s">
        <v>3011</v>
      </c>
      <c r="E1432" s="20" t="e">
        <f t="array" ref="E1432">INDEX(C:C,SMALL(IF(ISNUMBER(FIND(CELL("contents"),$C$2:$C$4852)),ROW($C$2:$C$4852),4^8),ROW(C1432)))&amp;""</f>
        <v>#N/A</v>
      </c>
    </row>
    <row r="1433" ht="14.100000000000001" customHeight="1">
      <c r="B1433" s="20" t="s">
        <v>3013</v>
      </c>
      <c r="C1433" s="20" t="s">
        <v>3014</v>
      </c>
      <c r="D1433" s="20" t="s">
        <v>3013</v>
      </c>
      <c r="E1433" s="20" t="e">
        <f t="array" ref="E1433">INDEX(C:C,SMALL(IF(ISNUMBER(FIND(CELL("contents"),$C$2:$C$4852)),ROW($C$2:$C$4852),4^8),ROW(C1433)))&amp;""</f>
        <v>#N/A</v>
      </c>
    </row>
    <row r="1434" ht="14.100000000000001" customHeight="1">
      <c r="B1434" s="20" t="s">
        <v>3015</v>
      </c>
      <c r="C1434" s="20" t="s">
        <v>3016</v>
      </c>
      <c r="D1434" s="20" t="s">
        <v>3015</v>
      </c>
      <c r="E1434" s="20" t="e">
        <f t="array" ref="E1434">INDEX(C:C,SMALL(IF(ISNUMBER(FIND(CELL("contents"),$C$2:$C$4852)),ROW($C$2:$C$4852),4^8),ROW(C1434)))&amp;""</f>
        <v>#N/A</v>
      </c>
    </row>
    <row r="1435" ht="14.100000000000001" customHeight="1">
      <c r="B1435" s="20" t="s">
        <v>3017</v>
      </c>
      <c r="C1435" s="20" t="s">
        <v>3018</v>
      </c>
      <c r="D1435" s="20" t="s">
        <v>3017</v>
      </c>
      <c r="E1435" s="20" t="e">
        <f t="array" ref="E1435">INDEX(C:C,SMALL(IF(ISNUMBER(FIND(CELL("contents"),$C$2:$C$4852)),ROW($C$2:$C$4852),4^8),ROW(C1435)))&amp;""</f>
        <v>#N/A</v>
      </c>
    </row>
    <row r="1436" ht="14.100000000000001" customHeight="1">
      <c r="B1436" s="20" t="s">
        <v>3019</v>
      </c>
      <c r="C1436" s="20" t="s">
        <v>3020</v>
      </c>
      <c r="D1436" s="20" t="s">
        <v>3019</v>
      </c>
      <c r="E1436" s="20" t="e">
        <f t="array" ref="E1436">INDEX(C:C,SMALL(IF(ISNUMBER(FIND(CELL("contents"),$C$2:$C$4852)),ROW($C$2:$C$4852),4^8),ROW(C1436)))&amp;""</f>
        <v>#N/A</v>
      </c>
    </row>
    <row r="1437" ht="14.100000000000001" customHeight="1">
      <c r="B1437" s="20" t="s">
        <v>3021</v>
      </c>
      <c r="C1437" s="20" t="s">
        <v>3022</v>
      </c>
      <c r="D1437" s="20" t="s">
        <v>3021</v>
      </c>
      <c r="E1437" s="20" t="e">
        <f t="array" ref="E1437">INDEX(C:C,SMALL(IF(ISNUMBER(FIND(CELL("contents"),$C$2:$C$4852)),ROW($C$2:$C$4852),4^8),ROW(C1437)))&amp;""</f>
        <v>#N/A</v>
      </c>
    </row>
    <row r="1438" ht="14.100000000000001" customHeight="1">
      <c r="B1438" s="20" t="s">
        <v>3023</v>
      </c>
      <c r="C1438" s="20" t="s">
        <v>3024</v>
      </c>
      <c r="D1438" s="20" t="s">
        <v>3023</v>
      </c>
      <c r="E1438" s="20" t="e">
        <f t="array" ref="E1438">INDEX(C:C,SMALL(IF(ISNUMBER(FIND(CELL("contents"),$C$2:$C$4852)),ROW($C$2:$C$4852),4^8),ROW(C1438)))&amp;""</f>
        <v>#N/A</v>
      </c>
    </row>
    <row r="1439" ht="14.100000000000001" customHeight="1">
      <c r="B1439" s="20" t="s">
        <v>3025</v>
      </c>
      <c r="C1439" s="20" t="s">
        <v>3026</v>
      </c>
      <c r="D1439" s="20" t="s">
        <v>3025</v>
      </c>
      <c r="E1439" s="20" t="e">
        <f t="array" ref="E1439">INDEX(C:C,SMALL(IF(ISNUMBER(FIND(CELL("contents"),$C$2:$C$4852)),ROW($C$2:$C$4852),4^8),ROW(C1439)))&amp;""</f>
        <v>#N/A</v>
      </c>
    </row>
    <row r="1440" ht="14.100000000000001" customHeight="1">
      <c r="B1440" s="20" t="s">
        <v>3027</v>
      </c>
      <c r="C1440" s="20" t="s">
        <v>3028</v>
      </c>
      <c r="D1440" s="20" t="s">
        <v>3027</v>
      </c>
      <c r="E1440" s="20" t="e">
        <f t="array" ref="E1440">INDEX(C:C,SMALL(IF(ISNUMBER(FIND(CELL("contents"),$C$2:$C$4852)),ROW($C$2:$C$4852),4^8),ROW(C1440)))&amp;""</f>
        <v>#N/A</v>
      </c>
    </row>
    <row r="1441" ht="14.100000000000001" customHeight="1">
      <c r="B1441" s="20" t="s">
        <v>3029</v>
      </c>
      <c r="C1441" s="20" t="s">
        <v>3030</v>
      </c>
      <c r="D1441" s="20" t="s">
        <v>3029</v>
      </c>
      <c r="E1441" s="20" t="e">
        <f t="array" ref="E1441">INDEX(C:C,SMALL(IF(ISNUMBER(FIND(CELL("contents"),$C$2:$C$4852)),ROW($C$2:$C$4852),4^8),ROW(C1441)))&amp;""</f>
        <v>#N/A</v>
      </c>
    </row>
    <row r="1442" ht="14.100000000000001" customHeight="1">
      <c r="B1442" s="20" t="s">
        <v>3031</v>
      </c>
      <c r="C1442" s="20" t="s">
        <v>3032</v>
      </c>
      <c r="D1442" s="20" t="s">
        <v>3031</v>
      </c>
      <c r="E1442" s="20" t="e">
        <f t="array" ref="E1442">INDEX(C:C,SMALL(IF(ISNUMBER(FIND(CELL("contents"),$C$2:$C$4852)),ROW($C$2:$C$4852),4^8),ROW(C1442)))&amp;""</f>
        <v>#N/A</v>
      </c>
    </row>
    <row r="1443" ht="14.100000000000001" customHeight="1">
      <c r="B1443" s="20" t="s">
        <v>3033</v>
      </c>
      <c r="C1443" s="20" t="s">
        <v>3034</v>
      </c>
      <c r="D1443" s="20" t="s">
        <v>3033</v>
      </c>
      <c r="E1443" s="20" t="e">
        <f t="array" ref="E1443">INDEX(C:C,SMALL(IF(ISNUMBER(FIND(CELL("contents"),$C$2:$C$4852)),ROW($C$2:$C$4852),4^8),ROW(C1443)))&amp;""</f>
        <v>#N/A</v>
      </c>
    </row>
    <row r="1444" ht="14.100000000000001" customHeight="1">
      <c r="B1444" s="20" t="s">
        <v>3035</v>
      </c>
      <c r="C1444" s="20" t="s">
        <v>3036</v>
      </c>
      <c r="D1444" s="20" t="s">
        <v>3035</v>
      </c>
      <c r="E1444" s="20" t="e">
        <f t="array" ref="E1444">INDEX(C:C,SMALL(IF(ISNUMBER(FIND(CELL("contents"),$C$2:$C$4852)),ROW($C$2:$C$4852),4^8),ROW(C1444)))&amp;""</f>
        <v>#N/A</v>
      </c>
    </row>
    <row r="1445" ht="14.100000000000001" customHeight="1">
      <c r="B1445" s="20" t="s">
        <v>3037</v>
      </c>
      <c r="C1445" s="20" t="s">
        <v>3038</v>
      </c>
      <c r="D1445" s="20" t="s">
        <v>3037</v>
      </c>
      <c r="E1445" s="20" t="e">
        <f t="array" ref="E1445">INDEX(C:C,SMALL(IF(ISNUMBER(FIND(CELL("contents"),$C$2:$C$4852)),ROW($C$2:$C$4852),4^8),ROW(C1445)))&amp;""</f>
        <v>#N/A</v>
      </c>
    </row>
    <row r="1446" ht="14.100000000000001" customHeight="1">
      <c r="B1446" s="20" t="s">
        <v>3039</v>
      </c>
      <c r="C1446" s="20" t="s">
        <v>3040</v>
      </c>
      <c r="D1446" s="20" t="s">
        <v>3039</v>
      </c>
      <c r="E1446" s="20" t="e">
        <f t="array" ref="E1446">INDEX(C:C,SMALL(IF(ISNUMBER(FIND(CELL("contents"),$C$2:$C$4852)),ROW($C$2:$C$4852),4^8),ROW(C1446)))&amp;""</f>
        <v>#N/A</v>
      </c>
    </row>
    <row r="1447" ht="14.100000000000001" customHeight="1">
      <c r="B1447" s="20" t="s">
        <v>3041</v>
      </c>
      <c r="C1447" s="20" t="s">
        <v>3042</v>
      </c>
      <c r="D1447" s="20" t="s">
        <v>3041</v>
      </c>
      <c r="E1447" s="20" t="e">
        <f t="array" ref="E1447">INDEX(C:C,SMALL(IF(ISNUMBER(FIND(CELL("contents"),$C$2:$C$4852)),ROW($C$2:$C$4852),4^8),ROW(C1447)))&amp;""</f>
        <v>#N/A</v>
      </c>
    </row>
    <row r="1448" ht="14.100000000000001" customHeight="1">
      <c r="B1448" s="20" t="s">
        <v>3043</v>
      </c>
      <c r="C1448" s="20" t="s">
        <v>3044</v>
      </c>
      <c r="D1448" s="20" t="s">
        <v>3043</v>
      </c>
      <c r="E1448" s="20" t="e">
        <f t="array" ref="E1448">INDEX(C:C,SMALL(IF(ISNUMBER(FIND(CELL("contents"),$C$2:$C$4852)),ROW($C$2:$C$4852),4^8),ROW(C1448)))&amp;""</f>
        <v>#N/A</v>
      </c>
    </row>
    <row r="1449" ht="14.100000000000001" customHeight="1">
      <c r="B1449" s="20" t="s">
        <v>3045</v>
      </c>
      <c r="C1449" s="20" t="s">
        <v>3046</v>
      </c>
      <c r="D1449" s="20" t="s">
        <v>3045</v>
      </c>
      <c r="E1449" s="20" t="e">
        <f t="array" ref="E1449">INDEX(C:C,SMALL(IF(ISNUMBER(FIND(CELL("contents"),$C$2:$C$4852)),ROW($C$2:$C$4852),4^8),ROW(C1449)))&amp;""</f>
        <v>#N/A</v>
      </c>
    </row>
    <row r="1450" ht="14.100000000000001" customHeight="1">
      <c r="B1450" s="20" t="s">
        <v>3047</v>
      </c>
      <c r="C1450" s="20" t="s">
        <v>3048</v>
      </c>
      <c r="D1450" s="20" t="s">
        <v>3047</v>
      </c>
      <c r="E1450" s="20" t="e">
        <f t="array" ref="E1450">INDEX(C:C,SMALL(IF(ISNUMBER(FIND(CELL("contents"),$C$2:$C$4852)),ROW($C$2:$C$4852),4^8),ROW(C1450)))&amp;""</f>
        <v>#N/A</v>
      </c>
    </row>
    <row r="1451" ht="14.100000000000001" customHeight="1">
      <c r="B1451" s="20" t="s">
        <v>3049</v>
      </c>
      <c r="C1451" s="20" t="s">
        <v>3050</v>
      </c>
      <c r="D1451" s="20" t="s">
        <v>3049</v>
      </c>
      <c r="E1451" s="20" t="e">
        <f t="array" ref="E1451">INDEX(C:C,SMALL(IF(ISNUMBER(FIND(CELL("contents"),$C$2:$C$4852)),ROW($C$2:$C$4852),4^8),ROW(C1451)))&amp;""</f>
        <v>#N/A</v>
      </c>
    </row>
    <row r="1452" ht="14.100000000000001" customHeight="1">
      <c r="B1452" s="20" t="s">
        <v>3051</v>
      </c>
      <c r="C1452" s="20" t="s">
        <v>3052</v>
      </c>
      <c r="D1452" s="20" t="s">
        <v>3051</v>
      </c>
      <c r="E1452" s="20" t="e">
        <f t="array" ref="E1452">INDEX(C:C,SMALL(IF(ISNUMBER(FIND(CELL("contents"),$C$2:$C$4852)),ROW($C$2:$C$4852),4^8),ROW(C1452)))&amp;""</f>
        <v>#N/A</v>
      </c>
    </row>
    <row r="1453" ht="14.100000000000001" customHeight="1">
      <c r="B1453" s="20" t="s">
        <v>3053</v>
      </c>
      <c r="C1453" s="20" t="s">
        <v>3054</v>
      </c>
      <c r="D1453" s="20" t="s">
        <v>3053</v>
      </c>
      <c r="E1453" s="20" t="e">
        <f t="array" ref="E1453">INDEX(C:C,SMALL(IF(ISNUMBER(FIND(CELL("contents"),$C$2:$C$4852)),ROW($C$2:$C$4852),4^8),ROW(C1453)))&amp;""</f>
        <v>#N/A</v>
      </c>
    </row>
    <row r="1454" ht="14.100000000000001" customHeight="1">
      <c r="B1454" s="20" t="s">
        <v>3055</v>
      </c>
      <c r="C1454" s="20" t="s">
        <v>3056</v>
      </c>
      <c r="D1454" s="20" t="s">
        <v>3055</v>
      </c>
      <c r="E1454" s="20" t="e">
        <f t="array" ref="E1454">INDEX(C:C,SMALL(IF(ISNUMBER(FIND(CELL("contents"),$C$2:$C$4852)),ROW($C$2:$C$4852),4^8),ROW(C1454)))&amp;""</f>
        <v>#N/A</v>
      </c>
    </row>
    <row r="1455" ht="14.100000000000001" customHeight="1">
      <c r="B1455" s="20" t="s">
        <v>3057</v>
      </c>
      <c r="C1455" s="20" t="s">
        <v>3058</v>
      </c>
      <c r="D1455" s="20" t="s">
        <v>3057</v>
      </c>
      <c r="E1455" s="20" t="e">
        <f t="array" ref="E1455">INDEX(C:C,SMALL(IF(ISNUMBER(FIND(CELL("contents"),$C$2:$C$4852)),ROW($C$2:$C$4852),4^8),ROW(C1455)))&amp;""</f>
        <v>#N/A</v>
      </c>
    </row>
    <row r="1456" ht="14.100000000000001" customHeight="1">
      <c r="B1456" s="20" t="s">
        <v>3059</v>
      </c>
      <c r="C1456" s="20" t="s">
        <v>3060</v>
      </c>
      <c r="D1456" s="20" t="s">
        <v>3059</v>
      </c>
      <c r="E1456" s="20" t="e">
        <f t="array" ref="E1456">INDEX(C:C,SMALL(IF(ISNUMBER(FIND(CELL("contents"),$C$2:$C$4852)),ROW($C$2:$C$4852),4^8),ROW(C1456)))&amp;""</f>
        <v>#N/A</v>
      </c>
    </row>
    <row r="1457" ht="14.100000000000001" customHeight="1">
      <c r="B1457" s="20" t="s">
        <v>3061</v>
      </c>
      <c r="C1457" s="20" t="s">
        <v>3062</v>
      </c>
      <c r="D1457" s="20" t="s">
        <v>3061</v>
      </c>
      <c r="E1457" s="20" t="e">
        <f t="array" ref="E1457">INDEX(C:C,SMALL(IF(ISNUMBER(FIND(CELL("contents"),$C$2:$C$4852)),ROW($C$2:$C$4852),4^8),ROW(C1457)))&amp;""</f>
        <v>#N/A</v>
      </c>
    </row>
    <row r="1458" ht="14.100000000000001" customHeight="1">
      <c r="B1458" s="20" t="s">
        <v>3063</v>
      </c>
      <c r="C1458" s="20" t="s">
        <v>3064</v>
      </c>
      <c r="D1458" s="20" t="s">
        <v>3063</v>
      </c>
      <c r="E1458" s="20" t="e">
        <f t="array" ref="E1458">INDEX(C:C,SMALL(IF(ISNUMBER(FIND(CELL("contents"),$C$2:$C$4852)),ROW($C$2:$C$4852),4^8),ROW(C1458)))&amp;""</f>
        <v>#N/A</v>
      </c>
    </row>
    <row r="1459" ht="14.100000000000001" customHeight="1">
      <c r="B1459" s="20" t="s">
        <v>3065</v>
      </c>
      <c r="C1459" s="20" t="s">
        <v>3066</v>
      </c>
      <c r="D1459" s="20" t="s">
        <v>3065</v>
      </c>
      <c r="E1459" s="20" t="e">
        <f t="array" ref="E1459">INDEX(C:C,SMALL(IF(ISNUMBER(FIND(CELL("contents"),$C$2:$C$4852)),ROW($C$2:$C$4852),4^8),ROW(C1459)))&amp;""</f>
        <v>#N/A</v>
      </c>
    </row>
    <row r="1460" ht="14.100000000000001" customHeight="1">
      <c r="B1460" s="20" t="s">
        <v>3067</v>
      </c>
      <c r="C1460" s="20" t="s">
        <v>3068</v>
      </c>
      <c r="D1460" s="20" t="s">
        <v>3067</v>
      </c>
      <c r="E1460" s="20" t="e">
        <f t="array" ref="E1460">INDEX(C:C,SMALL(IF(ISNUMBER(FIND(CELL("contents"),$C$2:$C$4852)),ROW($C$2:$C$4852),4^8),ROW(C1460)))&amp;""</f>
        <v>#N/A</v>
      </c>
    </row>
    <row r="1461" ht="14.100000000000001" customHeight="1">
      <c r="B1461" s="20" t="s">
        <v>3069</v>
      </c>
      <c r="C1461" s="20" t="s">
        <v>3070</v>
      </c>
      <c r="D1461" s="20" t="s">
        <v>3069</v>
      </c>
      <c r="E1461" s="20" t="e">
        <f t="array" ref="E1461">INDEX(C:C,SMALL(IF(ISNUMBER(FIND(CELL("contents"),$C$2:$C$4852)),ROW($C$2:$C$4852),4^8),ROW(C1461)))&amp;""</f>
        <v>#N/A</v>
      </c>
    </row>
    <row r="1462" ht="14.100000000000001" customHeight="1">
      <c r="B1462" s="20" t="s">
        <v>3071</v>
      </c>
      <c r="C1462" s="20" t="s">
        <v>3072</v>
      </c>
      <c r="D1462" s="20" t="s">
        <v>3071</v>
      </c>
      <c r="E1462" s="20" t="e">
        <f t="array" ref="E1462">INDEX(C:C,SMALL(IF(ISNUMBER(FIND(CELL("contents"),$C$2:$C$4852)),ROW($C$2:$C$4852),4^8),ROW(C1462)))&amp;""</f>
        <v>#N/A</v>
      </c>
    </row>
    <row r="1463" ht="14.100000000000001" customHeight="1">
      <c r="B1463" s="20" t="s">
        <v>3073</v>
      </c>
      <c r="C1463" s="20" t="s">
        <v>3074</v>
      </c>
      <c r="D1463" s="20" t="s">
        <v>3073</v>
      </c>
      <c r="E1463" s="20" t="e">
        <f t="array" ref="E1463">INDEX(C:C,SMALL(IF(ISNUMBER(FIND(CELL("contents"),$C$2:$C$4852)),ROW($C$2:$C$4852),4^8),ROW(C1463)))&amp;""</f>
        <v>#N/A</v>
      </c>
    </row>
    <row r="1464" ht="14.100000000000001" customHeight="1">
      <c r="B1464" s="20" t="s">
        <v>3075</v>
      </c>
      <c r="C1464" s="20" t="s">
        <v>3076</v>
      </c>
      <c r="D1464" s="20" t="s">
        <v>3075</v>
      </c>
      <c r="E1464" s="20" t="e">
        <f t="array" ref="E1464">INDEX(C:C,SMALL(IF(ISNUMBER(FIND(CELL("contents"),$C$2:$C$4852)),ROW($C$2:$C$4852),4^8),ROW(C1464)))&amp;""</f>
        <v>#N/A</v>
      </c>
    </row>
    <row r="1465" ht="14.100000000000001" customHeight="1">
      <c r="B1465" s="20" t="s">
        <v>3077</v>
      </c>
      <c r="C1465" s="20" t="s">
        <v>3078</v>
      </c>
      <c r="D1465" s="20" t="s">
        <v>3077</v>
      </c>
      <c r="E1465" s="20" t="e">
        <f t="array" ref="E1465">INDEX(C:C,SMALL(IF(ISNUMBER(FIND(CELL("contents"),$C$2:$C$4852)),ROW($C$2:$C$4852),4^8),ROW(C1465)))&amp;""</f>
        <v>#N/A</v>
      </c>
    </row>
    <row r="1466" ht="14.100000000000001" customHeight="1">
      <c r="B1466" s="20" t="s">
        <v>3079</v>
      </c>
      <c r="C1466" s="20" t="s">
        <v>3080</v>
      </c>
      <c r="D1466" s="20" t="s">
        <v>3079</v>
      </c>
      <c r="E1466" s="20" t="e">
        <f t="array" ref="E1466">INDEX(C:C,SMALL(IF(ISNUMBER(FIND(CELL("contents"),$C$2:$C$4852)),ROW($C$2:$C$4852),4^8),ROW(C1466)))&amp;""</f>
        <v>#N/A</v>
      </c>
    </row>
    <row r="1467" ht="14.100000000000001" customHeight="1">
      <c r="B1467" s="20" t="s">
        <v>3081</v>
      </c>
      <c r="C1467" s="20" t="s">
        <v>3082</v>
      </c>
      <c r="D1467" s="20" t="s">
        <v>3081</v>
      </c>
      <c r="E1467" s="20" t="e">
        <f t="array" ref="E1467">INDEX(C:C,SMALL(IF(ISNUMBER(FIND(CELL("contents"),$C$2:$C$4852)),ROW($C$2:$C$4852),4^8),ROW(C1467)))&amp;""</f>
        <v>#N/A</v>
      </c>
    </row>
    <row r="1468" ht="14.100000000000001" customHeight="1">
      <c r="B1468" s="20" t="s">
        <v>3083</v>
      </c>
      <c r="C1468" s="20" t="s">
        <v>3084</v>
      </c>
      <c r="D1468" s="20" t="s">
        <v>3083</v>
      </c>
      <c r="E1468" s="20" t="e">
        <f t="array" ref="E1468">INDEX(C:C,SMALL(IF(ISNUMBER(FIND(CELL("contents"),$C$2:$C$4852)),ROW($C$2:$C$4852),4^8),ROW(C1468)))&amp;""</f>
        <v>#N/A</v>
      </c>
    </row>
    <row r="1469" ht="14.100000000000001" customHeight="1">
      <c r="B1469" s="20" t="s">
        <v>3085</v>
      </c>
      <c r="C1469" s="20" t="s">
        <v>3086</v>
      </c>
      <c r="D1469" s="20" t="s">
        <v>3085</v>
      </c>
      <c r="E1469" s="20" t="e">
        <f t="array" ref="E1469">INDEX(C:C,SMALL(IF(ISNUMBER(FIND(CELL("contents"),$C$2:$C$4852)),ROW($C$2:$C$4852),4^8),ROW(C1469)))&amp;""</f>
        <v>#N/A</v>
      </c>
    </row>
    <row r="1470" ht="14.100000000000001" customHeight="1">
      <c r="B1470" s="20" t="s">
        <v>3087</v>
      </c>
      <c r="C1470" s="20" t="s">
        <v>3088</v>
      </c>
      <c r="D1470" s="20" t="s">
        <v>3087</v>
      </c>
      <c r="E1470" s="20" t="e">
        <f t="array" ref="E1470">INDEX(C:C,SMALL(IF(ISNUMBER(FIND(CELL("contents"),$C$2:$C$4852)),ROW($C$2:$C$4852),4^8),ROW(C1470)))&amp;""</f>
        <v>#N/A</v>
      </c>
    </row>
    <row r="1471" ht="14.100000000000001" customHeight="1">
      <c r="B1471" s="20" t="s">
        <v>3089</v>
      </c>
      <c r="C1471" s="20" t="s">
        <v>3090</v>
      </c>
      <c r="D1471" s="20" t="s">
        <v>3089</v>
      </c>
      <c r="E1471" s="20" t="e">
        <f t="array" ref="E1471">INDEX(C:C,SMALL(IF(ISNUMBER(FIND(CELL("contents"),$C$2:$C$4852)),ROW($C$2:$C$4852),4^8),ROW(C1471)))&amp;""</f>
        <v>#N/A</v>
      </c>
    </row>
    <row r="1472" ht="14.100000000000001" customHeight="1">
      <c r="B1472" s="20" t="s">
        <v>3091</v>
      </c>
      <c r="C1472" s="20" t="s">
        <v>3092</v>
      </c>
      <c r="D1472" s="20" t="s">
        <v>3091</v>
      </c>
      <c r="E1472" s="20" t="e">
        <f t="array" ref="E1472">INDEX(C:C,SMALL(IF(ISNUMBER(FIND(CELL("contents"),$C$2:$C$4852)),ROW($C$2:$C$4852),4^8),ROW(C1472)))&amp;""</f>
        <v>#N/A</v>
      </c>
    </row>
    <row r="1473" ht="14.100000000000001" customHeight="1">
      <c r="B1473" s="20" t="s">
        <v>3093</v>
      </c>
      <c r="C1473" s="20" t="s">
        <v>3094</v>
      </c>
      <c r="D1473" s="20" t="s">
        <v>3093</v>
      </c>
      <c r="E1473" s="20" t="e">
        <f t="array" ref="E1473">INDEX(C:C,SMALL(IF(ISNUMBER(FIND(CELL("contents"),$C$2:$C$4852)),ROW($C$2:$C$4852),4^8),ROW(C1473)))&amp;""</f>
        <v>#N/A</v>
      </c>
    </row>
    <row r="1474" ht="14.100000000000001" customHeight="1">
      <c r="B1474" s="20" t="s">
        <v>3095</v>
      </c>
      <c r="C1474" s="20" t="s">
        <v>3096</v>
      </c>
      <c r="D1474" s="20" t="s">
        <v>3095</v>
      </c>
      <c r="E1474" s="20" t="e">
        <f t="array" ref="E1474">INDEX(C:C,SMALL(IF(ISNUMBER(FIND(CELL("contents"),$C$2:$C$4852)),ROW($C$2:$C$4852),4^8),ROW(C1474)))&amp;""</f>
        <v>#N/A</v>
      </c>
    </row>
    <row r="1475" ht="14.100000000000001" customHeight="1">
      <c r="B1475" s="20" t="s">
        <v>3097</v>
      </c>
      <c r="C1475" s="20" t="s">
        <v>3098</v>
      </c>
      <c r="D1475" s="20" t="s">
        <v>3097</v>
      </c>
      <c r="E1475" s="20" t="e">
        <f t="array" ref="E1475">INDEX(C:C,SMALL(IF(ISNUMBER(FIND(CELL("contents"),$C$2:$C$4852)),ROW($C$2:$C$4852),4^8),ROW(C1475)))&amp;""</f>
        <v>#N/A</v>
      </c>
    </row>
    <row r="1476" ht="14.100000000000001" customHeight="1">
      <c r="B1476" s="20" t="s">
        <v>3099</v>
      </c>
      <c r="C1476" s="20" t="s">
        <v>3100</v>
      </c>
      <c r="D1476" s="20" t="s">
        <v>3099</v>
      </c>
      <c r="E1476" s="20" t="e">
        <f t="array" ref="E1476">INDEX(C:C,SMALL(IF(ISNUMBER(FIND(CELL("contents"),$C$2:$C$4852)),ROW($C$2:$C$4852),4^8),ROW(C1476)))&amp;""</f>
        <v>#N/A</v>
      </c>
    </row>
    <row r="1477" ht="14.100000000000001" customHeight="1">
      <c r="B1477" s="20" t="s">
        <v>3101</v>
      </c>
      <c r="C1477" s="20" t="s">
        <v>3102</v>
      </c>
      <c r="D1477" s="20" t="s">
        <v>3101</v>
      </c>
      <c r="E1477" s="20" t="e">
        <f t="array" ref="E1477">INDEX(C:C,SMALL(IF(ISNUMBER(FIND(CELL("contents"),$C$2:$C$4852)),ROW($C$2:$C$4852),4^8),ROW(C1477)))&amp;""</f>
        <v>#N/A</v>
      </c>
    </row>
    <row r="1478" ht="14.100000000000001" customHeight="1">
      <c r="B1478" s="20" t="s">
        <v>3103</v>
      </c>
      <c r="C1478" s="20" t="s">
        <v>3104</v>
      </c>
      <c r="D1478" s="20" t="s">
        <v>3103</v>
      </c>
      <c r="E1478" s="20" t="e">
        <f t="array" ref="E1478">INDEX(C:C,SMALL(IF(ISNUMBER(FIND(CELL("contents"),$C$2:$C$4852)),ROW($C$2:$C$4852),4^8),ROW(C1478)))&amp;""</f>
        <v>#N/A</v>
      </c>
    </row>
    <row r="1479" ht="14.100000000000001" customHeight="1">
      <c r="B1479" s="20" t="s">
        <v>3105</v>
      </c>
      <c r="C1479" s="20" t="s">
        <v>3106</v>
      </c>
      <c r="D1479" s="20" t="s">
        <v>3105</v>
      </c>
      <c r="E1479" s="20" t="e">
        <f t="array" ref="E1479">INDEX(C:C,SMALL(IF(ISNUMBER(FIND(CELL("contents"),$C$2:$C$4852)),ROW($C$2:$C$4852),4^8),ROW(C1479)))&amp;""</f>
        <v>#N/A</v>
      </c>
    </row>
    <row r="1480" ht="14.100000000000001" customHeight="1">
      <c r="B1480" s="20" t="s">
        <v>3107</v>
      </c>
      <c r="C1480" s="20" t="s">
        <v>3108</v>
      </c>
      <c r="D1480" s="20" t="s">
        <v>3107</v>
      </c>
      <c r="E1480" s="20" t="e">
        <f t="array" ref="E1480">INDEX(C:C,SMALL(IF(ISNUMBER(FIND(CELL("contents"),$C$2:$C$4852)),ROW($C$2:$C$4852),4^8),ROW(C1480)))&amp;""</f>
        <v>#N/A</v>
      </c>
    </row>
    <row r="1481" ht="14.100000000000001" customHeight="1">
      <c r="B1481" s="20" t="s">
        <v>3109</v>
      </c>
      <c r="C1481" s="20" t="s">
        <v>3110</v>
      </c>
      <c r="D1481" s="20" t="s">
        <v>3109</v>
      </c>
      <c r="E1481" s="20" t="e">
        <f t="array" ref="E1481">INDEX(C:C,SMALL(IF(ISNUMBER(FIND(CELL("contents"),$C$2:$C$4852)),ROW($C$2:$C$4852),4^8),ROW(C1481)))&amp;""</f>
        <v>#N/A</v>
      </c>
    </row>
    <row r="1482" ht="14.100000000000001" customHeight="1">
      <c r="B1482" s="20" t="s">
        <v>3111</v>
      </c>
      <c r="C1482" s="20" t="s">
        <v>3112</v>
      </c>
      <c r="D1482" s="20" t="s">
        <v>3111</v>
      </c>
      <c r="E1482" s="20" t="e">
        <f t="array" ref="E1482">INDEX(C:C,SMALL(IF(ISNUMBER(FIND(CELL("contents"),$C$2:$C$4852)),ROW($C$2:$C$4852),4^8),ROW(C1482)))&amp;""</f>
        <v>#N/A</v>
      </c>
    </row>
    <row r="1483" ht="14.100000000000001" customHeight="1">
      <c r="B1483" s="20" t="s">
        <v>3113</v>
      </c>
      <c r="C1483" s="20" t="s">
        <v>3114</v>
      </c>
      <c r="D1483" s="20" t="s">
        <v>3113</v>
      </c>
      <c r="E1483" s="20" t="e">
        <f t="array" ref="E1483">INDEX(C:C,SMALL(IF(ISNUMBER(FIND(CELL("contents"),$C$2:$C$4852)),ROW($C$2:$C$4852),4^8),ROW(C1483)))&amp;""</f>
        <v>#N/A</v>
      </c>
    </row>
    <row r="1484" ht="14.100000000000001" customHeight="1">
      <c r="B1484" s="20" t="s">
        <v>3115</v>
      </c>
      <c r="C1484" s="20" t="s">
        <v>3116</v>
      </c>
      <c r="D1484" s="20" t="s">
        <v>3115</v>
      </c>
      <c r="E1484" s="20" t="e">
        <f t="array" ref="E1484">INDEX(C:C,SMALL(IF(ISNUMBER(FIND(CELL("contents"),$C$2:$C$4852)),ROW($C$2:$C$4852),4^8),ROW(C1484)))&amp;""</f>
        <v>#N/A</v>
      </c>
    </row>
    <row r="1485" ht="14.100000000000001" customHeight="1">
      <c r="B1485" s="20" t="s">
        <v>3117</v>
      </c>
      <c r="C1485" s="20" t="s">
        <v>3118</v>
      </c>
      <c r="D1485" s="20" t="s">
        <v>3117</v>
      </c>
      <c r="E1485" s="20" t="e">
        <f t="array" ref="E1485">INDEX(C:C,SMALL(IF(ISNUMBER(FIND(CELL("contents"),$C$2:$C$4852)),ROW($C$2:$C$4852),4^8),ROW(C1485)))&amp;""</f>
        <v>#N/A</v>
      </c>
    </row>
    <row r="1486" ht="14.100000000000001" customHeight="1">
      <c r="B1486" s="20" t="s">
        <v>3119</v>
      </c>
      <c r="C1486" s="20" t="s">
        <v>3120</v>
      </c>
      <c r="D1486" s="20" t="s">
        <v>3119</v>
      </c>
      <c r="E1486" s="20" t="e">
        <f t="array" ref="E1486">INDEX(C:C,SMALL(IF(ISNUMBER(FIND(CELL("contents"),$C$2:$C$4852)),ROW($C$2:$C$4852),4^8),ROW(C1486)))&amp;""</f>
        <v>#N/A</v>
      </c>
    </row>
    <row r="1487" ht="14.100000000000001" customHeight="1">
      <c r="B1487" s="20" t="s">
        <v>3121</v>
      </c>
      <c r="C1487" s="20" t="s">
        <v>3122</v>
      </c>
      <c r="D1487" s="20" t="s">
        <v>3121</v>
      </c>
      <c r="E1487" s="20" t="e">
        <f t="array" ref="E1487">INDEX(C:C,SMALL(IF(ISNUMBER(FIND(CELL("contents"),$C$2:$C$4852)),ROW($C$2:$C$4852),4^8),ROW(C1487)))&amp;""</f>
        <v>#N/A</v>
      </c>
    </row>
    <row r="1488" ht="14.100000000000001" customHeight="1">
      <c r="B1488" s="20" t="s">
        <v>3123</v>
      </c>
      <c r="C1488" s="20" t="s">
        <v>3124</v>
      </c>
      <c r="D1488" s="20" t="s">
        <v>3123</v>
      </c>
      <c r="E1488" s="20" t="e">
        <f t="array" ref="E1488">INDEX(C:C,SMALL(IF(ISNUMBER(FIND(CELL("contents"),$C$2:$C$4852)),ROW($C$2:$C$4852),4^8),ROW(C1488)))&amp;""</f>
        <v>#N/A</v>
      </c>
    </row>
    <row r="1489" ht="14.100000000000001" customHeight="1">
      <c r="B1489" s="20" t="s">
        <v>3125</v>
      </c>
      <c r="C1489" s="20" t="s">
        <v>3126</v>
      </c>
      <c r="D1489" s="20" t="s">
        <v>3125</v>
      </c>
      <c r="E1489" s="20" t="e">
        <f t="array" ref="E1489">INDEX(C:C,SMALL(IF(ISNUMBER(FIND(CELL("contents"),$C$2:$C$4852)),ROW($C$2:$C$4852),4^8),ROW(C1489)))&amp;""</f>
        <v>#N/A</v>
      </c>
    </row>
    <row r="1490" ht="14.100000000000001" customHeight="1">
      <c r="B1490" s="20" t="s">
        <v>3127</v>
      </c>
      <c r="C1490" s="20" t="s">
        <v>3128</v>
      </c>
      <c r="D1490" s="20" t="s">
        <v>3127</v>
      </c>
      <c r="E1490" s="20" t="e">
        <f t="array" ref="E1490">INDEX(C:C,SMALL(IF(ISNUMBER(FIND(CELL("contents"),$C$2:$C$4852)),ROW($C$2:$C$4852),4^8),ROW(C1490)))&amp;""</f>
        <v>#N/A</v>
      </c>
    </row>
    <row r="1491" ht="14.100000000000001" customHeight="1">
      <c r="B1491" s="20" t="s">
        <v>3129</v>
      </c>
      <c r="C1491" s="20" t="s">
        <v>3130</v>
      </c>
      <c r="D1491" s="20" t="s">
        <v>3129</v>
      </c>
      <c r="E1491" s="20" t="e">
        <f t="array" ref="E1491">INDEX(C:C,SMALL(IF(ISNUMBER(FIND(CELL("contents"),$C$2:$C$4852)),ROW($C$2:$C$4852),4^8),ROW(C1491)))&amp;""</f>
        <v>#N/A</v>
      </c>
    </row>
    <row r="1492" ht="14.100000000000001" customHeight="1">
      <c r="B1492" s="20" t="s">
        <v>3131</v>
      </c>
      <c r="C1492" s="20" t="s">
        <v>3132</v>
      </c>
      <c r="D1492" s="20" t="s">
        <v>3131</v>
      </c>
      <c r="E1492" s="20" t="e">
        <f t="array" ref="E1492">INDEX(C:C,SMALL(IF(ISNUMBER(FIND(CELL("contents"),$C$2:$C$4852)),ROW($C$2:$C$4852),4^8),ROW(C1492)))&amp;""</f>
        <v>#N/A</v>
      </c>
    </row>
    <row r="1493" ht="14.100000000000001" customHeight="1">
      <c r="B1493" s="20" t="s">
        <v>3133</v>
      </c>
      <c r="C1493" s="20" t="s">
        <v>3134</v>
      </c>
      <c r="D1493" s="20" t="s">
        <v>3133</v>
      </c>
      <c r="E1493" s="20" t="e">
        <f t="array" ref="E1493">INDEX(C:C,SMALL(IF(ISNUMBER(FIND(CELL("contents"),$C$2:$C$4852)),ROW($C$2:$C$4852),4^8),ROW(C1493)))&amp;""</f>
        <v>#N/A</v>
      </c>
    </row>
    <row r="1494" ht="14.100000000000001" customHeight="1">
      <c r="B1494" s="20" t="s">
        <v>3135</v>
      </c>
      <c r="C1494" s="20" t="s">
        <v>3136</v>
      </c>
      <c r="D1494" s="20" t="s">
        <v>3135</v>
      </c>
      <c r="E1494" s="20" t="e">
        <f t="array" ref="E1494">INDEX(C:C,SMALL(IF(ISNUMBER(FIND(CELL("contents"),$C$2:$C$4852)),ROW($C$2:$C$4852),4^8),ROW(C1494)))&amp;""</f>
        <v>#N/A</v>
      </c>
    </row>
    <row r="1495" ht="14.100000000000001" customHeight="1">
      <c r="B1495" s="20" t="s">
        <v>3137</v>
      </c>
      <c r="C1495" s="20" t="s">
        <v>3138</v>
      </c>
      <c r="D1495" s="20" t="s">
        <v>3137</v>
      </c>
      <c r="E1495" s="20" t="e">
        <f t="array" ref="E1495">INDEX(C:C,SMALL(IF(ISNUMBER(FIND(CELL("contents"),$C$2:$C$4852)),ROW($C$2:$C$4852),4^8),ROW(C1495)))&amp;""</f>
        <v>#N/A</v>
      </c>
    </row>
    <row r="1496" ht="14.100000000000001" customHeight="1">
      <c r="B1496" s="20" t="s">
        <v>3139</v>
      </c>
      <c r="C1496" s="20" t="s">
        <v>3140</v>
      </c>
      <c r="D1496" s="20" t="s">
        <v>3139</v>
      </c>
      <c r="E1496" s="20" t="e">
        <f t="array" ref="E1496">INDEX(C:C,SMALL(IF(ISNUMBER(FIND(CELL("contents"),$C$2:$C$4852)),ROW($C$2:$C$4852),4^8),ROW(C1496)))&amp;""</f>
        <v>#N/A</v>
      </c>
    </row>
    <row r="1497" ht="14.100000000000001" customHeight="1">
      <c r="B1497" s="20" t="s">
        <v>3141</v>
      </c>
      <c r="C1497" s="20" t="s">
        <v>3142</v>
      </c>
      <c r="D1497" s="20" t="s">
        <v>3141</v>
      </c>
      <c r="E1497" s="20" t="e">
        <f t="array" ref="E1497">INDEX(C:C,SMALL(IF(ISNUMBER(FIND(CELL("contents"),$C$2:$C$4852)),ROW($C$2:$C$4852),4^8),ROW(C1497)))&amp;""</f>
        <v>#N/A</v>
      </c>
    </row>
    <row r="1498" ht="14.100000000000001" customHeight="1">
      <c r="B1498" s="20" t="s">
        <v>3143</v>
      </c>
      <c r="C1498" s="20" t="s">
        <v>3144</v>
      </c>
      <c r="D1498" s="20" t="s">
        <v>3143</v>
      </c>
      <c r="E1498" s="20" t="e">
        <f t="array" ref="E1498">INDEX(C:C,SMALL(IF(ISNUMBER(FIND(CELL("contents"),$C$2:$C$4852)),ROW($C$2:$C$4852),4^8),ROW(C1498)))&amp;""</f>
        <v>#N/A</v>
      </c>
    </row>
    <row r="1499" ht="14.100000000000001" customHeight="1">
      <c r="B1499" s="20" t="s">
        <v>3145</v>
      </c>
      <c r="C1499" s="20" t="s">
        <v>3146</v>
      </c>
      <c r="D1499" s="20" t="s">
        <v>3145</v>
      </c>
      <c r="E1499" s="20" t="e">
        <f t="array" ref="E1499">INDEX(C:C,SMALL(IF(ISNUMBER(FIND(CELL("contents"),$C$2:$C$4852)),ROW($C$2:$C$4852),4^8),ROW(C1499)))&amp;""</f>
        <v>#N/A</v>
      </c>
    </row>
    <row r="1500" ht="14.100000000000001" customHeight="1">
      <c r="B1500" s="20" t="s">
        <v>3147</v>
      </c>
      <c r="C1500" s="20" t="s">
        <v>3148</v>
      </c>
      <c r="D1500" s="20" t="s">
        <v>3147</v>
      </c>
      <c r="E1500" s="20" t="e">
        <f t="array" ref="E1500">INDEX(C:C,SMALL(IF(ISNUMBER(FIND(CELL("contents"),$C$2:$C$4852)),ROW($C$2:$C$4852),4^8),ROW(C1500)))&amp;""</f>
        <v>#N/A</v>
      </c>
    </row>
    <row r="1501" ht="14.100000000000001" customHeight="1">
      <c r="B1501" s="20" t="s">
        <v>3149</v>
      </c>
      <c r="C1501" s="20" t="s">
        <v>3150</v>
      </c>
      <c r="D1501" s="20" t="s">
        <v>3149</v>
      </c>
      <c r="E1501" s="20" t="e">
        <f t="array" ref="E1501">INDEX(C:C,SMALL(IF(ISNUMBER(FIND(CELL("contents"),$C$2:$C$4852)),ROW($C$2:$C$4852),4^8),ROW(C1501)))&amp;""</f>
        <v>#N/A</v>
      </c>
    </row>
    <row r="1502" ht="14.100000000000001" customHeight="1">
      <c r="B1502" s="20" t="s">
        <v>3151</v>
      </c>
      <c r="C1502" s="20" t="s">
        <v>3152</v>
      </c>
      <c r="D1502" s="20" t="s">
        <v>3151</v>
      </c>
      <c r="E1502" s="20" t="e">
        <f t="array" ref="E1502">INDEX(C:C,SMALL(IF(ISNUMBER(FIND(CELL("contents"),$C$2:$C$4852)),ROW($C$2:$C$4852),4^8),ROW(C1502)))&amp;""</f>
        <v>#N/A</v>
      </c>
    </row>
    <row r="1503" ht="14.100000000000001" customHeight="1">
      <c r="B1503" s="20" t="s">
        <v>3153</v>
      </c>
      <c r="C1503" s="20" t="s">
        <v>3154</v>
      </c>
      <c r="D1503" s="20" t="s">
        <v>3153</v>
      </c>
      <c r="E1503" s="20" t="e">
        <f t="array" ref="E1503">INDEX(C:C,SMALL(IF(ISNUMBER(FIND(CELL("contents"),$C$2:$C$4852)),ROW($C$2:$C$4852),4^8),ROW(C1503)))&amp;""</f>
        <v>#N/A</v>
      </c>
    </row>
    <row r="1504" ht="14.100000000000001" customHeight="1">
      <c r="B1504" s="20" t="s">
        <v>3155</v>
      </c>
      <c r="C1504" s="20" t="s">
        <v>3156</v>
      </c>
      <c r="D1504" s="20" t="s">
        <v>3155</v>
      </c>
      <c r="E1504" s="20" t="e">
        <f t="array" ref="E1504">INDEX(C:C,SMALL(IF(ISNUMBER(FIND(CELL("contents"),$C$2:$C$4852)),ROW($C$2:$C$4852),4^8),ROW(C1504)))&amp;""</f>
        <v>#N/A</v>
      </c>
    </row>
    <row r="1505" ht="14.100000000000001" customHeight="1">
      <c r="B1505" s="20" t="s">
        <v>3157</v>
      </c>
      <c r="C1505" s="20" t="s">
        <v>3158</v>
      </c>
      <c r="D1505" s="20" t="s">
        <v>3157</v>
      </c>
      <c r="E1505" s="20" t="e">
        <f t="array" ref="E1505">INDEX(C:C,SMALL(IF(ISNUMBER(FIND(CELL("contents"),$C$2:$C$4852)),ROW($C$2:$C$4852),4^8),ROW(C1505)))&amp;""</f>
        <v>#N/A</v>
      </c>
    </row>
    <row r="1506" ht="14.100000000000001" customHeight="1">
      <c r="B1506" s="20" t="s">
        <v>3159</v>
      </c>
      <c r="C1506" s="20" t="s">
        <v>3160</v>
      </c>
      <c r="D1506" s="20" t="s">
        <v>3159</v>
      </c>
      <c r="E1506" s="20" t="e">
        <f t="array" ref="E1506">INDEX(C:C,SMALL(IF(ISNUMBER(FIND(CELL("contents"),$C$2:$C$4852)),ROW($C$2:$C$4852),4^8),ROW(C1506)))&amp;""</f>
        <v>#N/A</v>
      </c>
    </row>
    <row r="1507" ht="14.100000000000001" customHeight="1">
      <c r="B1507" s="20" t="s">
        <v>3161</v>
      </c>
      <c r="C1507" s="20" t="s">
        <v>3162</v>
      </c>
      <c r="D1507" s="20" t="s">
        <v>3161</v>
      </c>
      <c r="E1507" s="20" t="e">
        <f t="array" ref="E1507">INDEX(C:C,SMALL(IF(ISNUMBER(FIND(CELL("contents"),$C$2:$C$4852)),ROW($C$2:$C$4852),4^8),ROW(C1507)))&amp;""</f>
        <v>#N/A</v>
      </c>
    </row>
    <row r="1508" ht="14.100000000000001" customHeight="1">
      <c r="B1508" s="20" t="s">
        <v>3163</v>
      </c>
      <c r="C1508" s="20" t="s">
        <v>3164</v>
      </c>
      <c r="D1508" s="20" t="s">
        <v>3163</v>
      </c>
      <c r="E1508" s="20" t="e">
        <f t="array" ref="E1508">INDEX(C:C,SMALL(IF(ISNUMBER(FIND(CELL("contents"),$C$2:$C$4852)),ROW($C$2:$C$4852),4^8),ROW(C1508)))&amp;""</f>
        <v>#N/A</v>
      </c>
    </row>
    <row r="1509" ht="14.100000000000001" customHeight="1">
      <c r="B1509" s="20" t="s">
        <v>3165</v>
      </c>
      <c r="C1509" s="20" t="s">
        <v>3166</v>
      </c>
      <c r="D1509" s="20" t="s">
        <v>3165</v>
      </c>
      <c r="E1509" s="20" t="e">
        <f t="array" ref="E1509">INDEX(C:C,SMALL(IF(ISNUMBER(FIND(CELL("contents"),$C$2:$C$4852)),ROW($C$2:$C$4852),4^8),ROW(C1509)))&amp;""</f>
        <v>#N/A</v>
      </c>
    </row>
    <row r="1510" ht="14.100000000000001" customHeight="1">
      <c r="B1510" s="20" t="s">
        <v>3167</v>
      </c>
      <c r="C1510" s="20" t="s">
        <v>3168</v>
      </c>
      <c r="D1510" s="20" t="s">
        <v>3167</v>
      </c>
      <c r="E1510" s="20" t="e">
        <f t="array" ref="E1510">INDEX(C:C,SMALL(IF(ISNUMBER(FIND(CELL("contents"),$C$2:$C$4852)),ROW($C$2:$C$4852),4^8),ROW(C1510)))&amp;""</f>
        <v>#N/A</v>
      </c>
    </row>
    <row r="1511" ht="14.100000000000001" customHeight="1">
      <c r="B1511" s="20" t="s">
        <v>3169</v>
      </c>
      <c r="C1511" s="20" t="s">
        <v>3170</v>
      </c>
      <c r="D1511" s="20" t="s">
        <v>3169</v>
      </c>
      <c r="E1511" s="20" t="e">
        <f t="array" ref="E1511">INDEX(C:C,SMALL(IF(ISNUMBER(FIND(CELL("contents"),$C$2:$C$4852)),ROW($C$2:$C$4852),4^8),ROW(C1511)))&amp;""</f>
        <v>#N/A</v>
      </c>
    </row>
    <row r="1512" ht="14.100000000000001" customHeight="1">
      <c r="B1512" s="20" t="s">
        <v>3171</v>
      </c>
      <c r="C1512" s="20" t="s">
        <v>3172</v>
      </c>
      <c r="D1512" s="20" t="s">
        <v>3171</v>
      </c>
      <c r="E1512" s="20" t="e">
        <f t="array" ref="E1512">INDEX(C:C,SMALL(IF(ISNUMBER(FIND(CELL("contents"),$C$2:$C$4852)),ROW($C$2:$C$4852),4^8),ROW(C1512)))&amp;""</f>
        <v>#N/A</v>
      </c>
    </row>
    <row r="1513" ht="14.100000000000001" customHeight="1">
      <c r="B1513" s="20" t="s">
        <v>3173</v>
      </c>
      <c r="C1513" s="20" t="s">
        <v>3174</v>
      </c>
      <c r="D1513" s="20" t="s">
        <v>3173</v>
      </c>
      <c r="E1513" s="20" t="e">
        <f t="array" ref="E1513">INDEX(C:C,SMALL(IF(ISNUMBER(FIND(CELL("contents"),$C$2:$C$4852)),ROW($C$2:$C$4852),4^8),ROW(C1513)))&amp;""</f>
        <v>#N/A</v>
      </c>
    </row>
    <row r="1514" ht="14.100000000000001" customHeight="1">
      <c r="B1514" s="20" t="s">
        <v>3175</v>
      </c>
      <c r="C1514" s="20" t="s">
        <v>3176</v>
      </c>
      <c r="D1514" s="20" t="s">
        <v>3175</v>
      </c>
      <c r="E1514" s="20" t="e">
        <f t="array" ref="E1514">INDEX(C:C,SMALL(IF(ISNUMBER(FIND(CELL("contents"),$C$2:$C$4852)),ROW($C$2:$C$4852),4^8),ROW(C1514)))&amp;""</f>
        <v>#N/A</v>
      </c>
    </row>
    <row r="1515" ht="14.100000000000001" customHeight="1">
      <c r="B1515" s="20" t="s">
        <v>3177</v>
      </c>
      <c r="C1515" s="20" t="s">
        <v>3178</v>
      </c>
      <c r="D1515" s="20" t="s">
        <v>3177</v>
      </c>
      <c r="E1515" s="20" t="e">
        <f t="array" ref="E1515">INDEX(C:C,SMALL(IF(ISNUMBER(FIND(CELL("contents"),$C$2:$C$4852)),ROW($C$2:$C$4852),4^8),ROW(C1515)))&amp;""</f>
        <v>#N/A</v>
      </c>
    </row>
    <row r="1516" ht="14.100000000000001" customHeight="1">
      <c r="B1516" s="20" t="s">
        <v>3179</v>
      </c>
      <c r="C1516" s="20" t="s">
        <v>3180</v>
      </c>
      <c r="D1516" s="20" t="s">
        <v>3179</v>
      </c>
      <c r="E1516" s="20" t="e">
        <f t="array" ref="E1516">INDEX(C:C,SMALL(IF(ISNUMBER(FIND(CELL("contents"),$C$2:$C$4852)),ROW($C$2:$C$4852),4^8),ROW(C1516)))&amp;""</f>
        <v>#N/A</v>
      </c>
    </row>
    <row r="1517" ht="14.100000000000001" customHeight="1">
      <c r="B1517" s="20" t="s">
        <v>3181</v>
      </c>
      <c r="C1517" s="20" t="s">
        <v>3182</v>
      </c>
      <c r="D1517" s="20" t="s">
        <v>3181</v>
      </c>
      <c r="E1517" s="20" t="e">
        <f t="array" ref="E1517">INDEX(C:C,SMALL(IF(ISNUMBER(FIND(CELL("contents"),$C$2:$C$4852)),ROW($C$2:$C$4852),4^8),ROW(C1517)))&amp;""</f>
        <v>#N/A</v>
      </c>
    </row>
    <row r="1518" ht="14.100000000000001" customHeight="1">
      <c r="B1518" s="20" t="s">
        <v>3183</v>
      </c>
      <c r="C1518" s="20" t="s">
        <v>3184</v>
      </c>
      <c r="D1518" s="20" t="s">
        <v>3183</v>
      </c>
      <c r="E1518" s="20" t="e">
        <f t="array" ref="E1518">INDEX(C:C,SMALL(IF(ISNUMBER(FIND(CELL("contents"),$C$2:$C$4852)),ROW($C$2:$C$4852),4^8),ROW(C1518)))&amp;""</f>
        <v>#N/A</v>
      </c>
    </row>
    <row r="1519" ht="14.100000000000001" customHeight="1">
      <c r="B1519" s="20" t="s">
        <v>3185</v>
      </c>
      <c r="C1519" s="20" t="s">
        <v>3186</v>
      </c>
      <c r="D1519" s="20" t="s">
        <v>3185</v>
      </c>
      <c r="E1519" s="20" t="e">
        <f t="array" ref="E1519">INDEX(C:C,SMALL(IF(ISNUMBER(FIND(CELL("contents"),$C$2:$C$4852)),ROW($C$2:$C$4852),4^8),ROW(C1519)))&amp;""</f>
        <v>#N/A</v>
      </c>
    </row>
    <row r="1520" ht="14.100000000000001" customHeight="1">
      <c r="B1520" s="20" t="s">
        <v>3187</v>
      </c>
      <c r="C1520" s="20" t="s">
        <v>3188</v>
      </c>
      <c r="D1520" s="20" t="s">
        <v>3187</v>
      </c>
      <c r="E1520" s="20" t="e">
        <f t="array" ref="E1520">INDEX(C:C,SMALL(IF(ISNUMBER(FIND(CELL("contents"),$C$2:$C$4852)),ROW($C$2:$C$4852),4^8),ROW(C1520)))&amp;""</f>
        <v>#N/A</v>
      </c>
    </row>
    <row r="1521" ht="14.100000000000001" customHeight="1">
      <c r="B1521" s="20" t="s">
        <v>3189</v>
      </c>
      <c r="C1521" s="20" t="s">
        <v>3190</v>
      </c>
      <c r="D1521" s="20" t="s">
        <v>3189</v>
      </c>
      <c r="E1521" s="20" t="e">
        <f t="array" ref="E1521">INDEX(C:C,SMALL(IF(ISNUMBER(FIND(CELL("contents"),$C$2:$C$4852)),ROW($C$2:$C$4852),4^8),ROW(C1521)))&amp;""</f>
        <v>#N/A</v>
      </c>
    </row>
    <row r="1522" ht="14.100000000000001" customHeight="1">
      <c r="B1522" s="20" t="s">
        <v>3191</v>
      </c>
      <c r="C1522" s="20" t="s">
        <v>3192</v>
      </c>
      <c r="D1522" s="20" t="s">
        <v>3191</v>
      </c>
      <c r="E1522" s="20" t="e">
        <f t="array" ref="E1522">INDEX(C:C,SMALL(IF(ISNUMBER(FIND(CELL("contents"),$C$2:$C$4852)),ROW($C$2:$C$4852),4^8),ROW(C1522)))&amp;""</f>
        <v>#N/A</v>
      </c>
    </row>
    <row r="1523" ht="14.100000000000001" customHeight="1">
      <c r="B1523" s="20" t="s">
        <v>3193</v>
      </c>
      <c r="C1523" s="20" t="s">
        <v>3194</v>
      </c>
      <c r="D1523" s="20" t="s">
        <v>3193</v>
      </c>
      <c r="E1523" s="20" t="e">
        <f t="array" ref="E1523">INDEX(C:C,SMALL(IF(ISNUMBER(FIND(CELL("contents"),$C$2:$C$4852)),ROW($C$2:$C$4852),4^8),ROW(C1523)))&amp;""</f>
        <v>#N/A</v>
      </c>
    </row>
    <row r="1524" ht="14.100000000000001" customHeight="1">
      <c r="B1524" s="20" t="s">
        <v>3195</v>
      </c>
      <c r="C1524" s="20" t="s">
        <v>3196</v>
      </c>
      <c r="D1524" s="20" t="s">
        <v>3195</v>
      </c>
      <c r="E1524" s="20" t="e">
        <f t="array" ref="E1524">INDEX(C:C,SMALL(IF(ISNUMBER(FIND(CELL("contents"),$C$2:$C$4852)),ROW($C$2:$C$4852),4^8),ROW(C1524)))&amp;""</f>
        <v>#N/A</v>
      </c>
    </row>
    <row r="1525" ht="14.100000000000001" customHeight="1">
      <c r="B1525" s="20" t="s">
        <v>3197</v>
      </c>
      <c r="C1525" s="20" t="s">
        <v>3198</v>
      </c>
      <c r="D1525" s="20" t="s">
        <v>3197</v>
      </c>
      <c r="E1525" s="20" t="e">
        <f t="array" ref="E1525">INDEX(C:C,SMALL(IF(ISNUMBER(FIND(CELL("contents"),$C$2:$C$4852)),ROW($C$2:$C$4852),4^8),ROW(C1525)))&amp;""</f>
        <v>#N/A</v>
      </c>
    </row>
    <row r="1526" ht="14.100000000000001" customHeight="1">
      <c r="B1526" s="20" t="s">
        <v>3199</v>
      </c>
      <c r="C1526" s="20" t="s">
        <v>3200</v>
      </c>
      <c r="D1526" s="20" t="s">
        <v>3199</v>
      </c>
      <c r="E1526" s="20" t="e">
        <f t="array" ref="E1526">INDEX(C:C,SMALL(IF(ISNUMBER(FIND(CELL("contents"),$C$2:$C$4852)),ROW($C$2:$C$4852),4^8),ROW(C1526)))&amp;""</f>
        <v>#N/A</v>
      </c>
    </row>
    <row r="1527" ht="14.100000000000001" customHeight="1">
      <c r="B1527" s="20" t="s">
        <v>3201</v>
      </c>
      <c r="C1527" s="20" t="s">
        <v>3202</v>
      </c>
      <c r="D1527" s="20" t="s">
        <v>3201</v>
      </c>
      <c r="E1527" s="20" t="e">
        <f t="array" ref="E1527">INDEX(C:C,SMALL(IF(ISNUMBER(FIND(CELL("contents"),$C$2:$C$4852)),ROW($C$2:$C$4852),4^8),ROW(C1527)))&amp;""</f>
        <v>#N/A</v>
      </c>
    </row>
    <row r="1528" ht="14.100000000000001" customHeight="1">
      <c r="B1528" s="20" t="s">
        <v>3203</v>
      </c>
      <c r="C1528" s="20" t="s">
        <v>3204</v>
      </c>
      <c r="D1528" s="20" t="s">
        <v>3203</v>
      </c>
      <c r="E1528" s="20" t="e">
        <f t="array" ref="E1528">INDEX(C:C,SMALL(IF(ISNUMBER(FIND(CELL("contents"),$C$2:$C$4852)),ROW($C$2:$C$4852),4^8),ROW(C1528)))&amp;""</f>
        <v>#N/A</v>
      </c>
    </row>
    <row r="1529" ht="14.100000000000001" customHeight="1">
      <c r="B1529" s="20" t="s">
        <v>3205</v>
      </c>
      <c r="C1529" s="20" t="s">
        <v>3206</v>
      </c>
      <c r="D1529" s="20" t="s">
        <v>3205</v>
      </c>
      <c r="E1529" s="20" t="e">
        <f t="array" ref="E1529">INDEX(C:C,SMALL(IF(ISNUMBER(FIND(CELL("contents"),$C$2:$C$4852)),ROW($C$2:$C$4852),4^8),ROW(C1529)))&amp;""</f>
        <v>#N/A</v>
      </c>
    </row>
    <row r="1530" ht="14.100000000000001" customHeight="1">
      <c r="B1530" s="20" t="s">
        <v>3207</v>
      </c>
      <c r="C1530" s="20" t="s">
        <v>3208</v>
      </c>
      <c r="D1530" s="20" t="s">
        <v>3207</v>
      </c>
      <c r="E1530" s="20" t="e">
        <f t="array" ref="E1530">INDEX(C:C,SMALL(IF(ISNUMBER(FIND(CELL("contents"),$C$2:$C$4852)),ROW($C$2:$C$4852),4^8),ROW(C1530)))&amp;""</f>
        <v>#N/A</v>
      </c>
    </row>
    <row r="1531" ht="14.100000000000001" customHeight="1">
      <c r="B1531" s="20" t="s">
        <v>3209</v>
      </c>
      <c r="C1531" s="20" t="s">
        <v>3210</v>
      </c>
      <c r="D1531" s="20" t="s">
        <v>3209</v>
      </c>
      <c r="E1531" s="20" t="e">
        <f t="array" ref="E1531">INDEX(C:C,SMALL(IF(ISNUMBER(FIND(CELL("contents"),$C$2:$C$4852)),ROW($C$2:$C$4852),4^8),ROW(C1531)))&amp;""</f>
        <v>#N/A</v>
      </c>
    </row>
    <row r="1532" ht="14.100000000000001" customHeight="1">
      <c r="B1532" s="20" t="s">
        <v>3211</v>
      </c>
      <c r="C1532" s="20" t="s">
        <v>3212</v>
      </c>
      <c r="D1532" s="20" t="s">
        <v>3211</v>
      </c>
      <c r="E1532" s="20" t="e">
        <f t="array" ref="E1532">INDEX(C:C,SMALL(IF(ISNUMBER(FIND(CELL("contents"),$C$2:$C$4852)),ROW($C$2:$C$4852),4^8),ROW(C1532)))&amp;""</f>
        <v>#N/A</v>
      </c>
    </row>
    <row r="1533" ht="14.100000000000001" customHeight="1">
      <c r="B1533" s="20" t="s">
        <v>3213</v>
      </c>
      <c r="C1533" s="20" t="s">
        <v>3214</v>
      </c>
      <c r="D1533" s="20" t="s">
        <v>3213</v>
      </c>
      <c r="E1533" s="20" t="e">
        <f t="array" ref="E1533">INDEX(C:C,SMALL(IF(ISNUMBER(FIND(CELL("contents"),$C$2:$C$4852)),ROW($C$2:$C$4852),4^8),ROW(C1533)))&amp;""</f>
        <v>#N/A</v>
      </c>
    </row>
    <row r="1534" ht="14.100000000000001" customHeight="1">
      <c r="B1534" s="20" t="s">
        <v>3215</v>
      </c>
      <c r="C1534" s="20" t="s">
        <v>3216</v>
      </c>
      <c r="D1534" s="20" t="s">
        <v>3215</v>
      </c>
      <c r="E1534" s="20" t="e">
        <f t="array" ref="E1534">INDEX(C:C,SMALL(IF(ISNUMBER(FIND(CELL("contents"),$C$2:$C$4852)),ROW($C$2:$C$4852),4^8),ROW(C1534)))&amp;""</f>
        <v>#N/A</v>
      </c>
    </row>
    <row r="1535" ht="14.100000000000001" customHeight="1">
      <c r="B1535" s="20" t="s">
        <v>3217</v>
      </c>
      <c r="C1535" s="20" t="s">
        <v>3218</v>
      </c>
      <c r="D1535" s="20" t="s">
        <v>3217</v>
      </c>
      <c r="E1535" s="20" t="e">
        <f t="array" ref="E1535">INDEX(C:C,SMALL(IF(ISNUMBER(FIND(CELL("contents"),$C$2:$C$4852)),ROW($C$2:$C$4852),4^8),ROW(C1535)))&amp;""</f>
        <v>#N/A</v>
      </c>
    </row>
    <row r="1536" ht="14.100000000000001" customHeight="1">
      <c r="B1536" s="20" t="s">
        <v>3219</v>
      </c>
      <c r="C1536" s="20" t="s">
        <v>3220</v>
      </c>
      <c r="D1536" s="20" t="s">
        <v>3219</v>
      </c>
      <c r="E1536" s="20" t="e">
        <f t="array" ref="E1536">INDEX(C:C,SMALL(IF(ISNUMBER(FIND(CELL("contents"),$C$2:$C$4852)),ROW($C$2:$C$4852),4^8),ROW(C1536)))&amp;""</f>
        <v>#N/A</v>
      </c>
    </row>
    <row r="1537" ht="14.100000000000001" customHeight="1">
      <c r="B1537" s="20" t="s">
        <v>3221</v>
      </c>
      <c r="C1537" s="20" t="s">
        <v>3222</v>
      </c>
      <c r="D1537" s="20" t="s">
        <v>3221</v>
      </c>
      <c r="E1537" s="20" t="e">
        <f t="array" ref="E1537">INDEX(C:C,SMALL(IF(ISNUMBER(FIND(CELL("contents"),$C$2:$C$4852)),ROW($C$2:$C$4852),4^8),ROW(C1537)))&amp;""</f>
        <v>#N/A</v>
      </c>
    </row>
    <row r="1538" ht="14.100000000000001" customHeight="1">
      <c r="B1538" s="20" t="s">
        <v>3223</v>
      </c>
      <c r="C1538" s="20" t="s">
        <v>3224</v>
      </c>
      <c r="D1538" s="20" t="s">
        <v>3223</v>
      </c>
      <c r="E1538" s="20" t="e">
        <f t="array" ref="E1538">INDEX(C:C,SMALL(IF(ISNUMBER(FIND(CELL("contents"),$C$2:$C$4852)),ROW($C$2:$C$4852),4^8),ROW(C1538)))&amp;""</f>
        <v>#N/A</v>
      </c>
    </row>
    <row r="1539" ht="14.100000000000001" customHeight="1">
      <c r="B1539" s="20" t="s">
        <v>3225</v>
      </c>
      <c r="C1539" s="20" t="s">
        <v>3226</v>
      </c>
      <c r="D1539" s="20" t="s">
        <v>3225</v>
      </c>
      <c r="E1539" s="20" t="e">
        <f t="array" ref="E1539">INDEX(C:C,SMALL(IF(ISNUMBER(FIND(CELL("contents"),$C$2:$C$4852)),ROW($C$2:$C$4852),4^8),ROW(C1539)))&amp;""</f>
        <v>#N/A</v>
      </c>
    </row>
    <row r="1540" ht="14.100000000000001" customHeight="1">
      <c r="B1540" s="20" t="s">
        <v>3227</v>
      </c>
      <c r="C1540" s="20" t="s">
        <v>3228</v>
      </c>
      <c r="D1540" s="20" t="s">
        <v>3227</v>
      </c>
      <c r="E1540" s="20" t="e">
        <f t="array" ref="E1540">INDEX(C:C,SMALL(IF(ISNUMBER(FIND(CELL("contents"),$C$2:$C$4852)),ROW($C$2:$C$4852),4^8),ROW(C1540)))&amp;""</f>
        <v>#N/A</v>
      </c>
    </row>
    <row r="1541" ht="14.100000000000001" customHeight="1">
      <c r="B1541" s="20" t="s">
        <v>3229</v>
      </c>
      <c r="C1541" s="20" t="s">
        <v>3230</v>
      </c>
      <c r="D1541" s="20" t="s">
        <v>3229</v>
      </c>
      <c r="E1541" s="20" t="e">
        <f t="array" ref="E1541">INDEX(C:C,SMALL(IF(ISNUMBER(FIND(CELL("contents"),$C$2:$C$4852)),ROW($C$2:$C$4852),4^8),ROW(C1541)))&amp;""</f>
        <v>#N/A</v>
      </c>
    </row>
    <row r="1542" ht="14.100000000000001" customHeight="1">
      <c r="B1542" s="20" t="s">
        <v>3231</v>
      </c>
      <c r="C1542" s="20" t="s">
        <v>3232</v>
      </c>
      <c r="D1542" s="20" t="s">
        <v>3231</v>
      </c>
      <c r="E1542" s="20" t="e">
        <f t="array" ref="E1542">INDEX(C:C,SMALL(IF(ISNUMBER(FIND(CELL("contents"),$C$2:$C$4852)),ROW($C$2:$C$4852),4^8),ROW(C1542)))&amp;""</f>
        <v>#N/A</v>
      </c>
    </row>
    <row r="1543" ht="14.100000000000001" customHeight="1">
      <c r="B1543" s="20" t="s">
        <v>3233</v>
      </c>
      <c r="C1543" s="20" t="s">
        <v>3234</v>
      </c>
      <c r="D1543" s="20" t="s">
        <v>3233</v>
      </c>
      <c r="E1543" s="20" t="e">
        <f t="array" ref="E1543">INDEX(C:C,SMALL(IF(ISNUMBER(FIND(CELL("contents"),$C$2:$C$4852)),ROW($C$2:$C$4852),4^8),ROW(C1543)))&amp;""</f>
        <v>#N/A</v>
      </c>
    </row>
    <row r="1544" ht="14.100000000000001" customHeight="1">
      <c r="B1544" s="20" t="s">
        <v>3235</v>
      </c>
      <c r="C1544" s="20" t="s">
        <v>3236</v>
      </c>
      <c r="D1544" s="20" t="s">
        <v>3235</v>
      </c>
      <c r="E1544" s="20" t="e">
        <f t="array" ref="E1544">INDEX(C:C,SMALL(IF(ISNUMBER(FIND(CELL("contents"),$C$2:$C$4852)),ROW($C$2:$C$4852),4^8),ROW(C1544)))&amp;""</f>
        <v>#N/A</v>
      </c>
    </row>
    <row r="1545" ht="14.100000000000001" customHeight="1">
      <c r="B1545" s="20" t="s">
        <v>3237</v>
      </c>
      <c r="C1545" s="20" t="s">
        <v>3238</v>
      </c>
      <c r="D1545" s="20" t="s">
        <v>3237</v>
      </c>
      <c r="E1545" s="20" t="e">
        <f t="array" ref="E1545">INDEX(C:C,SMALL(IF(ISNUMBER(FIND(CELL("contents"),$C$2:$C$4852)),ROW($C$2:$C$4852),4^8),ROW(C1545)))&amp;""</f>
        <v>#N/A</v>
      </c>
    </row>
    <row r="1546" ht="14.100000000000001" customHeight="1">
      <c r="B1546" s="20" t="s">
        <v>3239</v>
      </c>
      <c r="C1546" s="20" t="s">
        <v>3240</v>
      </c>
      <c r="D1546" s="20" t="s">
        <v>3239</v>
      </c>
      <c r="E1546" s="20" t="e">
        <f t="array" ref="E1546">INDEX(C:C,SMALL(IF(ISNUMBER(FIND(CELL("contents"),$C$2:$C$4852)),ROW($C$2:$C$4852),4^8),ROW(C1546)))&amp;""</f>
        <v>#N/A</v>
      </c>
    </row>
    <row r="1547" ht="14.100000000000001" customHeight="1">
      <c r="B1547" s="20" t="s">
        <v>3241</v>
      </c>
      <c r="C1547" s="20" t="s">
        <v>3242</v>
      </c>
      <c r="D1547" s="20" t="s">
        <v>3241</v>
      </c>
      <c r="E1547" s="20" t="e">
        <f t="array" ref="E1547">INDEX(C:C,SMALL(IF(ISNUMBER(FIND(CELL("contents"),$C$2:$C$4852)),ROW($C$2:$C$4852),4^8),ROW(C1547)))&amp;""</f>
        <v>#N/A</v>
      </c>
    </row>
    <row r="1548" ht="14.100000000000001" customHeight="1">
      <c r="B1548" s="20" t="s">
        <v>3243</v>
      </c>
      <c r="C1548" s="20" t="s">
        <v>3244</v>
      </c>
      <c r="D1548" s="20" t="s">
        <v>3243</v>
      </c>
      <c r="E1548" s="20" t="e">
        <f t="array" ref="E1548">INDEX(C:C,SMALL(IF(ISNUMBER(FIND(CELL("contents"),$C$2:$C$4852)),ROW($C$2:$C$4852),4^8),ROW(C1548)))&amp;""</f>
        <v>#N/A</v>
      </c>
    </row>
    <row r="1549" ht="14.100000000000001" customHeight="1">
      <c r="B1549" s="20" t="s">
        <v>3245</v>
      </c>
      <c r="C1549" s="20" t="s">
        <v>3246</v>
      </c>
      <c r="D1549" s="20" t="s">
        <v>3245</v>
      </c>
      <c r="E1549" s="20" t="e">
        <f t="array" ref="E1549">INDEX(C:C,SMALL(IF(ISNUMBER(FIND(CELL("contents"),$C$2:$C$4852)),ROW($C$2:$C$4852),4^8),ROW(C1549)))&amp;""</f>
        <v>#N/A</v>
      </c>
    </row>
    <row r="1550" ht="14.100000000000001" customHeight="1">
      <c r="B1550" s="20" t="s">
        <v>3247</v>
      </c>
      <c r="C1550" s="20" t="s">
        <v>3248</v>
      </c>
      <c r="D1550" s="20" t="s">
        <v>3247</v>
      </c>
      <c r="E1550" s="20" t="e">
        <f t="array" ref="E1550">INDEX(C:C,SMALL(IF(ISNUMBER(FIND(CELL("contents"),$C$2:$C$4852)),ROW($C$2:$C$4852),4^8),ROW(C1550)))&amp;""</f>
        <v>#N/A</v>
      </c>
    </row>
    <row r="1551" ht="14.100000000000001" customHeight="1">
      <c r="B1551" s="20" t="s">
        <v>3249</v>
      </c>
      <c r="C1551" s="20" t="s">
        <v>3250</v>
      </c>
      <c r="D1551" s="20" t="s">
        <v>3249</v>
      </c>
      <c r="E1551" s="20" t="e">
        <f t="array" ref="E1551">INDEX(C:C,SMALL(IF(ISNUMBER(FIND(CELL("contents"),$C$2:$C$4852)),ROW($C$2:$C$4852),4^8),ROW(C1551)))&amp;""</f>
        <v>#N/A</v>
      </c>
    </row>
    <row r="1552" ht="14.100000000000001" customHeight="1">
      <c r="B1552" s="20" t="s">
        <v>3251</v>
      </c>
      <c r="C1552" s="20" t="s">
        <v>3252</v>
      </c>
      <c r="D1552" s="20" t="s">
        <v>3251</v>
      </c>
      <c r="E1552" s="20" t="e">
        <f t="array" ref="E1552">INDEX(C:C,SMALL(IF(ISNUMBER(FIND(CELL("contents"),$C$2:$C$4852)),ROW($C$2:$C$4852),4^8),ROW(C1552)))&amp;""</f>
        <v>#N/A</v>
      </c>
    </row>
    <row r="1553" ht="14.100000000000001" customHeight="1">
      <c r="B1553" s="20" t="s">
        <v>3253</v>
      </c>
      <c r="C1553" s="20" t="s">
        <v>3254</v>
      </c>
      <c r="D1553" s="20" t="s">
        <v>3253</v>
      </c>
      <c r="E1553" s="20" t="e">
        <f t="array" ref="E1553">INDEX(C:C,SMALL(IF(ISNUMBER(FIND(CELL("contents"),$C$2:$C$4852)),ROW($C$2:$C$4852),4^8),ROW(C1553)))&amp;""</f>
        <v>#N/A</v>
      </c>
    </row>
    <row r="1554" ht="14.100000000000001" customHeight="1">
      <c r="B1554" s="20" t="s">
        <v>3255</v>
      </c>
      <c r="C1554" s="20" t="s">
        <v>3256</v>
      </c>
      <c r="D1554" s="20" t="s">
        <v>3255</v>
      </c>
      <c r="E1554" s="20" t="e">
        <f t="array" ref="E1554">INDEX(C:C,SMALL(IF(ISNUMBER(FIND(CELL("contents"),$C$2:$C$4852)),ROW($C$2:$C$4852),4^8),ROW(C1554)))&amp;""</f>
        <v>#N/A</v>
      </c>
    </row>
    <row r="1555" ht="14.100000000000001" customHeight="1">
      <c r="B1555" s="20" t="s">
        <v>3257</v>
      </c>
      <c r="C1555" s="20" t="s">
        <v>3258</v>
      </c>
      <c r="D1555" s="20" t="s">
        <v>3257</v>
      </c>
      <c r="E1555" s="20" t="e">
        <f t="array" ref="E1555">INDEX(C:C,SMALL(IF(ISNUMBER(FIND(CELL("contents"),$C$2:$C$4852)),ROW($C$2:$C$4852),4^8),ROW(C1555)))&amp;""</f>
        <v>#N/A</v>
      </c>
    </row>
    <row r="1556" ht="14.100000000000001" customHeight="1">
      <c r="B1556" s="20" t="s">
        <v>3259</v>
      </c>
      <c r="C1556" s="20" t="s">
        <v>3260</v>
      </c>
      <c r="D1556" s="20" t="s">
        <v>3259</v>
      </c>
      <c r="E1556" s="20" t="e">
        <f t="array" ref="E1556">INDEX(C:C,SMALL(IF(ISNUMBER(FIND(CELL("contents"),$C$2:$C$4852)),ROW($C$2:$C$4852),4^8),ROW(C1556)))&amp;""</f>
        <v>#N/A</v>
      </c>
    </row>
    <row r="1557" ht="14.100000000000001" customHeight="1">
      <c r="B1557" s="20" t="s">
        <v>3261</v>
      </c>
      <c r="C1557" s="20" t="s">
        <v>3262</v>
      </c>
      <c r="D1557" s="20" t="s">
        <v>3261</v>
      </c>
      <c r="E1557" s="20" t="e">
        <f t="array" ref="E1557">INDEX(C:C,SMALL(IF(ISNUMBER(FIND(CELL("contents"),$C$2:$C$4852)),ROW($C$2:$C$4852),4^8),ROW(C1557)))&amp;""</f>
        <v>#N/A</v>
      </c>
    </row>
    <row r="1558" ht="14.100000000000001" customHeight="1">
      <c r="B1558" s="20" t="s">
        <v>3263</v>
      </c>
      <c r="C1558" s="20" t="s">
        <v>3264</v>
      </c>
      <c r="D1558" s="20" t="s">
        <v>3263</v>
      </c>
      <c r="E1558" s="20" t="e">
        <f t="array" ref="E1558">INDEX(C:C,SMALL(IF(ISNUMBER(FIND(CELL("contents"),$C$2:$C$4852)),ROW($C$2:$C$4852),4^8),ROW(C1558)))&amp;""</f>
        <v>#N/A</v>
      </c>
    </row>
    <row r="1559" ht="14.100000000000001" customHeight="1">
      <c r="B1559" s="20" t="s">
        <v>3265</v>
      </c>
      <c r="C1559" s="20" t="s">
        <v>3266</v>
      </c>
      <c r="D1559" s="20" t="s">
        <v>3265</v>
      </c>
      <c r="E1559" s="20" t="e">
        <f t="array" ref="E1559">INDEX(C:C,SMALL(IF(ISNUMBER(FIND(CELL("contents"),$C$2:$C$4852)),ROW($C$2:$C$4852),4^8),ROW(C1559)))&amp;""</f>
        <v>#N/A</v>
      </c>
    </row>
    <row r="1560" ht="14.100000000000001" customHeight="1">
      <c r="B1560" s="20" t="s">
        <v>3267</v>
      </c>
      <c r="C1560" s="20" t="s">
        <v>3268</v>
      </c>
      <c r="D1560" s="20" t="s">
        <v>3267</v>
      </c>
      <c r="E1560" s="20" t="e">
        <f t="array" ref="E1560">INDEX(C:C,SMALL(IF(ISNUMBER(FIND(CELL("contents"),$C$2:$C$4852)),ROW($C$2:$C$4852),4^8),ROW(C1560)))&amp;""</f>
        <v>#N/A</v>
      </c>
    </row>
    <row r="1561" ht="14.100000000000001" customHeight="1">
      <c r="B1561" s="20" t="s">
        <v>3269</v>
      </c>
      <c r="C1561" s="20" t="s">
        <v>3270</v>
      </c>
      <c r="D1561" s="20" t="s">
        <v>3269</v>
      </c>
      <c r="E1561" s="20" t="e">
        <f t="array" ref="E1561">INDEX(C:C,SMALL(IF(ISNUMBER(FIND(CELL("contents"),$C$2:$C$4852)),ROW($C$2:$C$4852),4^8),ROW(C1561)))&amp;""</f>
        <v>#N/A</v>
      </c>
    </row>
    <row r="1562" ht="14.100000000000001" customHeight="1">
      <c r="B1562" s="20" t="s">
        <v>3271</v>
      </c>
      <c r="C1562" s="20" t="s">
        <v>3272</v>
      </c>
      <c r="D1562" s="20" t="s">
        <v>3271</v>
      </c>
      <c r="E1562" s="20" t="e">
        <f t="array" ref="E1562">INDEX(C:C,SMALL(IF(ISNUMBER(FIND(CELL("contents"),$C$2:$C$4852)),ROW($C$2:$C$4852),4^8),ROW(C1562)))&amp;""</f>
        <v>#N/A</v>
      </c>
    </row>
    <row r="1563" ht="14.100000000000001" customHeight="1">
      <c r="B1563" s="20" t="s">
        <v>3273</v>
      </c>
      <c r="C1563" s="20" t="s">
        <v>3274</v>
      </c>
      <c r="D1563" s="20" t="s">
        <v>3273</v>
      </c>
      <c r="E1563" s="20" t="e">
        <f t="array" ref="E1563">INDEX(C:C,SMALL(IF(ISNUMBER(FIND(CELL("contents"),$C$2:$C$4852)),ROW($C$2:$C$4852),4^8),ROW(C1563)))&amp;""</f>
        <v>#N/A</v>
      </c>
    </row>
    <row r="1564" ht="14.100000000000001" customHeight="1">
      <c r="B1564" s="20" t="s">
        <v>3275</v>
      </c>
      <c r="C1564" s="20" t="s">
        <v>3276</v>
      </c>
      <c r="D1564" s="20" t="s">
        <v>3275</v>
      </c>
      <c r="E1564" s="20" t="e">
        <f t="array" ref="E1564">INDEX(C:C,SMALL(IF(ISNUMBER(FIND(CELL("contents"),$C$2:$C$4852)),ROW($C$2:$C$4852),4^8),ROW(C1564)))&amp;""</f>
        <v>#N/A</v>
      </c>
    </row>
    <row r="1565" ht="14.100000000000001" customHeight="1">
      <c r="B1565" s="20" t="s">
        <v>3277</v>
      </c>
      <c r="C1565" s="20" t="s">
        <v>3278</v>
      </c>
      <c r="D1565" s="20" t="s">
        <v>3277</v>
      </c>
      <c r="E1565" s="20" t="e">
        <f t="array" ref="E1565">INDEX(C:C,SMALL(IF(ISNUMBER(FIND(CELL("contents"),$C$2:$C$4852)),ROW($C$2:$C$4852),4^8),ROW(C1565)))&amp;""</f>
        <v>#N/A</v>
      </c>
    </row>
    <row r="1566" ht="14.100000000000001" customHeight="1">
      <c r="B1566" s="20" t="s">
        <v>3279</v>
      </c>
      <c r="C1566" s="20" t="s">
        <v>3280</v>
      </c>
      <c r="D1566" s="20" t="s">
        <v>3279</v>
      </c>
      <c r="E1566" s="20" t="e">
        <f t="array" ref="E1566">INDEX(C:C,SMALL(IF(ISNUMBER(FIND(CELL("contents"),$C$2:$C$4852)),ROW($C$2:$C$4852),4^8),ROW(C1566)))&amp;""</f>
        <v>#N/A</v>
      </c>
    </row>
    <row r="1567" ht="14.100000000000001" customHeight="1">
      <c r="B1567" s="20" t="s">
        <v>3281</v>
      </c>
      <c r="C1567" s="20" t="s">
        <v>3282</v>
      </c>
      <c r="D1567" s="20" t="s">
        <v>3281</v>
      </c>
      <c r="E1567" s="20" t="e">
        <f t="array" ref="E1567">INDEX(C:C,SMALL(IF(ISNUMBER(FIND(CELL("contents"),$C$2:$C$4852)),ROW($C$2:$C$4852),4^8),ROW(C1567)))&amp;""</f>
        <v>#N/A</v>
      </c>
    </row>
    <row r="1568" ht="14.100000000000001" customHeight="1">
      <c r="B1568" s="20" t="s">
        <v>3283</v>
      </c>
      <c r="C1568" s="20" t="s">
        <v>3284</v>
      </c>
      <c r="D1568" s="20" t="s">
        <v>3283</v>
      </c>
      <c r="E1568" s="20" t="e">
        <f t="array" ref="E1568">INDEX(C:C,SMALL(IF(ISNUMBER(FIND(CELL("contents"),$C$2:$C$4852)),ROW($C$2:$C$4852),4^8),ROW(C1568)))&amp;""</f>
        <v>#N/A</v>
      </c>
    </row>
    <row r="1569" ht="14.100000000000001" customHeight="1">
      <c r="B1569" s="20" t="s">
        <v>3285</v>
      </c>
      <c r="C1569" s="20" t="s">
        <v>3286</v>
      </c>
      <c r="D1569" s="20" t="s">
        <v>3285</v>
      </c>
      <c r="E1569" s="20" t="e">
        <f t="array" ref="E1569">INDEX(C:C,SMALL(IF(ISNUMBER(FIND(CELL("contents"),$C$2:$C$4852)),ROW($C$2:$C$4852),4^8),ROW(C1569)))&amp;""</f>
        <v>#N/A</v>
      </c>
    </row>
    <row r="1570" ht="14.100000000000001" customHeight="1">
      <c r="B1570" s="20" t="s">
        <v>3287</v>
      </c>
      <c r="C1570" s="20" t="s">
        <v>3288</v>
      </c>
      <c r="D1570" s="20" t="s">
        <v>3287</v>
      </c>
      <c r="E1570" s="20" t="e">
        <f t="array" ref="E1570">INDEX(C:C,SMALL(IF(ISNUMBER(FIND(CELL("contents"),$C$2:$C$4852)),ROW($C$2:$C$4852),4^8),ROW(C1570)))&amp;""</f>
        <v>#N/A</v>
      </c>
    </row>
    <row r="1571" ht="14.100000000000001" customHeight="1">
      <c r="B1571" s="20" t="s">
        <v>3289</v>
      </c>
      <c r="C1571" s="20" t="s">
        <v>3290</v>
      </c>
      <c r="D1571" s="20" t="s">
        <v>3289</v>
      </c>
      <c r="E1571" s="20" t="e">
        <f t="array" ref="E1571">INDEX(C:C,SMALL(IF(ISNUMBER(FIND(CELL("contents"),$C$2:$C$4852)),ROW($C$2:$C$4852),4^8),ROW(C1571)))&amp;""</f>
        <v>#N/A</v>
      </c>
    </row>
    <row r="1572" ht="14.100000000000001" customHeight="1">
      <c r="B1572" s="20" t="s">
        <v>3291</v>
      </c>
      <c r="C1572" s="20" t="s">
        <v>3292</v>
      </c>
      <c r="D1572" s="20" t="s">
        <v>3291</v>
      </c>
      <c r="E1572" s="20" t="e">
        <f t="array" ref="E1572">INDEX(C:C,SMALL(IF(ISNUMBER(FIND(CELL("contents"),$C$2:$C$4852)),ROW($C$2:$C$4852),4^8),ROW(C1572)))&amp;""</f>
        <v>#N/A</v>
      </c>
    </row>
    <row r="1573" ht="14.100000000000001" customHeight="1">
      <c r="B1573" s="20" t="s">
        <v>3293</v>
      </c>
      <c r="C1573" s="20" t="s">
        <v>3294</v>
      </c>
      <c r="D1573" s="20" t="s">
        <v>3293</v>
      </c>
      <c r="E1573" s="20" t="e">
        <f t="array" ref="E1573">INDEX(C:C,SMALL(IF(ISNUMBER(FIND(CELL("contents"),$C$2:$C$4852)),ROW($C$2:$C$4852),4^8),ROW(C1573)))&amp;""</f>
        <v>#N/A</v>
      </c>
    </row>
    <row r="1574" ht="14.100000000000001" customHeight="1">
      <c r="B1574" s="20" t="s">
        <v>3295</v>
      </c>
      <c r="C1574" s="20" t="s">
        <v>3296</v>
      </c>
      <c r="D1574" s="20" t="s">
        <v>3295</v>
      </c>
      <c r="E1574" s="20" t="e">
        <f t="array" ref="E1574">INDEX(C:C,SMALL(IF(ISNUMBER(FIND(CELL("contents"),$C$2:$C$4852)),ROW($C$2:$C$4852),4^8),ROW(C1574)))&amp;""</f>
        <v>#N/A</v>
      </c>
    </row>
    <row r="1575" ht="14.100000000000001" customHeight="1">
      <c r="B1575" s="20" t="s">
        <v>3297</v>
      </c>
      <c r="C1575" s="20" t="s">
        <v>3298</v>
      </c>
      <c r="D1575" s="20" t="s">
        <v>3297</v>
      </c>
      <c r="E1575" s="20" t="e">
        <f t="array" ref="E1575">INDEX(C:C,SMALL(IF(ISNUMBER(FIND(CELL("contents"),$C$2:$C$4852)),ROW($C$2:$C$4852),4^8),ROW(C1575)))&amp;""</f>
        <v>#N/A</v>
      </c>
    </row>
    <row r="1576" ht="14.100000000000001" customHeight="1">
      <c r="B1576" s="20" t="s">
        <v>3299</v>
      </c>
      <c r="C1576" s="20" t="s">
        <v>3300</v>
      </c>
      <c r="D1576" s="20" t="s">
        <v>3299</v>
      </c>
      <c r="E1576" s="20" t="e">
        <f t="array" ref="E1576">INDEX(C:C,SMALL(IF(ISNUMBER(FIND(CELL("contents"),$C$2:$C$4852)),ROW($C$2:$C$4852),4^8),ROW(C1576)))&amp;""</f>
        <v>#N/A</v>
      </c>
    </row>
    <row r="1577" ht="14.100000000000001" customHeight="1">
      <c r="B1577" s="20" t="s">
        <v>3301</v>
      </c>
      <c r="C1577" s="20" t="s">
        <v>3302</v>
      </c>
      <c r="D1577" s="20" t="s">
        <v>3301</v>
      </c>
      <c r="E1577" s="20" t="e">
        <f t="array" ref="E1577">INDEX(C:C,SMALL(IF(ISNUMBER(FIND(CELL("contents"),$C$2:$C$4852)),ROW($C$2:$C$4852),4^8),ROW(C1577)))&amp;""</f>
        <v>#N/A</v>
      </c>
    </row>
    <row r="1578" ht="14.100000000000001" customHeight="1">
      <c r="B1578" s="20" t="s">
        <v>3303</v>
      </c>
      <c r="C1578" s="20" t="s">
        <v>3304</v>
      </c>
      <c r="D1578" s="20" t="s">
        <v>3303</v>
      </c>
      <c r="E1578" s="20" t="e">
        <f t="array" ref="E1578">INDEX(C:C,SMALL(IF(ISNUMBER(FIND(CELL("contents"),$C$2:$C$4852)),ROW($C$2:$C$4852),4^8),ROW(C1578)))&amp;""</f>
        <v>#N/A</v>
      </c>
    </row>
    <row r="1579" ht="14.100000000000001" customHeight="1">
      <c r="B1579" s="20" t="s">
        <v>3305</v>
      </c>
      <c r="C1579" s="20" t="s">
        <v>3306</v>
      </c>
      <c r="D1579" s="20" t="s">
        <v>3305</v>
      </c>
      <c r="E1579" s="20" t="e">
        <f t="array" ref="E1579">INDEX(C:C,SMALL(IF(ISNUMBER(FIND(CELL("contents"),$C$2:$C$4852)),ROW($C$2:$C$4852),4^8),ROW(C1579)))&amp;""</f>
        <v>#N/A</v>
      </c>
    </row>
    <row r="1580" ht="14.100000000000001" customHeight="1">
      <c r="B1580" s="20" t="s">
        <v>3307</v>
      </c>
      <c r="C1580" s="20" t="s">
        <v>3308</v>
      </c>
      <c r="D1580" s="20" t="s">
        <v>3307</v>
      </c>
      <c r="E1580" s="20" t="e">
        <f t="array" ref="E1580">INDEX(C:C,SMALL(IF(ISNUMBER(FIND(CELL("contents"),$C$2:$C$4852)),ROW($C$2:$C$4852),4^8),ROW(C1580)))&amp;""</f>
        <v>#N/A</v>
      </c>
    </row>
    <row r="1581" ht="14.100000000000001" customHeight="1">
      <c r="B1581" s="20" t="s">
        <v>3309</v>
      </c>
      <c r="C1581" s="20" t="s">
        <v>3310</v>
      </c>
      <c r="D1581" s="20" t="s">
        <v>3309</v>
      </c>
      <c r="E1581" s="20" t="e">
        <f t="array" ref="E1581">INDEX(C:C,SMALL(IF(ISNUMBER(FIND(CELL("contents"),$C$2:$C$4852)),ROW($C$2:$C$4852),4^8),ROW(C1581)))&amp;""</f>
        <v>#N/A</v>
      </c>
    </row>
    <row r="1582" ht="14.100000000000001" customHeight="1">
      <c r="B1582" s="20" t="s">
        <v>3311</v>
      </c>
      <c r="C1582" s="20" t="s">
        <v>3312</v>
      </c>
      <c r="D1582" s="20" t="s">
        <v>3311</v>
      </c>
      <c r="E1582" s="20" t="e">
        <f t="array" ref="E1582">INDEX(C:C,SMALL(IF(ISNUMBER(FIND(CELL("contents"),$C$2:$C$4852)),ROW($C$2:$C$4852),4^8),ROW(C1582)))&amp;""</f>
        <v>#N/A</v>
      </c>
    </row>
    <row r="1583" ht="14.100000000000001" customHeight="1">
      <c r="B1583" s="20" t="s">
        <v>3313</v>
      </c>
      <c r="C1583" s="20" t="s">
        <v>3314</v>
      </c>
      <c r="D1583" s="20" t="s">
        <v>3313</v>
      </c>
      <c r="E1583" s="20" t="e">
        <f t="array" ref="E1583">INDEX(C:C,SMALL(IF(ISNUMBER(FIND(CELL("contents"),$C$2:$C$4852)),ROW($C$2:$C$4852),4^8),ROW(C1583)))&amp;""</f>
        <v>#N/A</v>
      </c>
    </row>
    <row r="1584" ht="14.100000000000001" customHeight="1">
      <c r="B1584" s="20" t="s">
        <v>3315</v>
      </c>
      <c r="C1584" s="20" t="s">
        <v>3316</v>
      </c>
      <c r="D1584" s="20" t="s">
        <v>3315</v>
      </c>
      <c r="E1584" s="20" t="e">
        <f t="array" ref="E1584">INDEX(C:C,SMALL(IF(ISNUMBER(FIND(CELL("contents"),$C$2:$C$4852)),ROW($C$2:$C$4852),4^8),ROW(C1584)))&amp;""</f>
        <v>#N/A</v>
      </c>
    </row>
    <row r="1585" ht="14.100000000000001" customHeight="1">
      <c r="B1585" s="20" t="s">
        <v>3317</v>
      </c>
      <c r="C1585" s="20" t="s">
        <v>3318</v>
      </c>
      <c r="D1585" s="20" t="s">
        <v>3317</v>
      </c>
      <c r="E1585" s="20" t="e">
        <f t="array" ref="E1585">INDEX(C:C,SMALL(IF(ISNUMBER(FIND(CELL("contents"),$C$2:$C$4852)),ROW($C$2:$C$4852),4^8),ROW(C1585)))&amp;""</f>
        <v>#N/A</v>
      </c>
    </row>
    <row r="1586" ht="14.100000000000001" customHeight="1">
      <c r="B1586" s="20" t="s">
        <v>3319</v>
      </c>
      <c r="C1586" s="20" t="s">
        <v>3320</v>
      </c>
      <c r="D1586" s="20" t="s">
        <v>3319</v>
      </c>
      <c r="E1586" s="20" t="e">
        <f t="array" ref="E1586">INDEX(C:C,SMALL(IF(ISNUMBER(FIND(CELL("contents"),$C$2:$C$4852)),ROW($C$2:$C$4852),4^8),ROW(C1586)))&amp;""</f>
        <v>#N/A</v>
      </c>
    </row>
    <row r="1587" ht="14.100000000000001" customHeight="1">
      <c r="B1587" s="20" t="s">
        <v>3321</v>
      </c>
      <c r="C1587" s="20" t="s">
        <v>3322</v>
      </c>
      <c r="D1587" s="20" t="s">
        <v>3321</v>
      </c>
      <c r="E1587" s="20" t="e">
        <f t="array" ref="E1587">INDEX(C:C,SMALL(IF(ISNUMBER(FIND(CELL("contents"),$C$2:$C$4852)),ROW($C$2:$C$4852),4^8),ROW(C1587)))&amp;""</f>
        <v>#N/A</v>
      </c>
    </row>
    <row r="1588" ht="14.100000000000001" customHeight="1">
      <c r="B1588" s="20" t="s">
        <v>3323</v>
      </c>
      <c r="C1588" s="20" t="s">
        <v>3324</v>
      </c>
      <c r="D1588" s="20" t="s">
        <v>3323</v>
      </c>
      <c r="E1588" s="20" t="e">
        <f t="array" ref="E1588">INDEX(C:C,SMALL(IF(ISNUMBER(FIND(CELL("contents"),$C$2:$C$4852)),ROW($C$2:$C$4852),4^8),ROW(C1588)))&amp;""</f>
        <v>#N/A</v>
      </c>
    </row>
    <row r="1589" ht="14.100000000000001" customHeight="1">
      <c r="B1589" s="20" t="s">
        <v>3325</v>
      </c>
      <c r="C1589" s="20" t="s">
        <v>3326</v>
      </c>
      <c r="D1589" s="20" t="s">
        <v>3325</v>
      </c>
      <c r="E1589" s="20" t="e">
        <f t="array" ref="E1589">INDEX(C:C,SMALL(IF(ISNUMBER(FIND(CELL("contents"),$C$2:$C$4852)),ROW($C$2:$C$4852),4^8),ROW(C1589)))&amp;""</f>
        <v>#N/A</v>
      </c>
    </row>
    <row r="1590" ht="14.100000000000001" customHeight="1">
      <c r="B1590" s="20" t="s">
        <v>3327</v>
      </c>
      <c r="C1590" s="20" t="s">
        <v>3328</v>
      </c>
      <c r="D1590" s="20" t="s">
        <v>3327</v>
      </c>
      <c r="E1590" s="20" t="e">
        <f t="array" ref="E1590">INDEX(C:C,SMALL(IF(ISNUMBER(FIND(CELL("contents"),$C$2:$C$4852)),ROW($C$2:$C$4852),4^8),ROW(C1590)))&amp;""</f>
        <v>#N/A</v>
      </c>
    </row>
    <row r="1591" ht="14.100000000000001" customHeight="1">
      <c r="B1591" s="20" t="s">
        <v>3329</v>
      </c>
      <c r="C1591" s="20" t="s">
        <v>3330</v>
      </c>
      <c r="D1591" s="20" t="s">
        <v>3329</v>
      </c>
      <c r="E1591" s="20" t="e">
        <f t="array" ref="E1591">INDEX(C:C,SMALL(IF(ISNUMBER(FIND(CELL("contents"),$C$2:$C$4852)),ROW($C$2:$C$4852),4^8),ROW(C1591)))&amp;""</f>
        <v>#N/A</v>
      </c>
    </row>
    <row r="1592" ht="14.100000000000001" customHeight="1">
      <c r="B1592" s="20" t="s">
        <v>3331</v>
      </c>
      <c r="C1592" s="20" t="s">
        <v>3332</v>
      </c>
      <c r="D1592" s="20" t="s">
        <v>3331</v>
      </c>
      <c r="E1592" s="20" t="e">
        <f t="array" ref="E1592">INDEX(C:C,SMALL(IF(ISNUMBER(FIND(CELL("contents"),$C$2:$C$4852)),ROW($C$2:$C$4852),4^8),ROW(C1592)))&amp;""</f>
        <v>#N/A</v>
      </c>
    </row>
    <row r="1593" ht="14.100000000000001" customHeight="1">
      <c r="B1593" s="20" t="s">
        <v>3333</v>
      </c>
      <c r="C1593" s="20" t="s">
        <v>3334</v>
      </c>
      <c r="D1593" s="20" t="s">
        <v>3333</v>
      </c>
      <c r="E1593" s="20" t="e">
        <f t="array" ref="E1593">INDEX(C:C,SMALL(IF(ISNUMBER(FIND(CELL("contents"),$C$2:$C$4852)),ROW($C$2:$C$4852),4^8),ROW(C1593)))&amp;""</f>
        <v>#N/A</v>
      </c>
    </row>
    <row r="1594" ht="14.100000000000001" customHeight="1">
      <c r="B1594" s="20" t="s">
        <v>3335</v>
      </c>
      <c r="C1594" s="20" t="s">
        <v>3336</v>
      </c>
      <c r="D1594" s="20" t="s">
        <v>3335</v>
      </c>
      <c r="E1594" s="20" t="e">
        <f t="array" ref="E1594">INDEX(C:C,SMALL(IF(ISNUMBER(FIND(CELL("contents"),$C$2:$C$4852)),ROW($C$2:$C$4852),4^8),ROW(C1594)))&amp;""</f>
        <v>#N/A</v>
      </c>
    </row>
    <row r="1595" ht="14.100000000000001" customHeight="1">
      <c r="B1595" s="20" t="s">
        <v>3337</v>
      </c>
      <c r="C1595" s="20" t="s">
        <v>3338</v>
      </c>
      <c r="D1595" s="20" t="s">
        <v>3337</v>
      </c>
      <c r="E1595" s="20" t="e">
        <f t="array" ref="E1595">INDEX(C:C,SMALL(IF(ISNUMBER(FIND(CELL("contents"),$C$2:$C$4852)),ROW($C$2:$C$4852),4^8),ROW(C1595)))&amp;""</f>
        <v>#N/A</v>
      </c>
    </row>
    <row r="1596" ht="14.100000000000001" customHeight="1">
      <c r="B1596" s="20" t="s">
        <v>3339</v>
      </c>
      <c r="C1596" s="20" t="s">
        <v>3340</v>
      </c>
      <c r="D1596" s="20" t="s">
        <v>3339</v>
      </c>
      <c r="E1596" s="20" t="e">
        <f t="array" ref="E1596">INDEX(C:C,SMALL(IF(ISNUMBER(FIND(CELL("contents"),$C$2:$C$4852)),ROW($C$2:$C$4852),4^8),ROW(C1596)))&amp;""</f>
        <v>#N/A</v>
      </c>
    </row>
    <row r="1597" ht="14.100000000000001" customHeight="1">
      <c r="B1597" s="20" t="s">
        <v>3341</v>
      </c>
      <c r="C1597" s="20" t="s">
        <v>3342</v>
      </c>
      <c r="D1597" s="20" t="s">
        <v>3341</v>
      </c>
      <c r="E1597" s="20" t="e">
        <f t="array" ref="E1597">INDEX(C:C,SMALL(IF(ISNUMBER(FIND(CELL("contents"),$C$2:$C$4852)),ROW($C$2:$C$4852),4^8),ROW(C1597)))&amp;""</f>
        <v>#N/A</v>
      </c>
    </row>
    <row r="1598" ht="14.100000000000001" customHeight="1">
      <c r="B1598" s="20" t="s">
        <v>3343</v>
      </c>
      <c r="C1598" s="20" t="s">
        <v>3344</v>
      </c>
      <c r="D1598" s="20" t="s">
        <v>3343</v>
      </c>
      <c r="E1598" s="20" t="e">
        <f t="array" ref="E1598">INDEX(C:C,SMALL(IF(ISNUMBER(FIND(CELL("contents"),$C$2:$C$4852)),ROW($C$2:$C$4852),4^8),ROW(C1598)))&amp;""</f>
        <v>#N/A</v>
      </c>
    </row>
    <row r="1599" ht="14.100000000000001" customHeight="1">
      <c r="B1599" s="20" t="s">
        <v>3345</v>
      </c>
      <c r="C1599" s="20" t="s">
        <v>3346</v>
      </c>
      <c r="D1599" s="20" t="s">
        <v>3345</v>
      </c>
      <c r="E1599" s="20" t="e">
        <f t="array" ref="E1599">INDEX(C:C,SMALL(IF(ISNUMBER(FIND(CELL("contents"),$C$2:$C$4852)),ROW($C$2:$C$4852),4^8),ROW(C1599)))&amp;""</f>
        <v>#N/A</v>
      </c>
    </row>
    <row r="1600" ht="14.100000000000001" customHeight="1">
      <c r="B1600" s="20" t="s">
        <v>3347</v>
      </c>
      <c r="C1600" s="20" t="s">
        <v>3348</v>
      </c>
      <c r="D1600" s="20" t="s">
        <v>3347</v>
      </c>
      <c r="E1600" s="20" t="e">
        <f t="array" ref="E1600">INDEX(C:C,SMALL(IF(ISNUMBER(FIND(CELL("contents"),$C$2:$C$4852)),ROW($C$2:$C$4852),4^8),ROW(C1600)))&amp;""</f>
        <v>#N/A</v>
      </c>
    </row>
    <row r="1601" ht="14.100000000000001" customHeight="1">
      <c r="B1601" s="20" t="s">
        <v>3349</v>
      </c>
      <c r="C1601" s="20" t="s">
        <v>3350</v>
      </c>
      <c r="D1601" s="20" t="s">
        <v>3349</v>
      </c>
      <c r="E1601" s="20" t="e">
        <f t="array" ref="E1601">INDEX(C:C,SMALL(IF(ISNUMBER(FIND(CELL("contents"),$C$2:$C$4852)),ROW($C$2:$C$4852),4^8),ROW(C1601)))&amp;""</f>
        <v>#N/A</v>
      </c>
    </row>
    <row r="1602" ht="14.100000000000001" customHeight="1">
      <c r="B1602" s="20" t="s">
        <v>3351</v>
      </c>
      <c r="C1602" s="20" t="s">
        <v>3352</v>
      </c>
      <c r="D1602" s="20" t="s">
        <v>3351</v>
      </c>
      <c r="E1602" s="20" t="e">
        <f t="array" ref="E1602">INDEX(C:C,SMALL(IF(ISNUMBER(FIND(CELL("contents"),$C$2:$C$4852)),ROW($C$2:$C$4852),4^8),ROW(C1602)))&amp;""</f>
        <v>#N/A</v>
      </c>
    </row>
    <row r="1603" ht="14.100000000000001" customHeight="1">
      <c r="B1603" s="20" t="s">
        <v>3353</v>
      </c>
      <c r="C1603" s="20" t="s">
        <v>3354</v>
      </c>
      <c r="D1603" s="20" t="s">
        <v>3353</v>
      </c>
      <c r="E1603" s="20" t="e">
        <f t="array" ref="E1603">INDEX(C:C,SMALL(IF(ISNUMBER(FIND(CELL("contents"),$C$2:$C$4852)),ROW($C$2:$C$4852),4^8),ROW(C1603)))&amp;""</f>
        <v>#N/A</v>
      </c>
    </row>
    <row r="1604" ht="14.100000000000001" customHeight="1">
      <c r="B1604" s="20" t="s">
        <v>3355</v>
      </c>
      <c r="C1604" s="20" t="s">
        <v>3356</v>
      </c>
      <c r="D1604" s="20" t="s">
        <v>3355</v>
      </c>
      <c r="E1604" s="20" t="e">
        <f t="array" ref="E1604">INDEX(C:C,SMALL(IF(ISNUMBER(FIND(CELL("contents"),$C$2:$C$4852)),ROW($C$2:$C$4852),4^8),ROW(C1604)))&amp;""</f>
        <v>#N/A</v>
      </c>
    </row>
    <row r="1605" ht="14.100000000000001" customHeight="1">
      <c r="B1605" s="20" t="s">
        <v>3357</v>
      </c>
      <c r="C1605" s="20" t="s">
        <v>3358</v>
      </c>
      <c r="D1605" s="20" t="s">
        <v>3357</v>
      </c>
      <c r="E1605" s="20" t="e">
        <f t="array" ref="E1605">INDEX(C:C,SMALL(IF(ISNUMBER(FIND(CELL("contents"),$C$2:$C$4852)),ROW($C$2:$C$4852),4^8),ROW(C1605)))&amp;""</f>
        <v>#N/A</v>
      </c>
    </row>
    <row r="1606" ht="14.100000000000001" customHeight="1">
      <c r="B1606" s="20" t="s">
        <v>3359</v>
      </c>
      <c r="C1606" s="20" t="s">
        <v>3360</v>
      </c>
      <c r="D1606" s="20" t="s">
        <v>3359</v>
      </c>
      <c r="E1606" s="20" t="e">
        <f t="array" ref="E1606">INDEX(C:C,SMALL(IF(ISNUMBER(FIND(CELL("contents"),$C$2:$C$4852)),ROW($C$2:$C$4852),4^8),ROW(C1606)))&amp;""</f>
        <v>#N/A</v>
      </c>
    </row>
    <row r="1607" ht="14.100000000000001" customHeight="1">
      <c r="B1607" s="20" t="s">
        <v>3361</v>
      </c>
      <c r="C1607" s="20" t="s">
        <v>3362</v>
      </c>
      <c r="D1607" s="20" t="s">
        <v>3361</v>
      </c>
      <c r="E1607" s="20" t="e">
        <f t="array" ref="E1607">INDEX(C:C,SMALL(IF(ISNUMBER(FIND(CELL("contents"),$C$2:$C$4852)),ROW($C$2:$C$4852),4^8),ROW(C1607)))&amp;""</f>
        <v>#N/A</v>
      </c>
    </row>
    <row r="1608" ht="14.100000000000001" customHeight="1">
      <c r="B1608" s="20" t="s">
        <v>3363</v>
      </c>
      <c r="C1608" s="20" t="s">
        <v>3364</v>
      </c>
      <c r="D1608" s="20" t="s">
        <v>3363</v>
      </c>
      <c r="E1608" s="20" t="e">
        <f t="array" ref="E1608">INDEX(C:C,SMALL(IF(ISNUMBER(FIND(CELL("contents"),$C$2:$C$4852)),ROW($C$2:$C$4852),4^8),ROW(C1608)))&amp;""</f>
        <v>#N/A</v>
      </c>
    </row>
    <row r="1609" ht="14.100000000000001" customHeight="1">
      <c r="B1609" s="20" t="s">
        <v>3365</v>
      </c>
      <c r="C1609" s="20" t="s">
        <v>3366</v>
      </c>
      <c r="D1609" s="20" t="s">
        <v>3365</v>
      </c>
      <c r="E1609" s="20" t="e">
        <f t="array" ref="E1609">INDEX(C:C,SMALL(IF(ISNUMBER(FIND(CELL("contents"),$C$2:$C$4852)),ROW($C$2:$C$4852),4^8),ROW(C1609)))&amp;""</f>
        <v>#N/A</v>
      </c>
    </row>
    <row r="1610" ht="14.100000000000001" customHeight="1">
      <c r="B1610" s="20" t="s">
        <v>3367</v>
      </c>
      <c r="C1610" s="20" t="s">
        <v>3368</v>
      </c>
      <c r="D1610" s="20" t="s">
        <v>3367</v>
      </c>
      <c r="E1610" s="20" t="e">
        <f t="array" ref="E1610">INDEX(C:C,SMALL(IF(ISNUMBER(FIND(CELL("contents"),$C$2:$C$4852)),ROW($C$2:$C$4852),4^8),ROW(C1610)))&amp;""</f>
        <v>#N/A</v>
      </c>
    </row>
    <row r="1611" ht="14.100000000000001" customHeight="1">
      <c r="B1611" s="20" t="s">
        <v>3369</v>
      </c>
      <c r="C1611" s="20" t="s">
        <v>3370</v>
      </c>
      <c r="D1611" s="20" t="s">
        <v>3369</v>
      </c>
      <c r="E1611" s="20" t="e">
        <f t="array" ref="E1611">INDEX(C:C,SMALL(IF(ISNUMBER(FIND(CELL("contents"),$C$2:$C$4852)),ROW($C$2:$C$4852),4^8),ROW(C1611)))&amp;""</f>
        <v>#N/A</v>
      </c>
    </row>
    <row r="1612" ht="14.100000000000001" customHeight="1">
      <c r="B1612" s="20" t="s">
        <v>3371</v>
      </c>
      <c r="C1612" s="20" t="s">
        <v>3372</v>
      </c>
      <c r="D1612" s="20" t="s">
        <v>3371</v>
      </c>
      <c r="E1612" s="20" t="e">
        <f t="array" ref="E1612">INDEX(C:C,SMALL(IF(ISNUMBER(FIND(CELL("contents"),$C$2:$C$4852)),ROW($C$2:$C$4852),4^8),ROW(C1612)))&amp;""</f>
        <v>#N/A</v>
      </c>
    </row>
    <row r="1613" ht="14.100000000000001" customHeight="1">
      <c r="B1613" s="20" t="s">
        <v>3373</v>
      </c>
      <c r="C1613" s="20" t="s">
        <v>3374</v>
      </c>
      <c r="D1613" s="20" t="s">
        <v>3373</v>
      </c>
      <c r="E1613" s="20" t="e">
        <f t="array" ref="E1613">INDEX(C:C,SMALL(IF(ISNUMBER(FIND(CELL("contents"),$C$2:$C$4852)),ROW($C$2:$C$4852),4^8),ROW(C1613)))&amp;""</f>
        <v>#N/A</v>
      </c>
    </row>
    <row r="1614" ht="14.100000000000001" customHeight="1">
      <c r="B1614" s="20" t="s">
        <v>3375</v>
      </c>
      <c r="C1614" s="20" t="s">
        <v>3376</v>
      </c>
      <c r="D1614" s="20" t="s">
        <v>3375</v>
      </c>
      <c r="E1614" s="20" t="e">
        <f t="array" ref="E1614">INDEX(C:C,SMALL(IF(ISNUMBER(FIND(CELL("contents"),$C$2:$C$4852)),ROW($C$2:$C$4852),4^8),ROW(C1614)))&amp;""</f>
        <v>#N/A</v>
      </c>
    </row>
    <row r="1615" ht="14.100000000000001" customHeight="1">
      <c r="B1615" s="20" t="s">
        <v>3377</v>
      </c>
      <c r="C1615" s="20" t="s">
        <v>3378</v>
      </c>
      <c r="D1615" s="20" t="s">
        <v>3377</v>
      </c>
      <c r="E1615" s="20" t="e">
        <f t="array" ref="E1615">INDEX(C:C,SMALL(IF(ISNUMBER(FIND(CELL("contents"),$C$2:$C$4852)),ROW($C$2:$C$4852),4^8),ROW(C1615)))&amp;""</f>
        <v>#N/A</v>
      </c>
    </row>
    <row r="1616" ht="14.100000000000001" customHeight="1">
      <c r="B1616" s="20" t="s">
        <v>3379</v>
      </c>
      <c r="C1616" s="20" t="s">
        <v>3380</v>
      </c>
      <c r="D1616" s="20" t="s">
        <v>3379</v>
      </c>
      <c r="E1616" s="20" t="e">
        <f t="array" ref="E1616">INDEX(C:C,SMALL(IF(ISNUMBER(FIND(CELL("contents"),$C$2:$C$4852)),ROW($C$2:$C$4852),4^8),ROW(C1616)))&amp;""</f>
        <v>#N/A</v>
      </c>
    </row>
    <row r="1617" ht="14.100000000000001" customHeight="1">
      <c r="B1617" s="20" t="s">
        <v>3381</v>
      </c>
      <c r="C1617" s="20" t="s">
        <v>3382</v>
      </c>
      <c r="D1617" s="20" t="s">
        <v>3381</v>
      </c>
      <c r="E1617" s="20" t="e">
        <f t="array" ref="E1617">INDEX(C:C,SMALL(IF(ISNUMBER(FIND(CELL("contents"),$C$2:$C$4852)),ROW($C$2:$C$4852),4^8),ROW(C1617)))&amp;""</f>
        <v>#N/A</v>
      </c>
    </row>
    <row r="1618" ht="14.100000000000001" customHeight="1">
      <c r="B1618" s="20" t="s">
        <v>3383</v>
      </c>
      <c r="C1618" s="20" t="s">
        <v>3384</v>
      </c>
      <c r="D1618" s="20" t="s">
        <v>3383</v>
      </c>
      <c r="E1618" s="20" t="e">
        <f t="array" ref="E1618">INDEX(C:C,SMALL(IF(ISNUMBER(FIND(CELL("contents"),$C$2:$C$4852)),ROW($C$2:$C$4852),4^8),ROW(C1618)))&amp;""</f>
        <v>#N/A</v>
      </c>
    </row>
    <row r="1619" ht="14.100000000000001" customHeight="1">
      <c r="B1619" s="20" t="s">
        <v>3385</v>
      </c>
      <c r="C1619" s="20" t="s">
        <v>3386</v>
      </c>
      <c r="D1619" s="20" t="s">
        <v>3385</v>
      </c>
      <c r="E1619" s="20" t="e">
        <f t="array" ref="E1619">INDEX(C:C,SMALL(IF(ISNUMBER(FIND(CELL("contents"),$C$2:$C$4852)),ROW($C$2:$C$4852),4^8),ROW(C1619)))&amp;""</f>
        <v>#N/A</v>
      </c>
    </row>
    <row r="1620" ht="14.100000000000001" customHeight="1">
      <c r="B1620" s="20" t="s">
        <v>3387</v>
      </c>
      <c r="C1620" s="20" t="s">
        <v>3388</v>
      </c>
      <c r="D1620" s="20" t="s">
        <v>3387</v>
      </c>
      <c r="E1620" s="20" t="e">
        <f t="array" ref="E1620">INDEX(C:C,SMALL(IF(ISNUMBER(FIND(CELL("contents"),$C$2:$C$4852)),ROW($C$2:$C$4852),4^8),ROW(C1620)))&amp;""</f>
        <v>#N/A</v>
      </c>
    </row>
    <row r="1621" ht="14.100000000000001" customHeight="1">
      <c r="B1621" s="20" t="s">
        <v>3389</v>
      </c>
      <c r="C1621" s="20" t="s">
        <v>3390</v>
      </c>
      <c r="D1621" s="20" t="s">
        <v>3389</v>
      </c>
      <c r="E1621" s="20" t="e">
        <f t="array" ref="E1621">INDEX(C:C,SMALL(IF(ISNUMBER(FIND(CELL("contents"),$C$2:$C$4852)),ROW($C$2:$C$4852),4^8),ROW(C1621)))&amp;""</f>
        <v>#N/A</v>
      </c>
    </row>
    <row r="1622" ht="14.100000000000001" customHeight="1">
      <c r="B1622" s="20" t="s">
        <v>3391</v>
      </c>
      <c r="C1622" s="20" t="s">
        <v>3392</v>
      </c>
      <c r="D1622" s="20" t="s">
        <v>3391</v>
      </c>
      <c r="E1622" s="20" t="e">
        <f t="array" ref="E1622">INDEX(C:C,SMALL(IF(ISNUMBER(FIND(CELL("contents"),$C$2:$C$4852)),ROW($C$2:$C$4852),4^8),ROW(C1622)))&amp;""</f>
        <v>#N/A</v>
      </c>
    </row>
    <row r="1623" ht="14.100000000000001" customHeight="1">
      <c r="B1623" s="20" t="s">
        <v>3393</v>
      </c>
      <c r="C1623" s="20" t="s">
        <v>3394</v>
      </c>
      <c r="D1623" s="20" t="s">
        <v>3393</v>
      </c>
      <c r="E1623" s="20" t="e">
        <f t="array" ref="E1623">INDEX(C:C,SMALL(IF(ISNUMBER(FIND(CELL("contents"),$C$2:$C$4852)),ROW($C$2:$C$4852),4^8),ROW(C1623)))&amp;""</f>
        <v>#N/A</v>
      </c>
    </row>
    <row r="1624" ht="14.100000000000001" customHeight="1">
      <c r="B1624" s="20" t="s">
        <v>3395</v>
      </c>
      <c r="C1624" s="20" t="s">
        <v>3396</v>
      </c>
      <c r="D1624" s="20" t="s">
        <v>3395</v>
      </c>
      <c r="E1624" s="20" t="e">
        <f t="array" ref="E1624">INDEX(C:C,SMALL(IF(ISNUMBER(FIND(CELL("contents"),$C$2:$C$4852)),ROW($C$2:$C$4852),4^8),ROW(C1624)))&amp;""</f>
        <v>#N/A</v>
      </c>
    </row>
    <row r="1625" ht="14.100000000000001" customHeight="1">
      <c r="B1625" s="20" t="s">
        <v>3397</v>
      </c>
      <c r="C1625" s="20" t="s">
        <v>3398</v>
      </c>
      <c r="D1625" s="20" t="s">
        <v>3397</v>
      </c>
      <c r="E1625" s="20" t="e">
        <f t="array" ref="E1625">INDEX(C:C,SMALL(IF(ISNUMBER(FIND(CELL("contents"),$C$2:$C$4852)),ROW($C$2:$C$4852),4^8),ROW(C1625)))&amp;""</f>
        <v>#N/A</v>
      </c>
    </row>
    <row r="1626" ht="14.100000000000001" customHeight="1">
      <c r="B1626" s="20" t="s">
        <v>3399</v>
      </c>
      <c r="C1626" s="20" t="s">
        <v>3400</v>
      </c>
      <c r="D1626" s="20" t="s">
        <v>3399</v>
      </c>
      <c r="E1626" s="20" t="e">
        <f t="array" ref="E1626">INDEX(C:C,SMALL(IF(ISNUMBER(FIND(CELL("contents"),$C$2:$C$4852)),ROW($C$2:$C$4852),4^8),ROW(C1626)))&amp;""</f>
        <v>#N/A</v>
      </c>
    </row>
    <row r="1627" ht="14.100000000000001" customHeight="1">
      <c r="B1627" s="20" t="s">
        <v>3401</v>
      </c>
      <c r="C1627" s="20" t="s">
        <v>3402</v>
      </c>
      <c r="D1627" s="20" t="s">
        <v>3401</v>
      </c>
      <c r="E1627" s="20" t="e">
        <f t="array" ref="E1627">INDEX(C:C,SMALL(IF(ISNUMBER(FIND(CELL("contents"),$C$2:$C$4852)),ROW($C$2:$C$4852),4^8),ROW(C1627)))&amp;""</f>
        <v>#N/A</v>
      </c>
    </row>
    <row r="1628" ht="14.100000000000001" customHeight="1">
      <c r="B1628" s="20" t="s">
        <v>3403</v>
      </c>
      <c r="C1628" s="20" t="s">
        <v>3404</v>
      </c>
      <c r="D1628" s="20" t="s">
        <v>3403</v>
      </c>
      <c r="E1628" s="20" t="e">
        <f t="array" ref="E1628">INDEX(C:C,SMALL(IF(ISNUMBER(FIND(CELL("contents"),$C$2:$C$4852)),ROW($C$2:$C$4852),4^8),ROW(C1628)))&amp;""</f>
        <v>#N/A</v>
      </c>
    </row>
    <row r="1629" ht="14.100000000000001" customHeight="1">
      <c r="B1629" s="20" t="s">
        <v>3405</v>
      </c>
      <c r="C1629" s="20" t="s">
        <v>3406</v>
      </c>
      <c r="D1629" s="20" t="s">
        <v>3405</v>
      </c>
      <c r="E1629" s="20" t="e">
        <f t="array" ref="E1629">INDEX(C:C,SMALL(IF(ISNUMBER(FIND(CELL("contents"),$C$2:$C$4852)),ROW($C$2:$C$4852),4^8),ROW(C1629)))&amp;""</f>
        <v>#N/A</v>
      </c>
    </row>
    <row r="1630" ht="14.100000000000001" customHeight="1">
      <c r="B1630" s="20" t="s">
        <v>3407</v>
      </c>
      <c r="C1630" s="20" t="s">
        <v>3408</v>
      </c>
      <c r="D1630" s="20" t="s">
        <v>3407</v>
      </c>
      <c r="E1630" s="20" t="e">
        <f t="array" ref="E1630">INDEX(C:C,SMALL(IF(ISNUMBER(FIND(CELL("contents"),$C$2:$C$4852)),ROW($C$2:$C$4852),4^8),ROW(C1630)))&amp;""</f>
        <v>#N/A</v>
      </c>
    </row>
    <row r="1631" ht="14.100000000000001" customHeight="1">
      <c r="B1631" s="20" t="s">
        <v>3409</v>
      </c>
      <c r="C1631" s="20" t="s">
        <v>3410</v>
      </c>
      <c r="D1631" s="20" t="s">
        <v>3409</v>
      </c>
      <c r="E1631" s="20" t="e">
        <f t="array" ref="E1631">INDEX(C:C,SMALL(IF(ISNUMBER(FIND(CELL("contents"),$C$2:$C$4852)),ROW($C$2:$C$4852),4^8),ROW(C1631)))&amp;""</f>
        <v>#N/A</v>
      </c>
    </row>
    <row r="1632" ht="14.100000000000001" customHeight="1">
      <c r="B1632" s="20" t="s">
        <v>3411</v>
      </c>
      <c r="C1632" s="20" t="s">
        <v>3412</v>
      </c>
      <c r="D1632" s="20" t="s">
        <v>3411</v>
      </c>
      <c r="E1632" s="20" t="e">
        <f t="array" ref="E1632">INDEX(C:C,SMALL(IF(ISNUMBER(FIND(CELL("contents"),$C$2:$C$4852)),ROW($C$2:$C$4852),4^8),ROW(C1632)))&amp;""</f>
        <v>#N/A</v>
      </c>
    </row>
    <row r="1633" ht="14.100000000000001" customHeight="1">
      <c r="B1633" s="20" t="s">
        <v>3413</v>
      </c>
      <c r="C1633" s="20" t="s">
        <v>3414</v>
      </c>
      <c r="D1633" s="20" t="s">
        <v>3413</v>
      </c>
      <c r="E1633" s="20" t="e">
        <f t="array" ref="E1633">INDEX(C:C,SMALL(IF(ISNUMBER(FIND(CELL("contents"),$C$2:$C$4852)),ROW($C$2:$C$4852),4^8),ROW(C1633)))&amp;""</f>
        <v>#N/A</v>
      </c>
    </row>
    <row r="1634" ht="14.100000000000001" customHeight="1">
      <c r="B1634" s="20" t="s">
        <v>3415</v>
      </c>
      <c r="C1634" s="20" t="s">
        <v>3416</v>
      </c>
      <c r="D1634" s="20" t="s">
        <v>3415</v>
      </c>
      <c r="E1634" s="20" t="e">
        <f t="array" ref="E1634">INDEX(C:C,SMALL(IF(ISNUMBER(FIND(CELL("contents"),$C$2:$C$4852)),ROW($C$2:$C$4852),4^8),ROW(C1634)))&amp;""</f>
        <v>#N/A</v>
      </c>
    </row>
    <row r="1635" ht="14.100000000000001" customHeight="1">
      <c r="B1635" s="20" t="s">
        <v>3417</v>
      </c>
      <c r="C1635" s="20" t="s">
        <v>3418</v>
      </c>
      <c r="D1635" s="20" t="s">
        <v>3417</v>
      </c>
      <c r="E1635" s="20" t="e">
        <f t="array" ref="E1635">INDEX(C:C,SMALL(IF(ISNUMBER(FIND(CELL("contents"),$C$2:$C$4852)),ROW($C$2:$C$4852),4^8),ROW(C1635)))&amp;""</f>
        <v>#N/A</v>
      </c>
    </row>
    <row r="1636" ht="14.100000000000001" customHeight="1">
      <c r="B1636" s="20" t="s">
        <v>3419</v>
      </c>
      <c r="C1636" s="20" t="s">
        <v>3420</v>
      </c>
      <c r="D1636" s="20" t="s">
        <v>3419</v>
      </c>
      <c r="E1636" s="20" t="e">
        <f t="array" ref="E1636">INDEX(C:C,SMALL(IF(ISNUMBER(FIND(CELL("contents"),$C$2:$C$4852)),ROW($C$2:$C$4852),4^8),ROW(C1636)))&amp;""</f>
        <v>#N/A</v>
      </c>
    </row>
    <row r="1637" ht="14.100000000000001" customHeight="1">
      <c r="B1637" s="20" t="s">
        <v>3421</v>
      </c>
      <c r="C1637" s="20" t="s">
        <v>3422</v>
      </c>
      <c r="D1637" s="20" t="s">
        <v>3421</v>
      </c>
      <c r="E1637" s="20" t="e">
        <f t="array" ref="E1637">INDEX(C:C,SMALL(IF(ISNUMBER(FIND(CELL("contents"),$C$2:$C$4852)),ROW($C$2:$C$4852),4^8),ROW(C1637)))&amp;""</f>
        <v>#N/A</v>
      </c>
    </row>
    <row r="1638" ht="14.100000000000001" customHeight="1">
      <c r="B1638" s="20" t="s">
        <v>3423</v>
      </c>
      <c r="C1638" s="20" t="s">
        <v>3424</v>
      </c>
      <c r="D1638" s="20" t="s">
        <v>3423</v>
      </c>
      <c r="E1638" s="20" t="e">
        <f t="array" ref="E1638">INDEX(C:C,SMALL(IF(ISNUMBER(FIND(CELL("contents"),$C$2:$C$4852)),ROW($C$2:$C$4852),4^8),ROW(C1638)))&amp;""</f>
        <v>#N/A</v>
      </c>
    </row>
    <row r="1639" ht="14.100000000000001" customHeight="1">
      <c r="B1639" s="20" t="s">
        <v>3425</v>
      </c>
      <c r="C1639" s="20" t="s">
        <v>3426</v>
      </c>
      <c r="D1639" s="20" t="s">
        <v>3425</v>
      </c>
      <c r="E1639" s="20" t="e">
        <f t="array" ref="E1639">INDEX(C:C,SMALL(IF(ISNUMBER(FIND(CELL("contents"),$C$2:$C$4852)),ROW($C$2:$C$4852),4^8),ROW(C1639)))&amp;""</f>
        <v>#N/A</v>
      </c>
    </row>
    <row r="1640" ht="14.100000000000001" customHeight="1">
      <c r="B1640" s="20" t="s">
        <v>3427</v>
      </c>
      <c r="C1640" s="20" t="s">
        <v>3428</v>
      </c>
      <c r="D1640" s="20" t="s">
        <v>3427</v>
      </c>
      <c r="E1640" s="20" t="e">
        <f t="array" ref="E1640">INDEX(C:C,SMALL(IF(ISNUMBER(FIND(CELL("contents"),$C$2:$C$4852)),ROW($C$2:$C$4852),4^8),ROW(C1640)))&amp;""</f>
        <v>#N/A</v>
      </c>
    </row>
    <row r="1641" ht="14.100000000000001" customHeight="1">
      <c r="B1641" s="20" t="s">
        <v>3429</v>
      </c>
      <c r="C1641" s="20" t="s">
        <v>3430</v>
      </c>
      <c r="D1641" s="20" t="s">
        <v>3429</v>
      </c>
      <c r="E1641" s="20" t="e">
        <f t="array" ref="E1641">INDEX(C:C,SMALL(IF(ISNUMBER(FIND(CELL("contents"),$C$2:$C$4852)),ROW($C$2:$C$4852),4^8),ROW(C1641)))&amp;""</f>
        <v>#N/A</v>
      </c>
    </row>
    <row r="1642" ht="14.100000000000001" customHeight="1">
      <c r="B1642" s="20" t="s">
        <v>3431</v>
      </c>
      <c r="C1642" s="20" t="s">
        <v>3432</v>
      </c>
      <c r="D1642" s="20" t="s">
        <v>3431</v>
      </c>
      <c r="E1642" s="20" t="e">
        <f t="array" ref="E1642">INDEX(C:C,SMALL(IF(ISNUMBER(FIND(CELL("contents"),$C$2:$C$4852)),ROW($C$2:$C$4852),4^8),ROW(C1642)))&amp;""</f>
        <v>#N/A</v>
      </c>
    </row>
    <row r="1643" ht="14.100000000000001" customHeight="1">
      <c r="B1643" s="20" t="s">
        <v>3433</v>
      </c>
      <c r="C1643" s="20" t="s">
        <v>3434</v>
      </c>
      <c r="D1643" s="20" t="s">
        <v>3433</v>
      </c>
      <c r="E1643" s="20" t="e">
        <f t="array" ref="E1643">INDEX(C:C,SMALL(IF(ISNUMBER(FIND(CELL("contents"),$C$2:$C$4852)),ROW($C$2:$C$4852),4^8),ROW(C1643)))&amp;""</f>
        <v>#N/A</v>
      </c>
    </row>
    <row r="1644" ht="14.100000000000001" customHeight="1">
      <c r="B1644" s="20" t="s">
        <v>3435</v>
      </c>
      <c r="C1644" s="20" t="s">
        <v>3436</v>
      </c>
      <c r="D1644" s="20" t="s">
        <v>3435</v>
      </c>
      <c r="E1644" s="20" t="e">
        <f t="array" ref="E1644">INDEX(C:C,SMALL(IF(ISNUMBER(FIND(CELL("contents"),$C$2:$C$4852)),ROW($C$2:$C$4852),4^8),ROW(C1644)))&amp;""</f>
        <v>#N/A</v>
      </c>
    </row>
    <row r="1645" ht="14.100000000000001" customHeight="1">
      <c r="B1645" s="20" t="s">
        <v>3437</v>
      </c>
      <c r="C1645" s="20" t="s">
        <v>3438</v>
      </c>
      <c r="D1645" s="20" t="s">
        <v>3437</v>
      </c>
      <c r="E1645" s="20" t="e">
        <f t="array" ref="E1645">INDEX(C:C,SMALL(IF(ISNUMBER(FIND(CELL("contents"),$C$2:$C$4852)),ROW($C$2:$C$4852),4^8),ROW(C1645)))&amp;""</f>
        <v>#N/A</v>
      </c>
    </row>
    <row r="1646" ht="14.100000000000001" customHeight="1">
      <c r="B1646" s="20" t="s">
        <v>3439</v>
      </c>
      <c r="C1646" s="20" t="s">
        <v>3440</v>
      </c>
      <c r="D1646" s="20" t="s">
        <v>3439</v>
      </c>
      <c r="E1646" s="20" t="e">
        <f t="array" ref="E1646">INDEX(C:C,SMALL(IF(ISNUMBER(FIND(CELL("contents"),$C$2:$C$4852)),ROW($C$2:$C$4852),4^8),ROW(C1646)))&amp;""</f>
        <v>#N/A</v>
      </c>
    </row>
    <row r="1647" ht="14.100000000000001" customHeight="1">
      <c r="B1647" s="20" t="s">
        <v>3441</v>
      </c>
      <c r="C1647" s="20" t="s">
        <v>3442</v>
      </c>
      <c r="D1647" s="20" t="s">
        <v>3441</v>
      </c>
      <c r="E1647" s="20" t="e">
        <f t="array" ref="E1647">INDEX(C:C,SMALL(IF(ISNUMBER(FIND(CELL("contents"),$C$2:$C$4852)),ROW($C$2:$C$4852),4^8),ROW(C1647)))&amp;""</f>
        <v>#N/A</v>
      </c>
    </row>
    <row r="1648" ht="14.100000000000001" customHeight="1">
      <c r="B1648" s="20" t="s">
        <v>3443</v>
      </c>
      <c r="C1648" s="20" t="s">
        <v>3444</v>
      </c>
      <c r="D1648" s="20" t="s">
        <v>3443</v>
      </c>
      <c r="E1648" s="20" t="e">
        <f t="array" ref="E1648">INDEX(C:C,SMALL(IF(ISNUMBER(FIND(CELL("contents"),$C$2:$C$4852)),ROW($C$2:$C$4852),4^8),ROW(C1648)))&amp;""</f>
        <v>#N/A</v>
      </c>
    </row>
    <row r="1649" ht="14.100000000000001" customHeight="1">
      <c r="B1649" s="20" t="s">
        <v>3445</v>
      </c>
      <c r="C1649" s="20" t="s">
        <v>3446</v>
      </c>
      <c r="D1649" s="20" t="s">
        <v>3445</v>
      </c>
      <c r="E1649" s="20" t="e">
        <f t="array" ref="E1649">INDEX(C:C,SMALL(IF(ISNUMBER(FIND(CELL("contents"),$C$2:$C$4852)),ROW($C$2:$C$4852),4^8),ROW(C1649)))&amp;""</f>
        <v>#N/A</v>
      </c>
    </row>
    <row r="1650" ht="14.100000000000001" customHeight="1">
      <c r="B1650" s="20" t="s">
        <v>3447</v>
      </c>
      <c r="C1650" s="20" t="s">
        <v>3448</v>
      </c>
      <c r="D1650" s="20" t="s">
        <v>3447</v>
      </c>
      <c r="E1650" s="20" t="e">
        <f t="array" ref="E1650">INDEX(C:C,SMALL(IF(ISNUMBER(FIND(CELL("contents"),$C$2:$C$4852)),ROW($C$2:$C$4852),4^8),ROW(C1650)))&amp;""</f>
        <v>#N/A</v>
      </c>
    </row>
    <row r="1651" ht="14.100000000000001" customHeight="1">
      <c r="B1651" s="20" t="s">
        <v>3449</v>
      </c>
      <c r="C1651" s="20" t="s">
        <v>3450</v>
      </c>
      <c r="D1651" s="20" t="s">
        <v>3449</v>
      </c>
      <c r="E1651" s="20" t="e">
        <f t="array" ref="E1651">INDEX(C:C,SMALL(IF(ISNUMBER(FIND(CELL("contents"),$C$2:$C$4852)),ROW($C$2:$C$4852),4^8),ROW(C1651)))&amp;""</f>
        <v>#N/A</v>
      </c>
    </row>
    <row r="1652" ht="14.100000000000001" customHeight="1">
      <c r="B1652" s="20" t="s">
        <v>3451</v>
      </c>
      <c r="C1652" s="20" t="s">
        <v>3452</v>
      </c>
      <c r="D1652" s="20" t="s">
        <v>3451</v>
      </c>
      <c r="E1652" s="20" t="e">
        <f t="array" ref="E1652">INDEX(C:C,SMALL(IF(ISNUMBER(FIND(CELL("contents"),$C$2:$C$4852)),ROW($C$2:$C$4852),4^8),ROW(C1652)))&amp;""</f>
        <v>#N/A</v>
      </c>
    </row>
    <row r="1653" ht="14.100000000000001" customHeight="1">
      <c r="B1653" s="20" t="s">
        <v>3453</v>
      </c>
      <c r="C1653" s="20" t="s">
        <v>3454</v>
      </c>
      <c r="D1653" s="20" t="s">
        <v>3453</v>
      </c>
      <c r="E1653" s="20" t="e">
        <f t="array" ref="E1653">INDEX(C:C,SMALL(IF(ISNUMBER(FIND(CELL("contents"),$C$2:$C$4852)),ROW($C$2:$C$4852),4^8),ROW(C1653)))&amp;""</f>
        <v>#N/A</v>
      </c>
    </row>
    <row r="1654" ht="14.100000000000001" customHeight="1">
      <c r="B1654" s="20" t="s">
        <v>3455</v>
      </c>
      <c r="C1654" s="20" t="s">
        <v>3456</v>
      </c>
      <c r="D1654" s="20" t="s">
        <v>3455</v>
      </c>
      <c r="E1654" s="20" t="e">
        <f t="array" ref="E1654">INDEX(C:C,SMALL(IF(ISNUMBER(FIND(CELL("contents"),$C$2:$C$4852)),ROW($C$2:$C$4852),4^8),ROW(C1654)))&amp;""</f>
        <v>#N/A</v>
      </c>
    </row>
    <row r="1655" ht="14.100000000000001" customHeight="1">
      <c r="B1655" s="20" t="s">
        <v>3457</v>
      </c>
      <c r="C1655" s="20" t="s">
        <v>3458</v>
      </c>
      <c r="D1655" s="20" t="s">
        <v>3457</v>
      </c>
      <c r="E1655" s="20" t="e">
        <f t="array" ref="E1655">INDEX(C:C,SMALL(IF(ISNUMBER(FIND(CELL("contents"),$C$2:$C$4852)),ROW($C$2:$C$4852),4^8),ROW(C1655)))&amp;""</f>
        <v>#N/A</v>
      </c>
    </row>
    <row r="1656" ht="14.100000000000001" customHeight="1">
      <c r="B1656" s="20" t="s">
        <v>3459</v>
      </c>
      <c r="C1656" s="20" t="s">
        <v>3460</v>
      </c>
      <c r="D1656" s="20" t="s">
        <v>3459</v>
      </c>
      <c r="E1656" s="20" t="e">
        <f t="array" ref="E1656">INDEX(C:C,SMALL(IF(ISNUMBER(FIND(CELL("contents"),$C$2:$C$4852)),ROW($C$2:$C$4852),4^8),ROW(C1656)))&amp;""</f>
        <v>#N/A</v>
      </c>
    </row>
    <row r="1657" ht="14.100000000000001" customHeight="1">
      <c r="B1657" s="20" t="s">
        <v>3461</v>
      </c>
      <c r="C1657" s="20" t="s">
        <v>3462</v>
      </c>
      <c r="D1657" s="20" t="s">
        <v>3461</v>
      </c>
      <c r="E1657" s="20" t="e">
        <f t="array" ref="E1657">INDEX(C:C,SMALL(IF(ISNUMBER(FIND(CELL("contents"),$C$2:$C$4852)),ROW($C$2:$C$4852),4^8),ROW(C1657)))&amp;""</f>
        <v>#N/A</v>
      </c>
    </row>
    <row r="1658" ht="14.100000000000001" customHeight="1">
      <c r="B1658" s="20" t="s">
        <v>3463</v>
      </c>
      <c r="C1658" s="20" t="s">
        <v>3464</v>
      </c>
      <c r="D1658" s="20" t="s">
        <v>3463</v>
      </c>
      <c r="E1658" s="20" t="e">
        <f t="array" ref="E1658">INDEX(C:C,SMALL(IF(ISNUMBER(FIND(CELL("contents"),$C$2:$C$4852)),ROW($C$2:$C$4852),4^8),ROW(C1658)))&amp;""</f>
        <v>#N/A</v>
      </c>
    </row>
    <row r="1659" ht="14.100000000000001" customHeight="1">
      <c r="B1659" s="20" t="s">
        <v>3465</v>
      </c>
      <c r="C1659" s="20" t="s">
        <v>3466</v>
      </c>
      <c r="D1659" s="20" t="s">
        <v>3465</v>
      </c>
      <c r="E1659" s="20" t="e">
        <f t="array" ref="E1659">INDEX(C:C,SMALL(IF(ISNUMBER(FIND(CELL("contents"),$C$2:$C$4852)),ROW($C$2:$C$4852),4^8),ROW(C1659)))&amp;""</f>
        <v>#N/A</v>
      </c>
    </row>
    <row r="1660" ht="14.100000000000001" customHeight="1">
      <c r="B1660" s="20" t="s">
        <v>3467</v>
      </c>
      <c r="C1660" s="20" t="s">
        <v>3468</v>
      </c>
      <c r="D1660" s="20" t="s">
        <v>3467</v>
      </c>
      <c r="E1660" s="20" t="e">
        <f t="array" ref="E1660">INDEX(C:C,SMALL(IF(ISNUMBER(FIND(CELL("contents"),$C$2:$C$4852)),ROW($C$2:$C$4852),4^8),ROW(C1660)))&amp;""</f>
        <v>#N/A</v>
      </c>
    </row>
    <row r="1661" ht="14.100000000000001" customHeight="1">
      <c r="B1661" s="20" t="s">
        <v>3469</v>
      </c>
      <c r="C1661" s="20" t="s">
        <v>3470</v>
      </c>
      <c r="D1661" s="20" t="s">
        <v>3469</v>
      </c>
      <c r="E1661" s="20" t="e">
        <f t="array" ref="E1661">INDEX(C:C,SMALL(IF(ISNUMBER(FIND(CELL("contents"),$C$2:$C$4852)),ROW($C$2:$C$4852),4^8),ROW(C1661)))&amp;""</f>
        <v>#N/A</v>
      </c>
    </row>
    <row r="1662" ht="14.100000000000001" customHeight="1">
      <c r="B1662" s="20" t="s">
        <v>3471</v>
      </c>
      <c r="C1662" s="20" t="s">
        <v>3472</v>
      </c>
      <c r="D1662" s="20" t="s">
        <v>3471</v>
      </c>
      <c r="E1662" s="20" t="e">
        <f t="array" ref="E1662">INDEX(C:C,SMALL(IF(ISNUMBER(FIND(CELL("contents"),$C$2:$C$4852)),ROW($C$2:$C$4852),4^8),ROW(C1662)))&amp;""</f>
        <v>#N/A</v>
      </c>
    </row>
    <row r="1663" ht="14.100000000000001" customHeight="1">
      <c r="B1663" s="20" t="s">
        <v>3473</v>
      </c>
      <c r="C1663" s="20" t="s">
        <v>3474</v>
      </c>
      <c r="D1663" s="20" t="s">
        <v>3473</v>
      </c>
      <c r="E1663" s="20" t="e">
        <f t="array" ref="E1663">INDEX(C:C,SMALL(IF(ISNUMBER(FIND(CELL("contents"),$C$2:$C$4852)),ROW($C$2:$C$4852),4^8),ROW(C1663)))&amp;""</f>
        <v>#N/A</v>
      </c>
    </row>
    <row r="1664" ht="14.100000000000001" customHeight="1">
      <c r="B1664" s="20" t="s">
        <v>3475</v>
      </c>
      <c r="C1664" s="20" t="s">
        <v>3476</v>
      </c>
      <c r="D1664" s="20" t="s">
        <v>3475</v>
      </c>
      <c r="E1664" s="20" t="e">
        <f t="array" ref="E1664">INDEX(C:C,SMALL(IF(ISNUMBER(FIND(CELL("contents"),$C$2:$C$4852)),ROW($C$2:$C$4852),4^8),ROW(C1664)))&amp;""</f>
        <v>#N/A</v>
      </c>
    </row>
    <row r="1665" ht="14.100000000000001" customHeight="1">
      <c r="B1665" s="20" t="s">
        <v>3477</v>
      </c>
      <c r="C1665" s="20" t="s">
        <v>3478</v>
      </c>
      <c r="D1665" s="20" t="s">
        <v>3477</v>
      </c>
      <c r="E1665" s="20" t="e">
        <f t="array" ref="E1665">INDEX(C:C,SMALL(IF(ISNUMBER(FIND(CELL("contents"),$C$2:$C$4852)),ROW($C$2:$C$4852),4^8),ROW(C1665)))&amp;""</f>
        <v>#N/A</v>
      </c>
    </row>
    <row r="1666" ht="14.100000000000001" customHeight="1">
      <c r="B1666" s="20" t="s">
        <v>3479</v>
      </c>
      <c r="C1666" s="20" t="s">
        <v>3480</v>
      </c>
      <c r="D1666" s="20" t="s">
        <v>3479</v>
      </c>
      <c r="E1666" s="20" t="e">
        <f t="array" ref="E1666">INDEX(C:C,SMALL(IF(ISNUMBER(FIND(CELL("contents"),$C$2:$C$4852)),ROW($C$2:$C$4852),4^8),ROW(C1666)))&amp;""</f>
        <v>#N/A</v>
      </c>
    </row>
    <row r="1667" ht="14.100000000000001" customHeight="1">
      <c r="B1667" s="20" t="s">
        <v>3481</v>
      </c>
      <c r="C1667" s="20" t="s">
        <v>3482</v>
      </c>
      <c r="D1667" s="20" t="s">
        <v>3481</v>
      </c>
      <c r="E1667" s="20" t="e">
        <f t="array" ref="E1667">INDEX(C:C,SMALL(IF(ISNUMBER(FIND(CELL("contents"),$C$2:$C$4852)),ROW($C$2:$C$4852),4^8),ROW(C1667)))&amp;""</f>
        <v>#N/A</v>
      </c>
    </row>
    <row r="1668" ht="14.100000000000001" customHeight="1">
      <c r="B1668" s="20" t="s">
        <v>3483</v>
      </c>
      <c r="C1668" s="20" t="s">
        <v>3484</v>
      </c>
      <c r="D1668" s="20" t="s">
        <v>3483</v>
      </c>
      <c r="E1668" s="20" t="e">
        <f t="array" ref="E1668">INDEX(C:C,SMALL(IF(ISNUMBER(FIND(CELL("contents"),$C$2:$C$4852)),ROW($C$2:$C$4852),4^8),ROW(C1668)))&amp;""</f>
        <v>#N/A</v>
      </c>
    </row>
    <row r="1669" ht="14.100000000000001" customHeight="1">
      <c r="B1669" s="20" t="s">
        <v>3485</v>
      </c>
      <c r="C1669" s="20" t="s">
        <v>3486</v>
      </c>
      <c r="D1669" s="20" t="s">
        <v>3485</v>
      </c>
      <c r="E1669" s="20" t="e">
        <f t="array" ref="E1669">INDEX(C:C,SMALL(IF(ISNUMBER(FIND(CELL("contents"),$C$2:$C$4852)),ROW($C$2:$C$4852),4^8),ROW(C1669)))&amp;""</f>
        <v>#N/A</v>
      </c>
    </row>
    <row r="1670" ht="14.100000000000001" customHeight="1">
      <c r="B1670" s="20" t="s">
        <v>3487</v>
      </c>
      <c r="C1670" s="20" t="s">
        <v>3488</v>
      </c>
      <c r="D1670" s="20" t="s">
        <v>3487</v>
      </c>
      <c r="E1670" s="20" t="e">
        <f t="array" ref="E1670">INDEX(C:C,SMALL(IF(ISNUMBER(FIND(CELL("contents"),$C$2:$C$4852)),ROW($C$2:$C$4852),4^8),ROW(C1670)))&amp;""</f>
        <v>#N/A</v>
      </c>
    </row>
    <row r="1671" ht="14.100000000000001" customHeight="1">
      <c r="B1671" s="20" t="s">
        <v>3489</v>
      </c>
      <c r="C1671" s="20" t="s">
        <v>3490</v>
      </c>
      <c r="D1671" s="20" t="s">
        <v>3489</v>
      </c>
      <c r="E1671" s="20" t="e">
        <f t="array" ref="E1671">INDEX(C:C,SMALL(IF(ISNUMBER(FIND(CELL("contents"),$C$2:$C$4852)),ROW($C$2:$C$4852),4^8),ROW(C1671)))&amp;""</f>
        <v>#N/A</v>
      </c>
    </row>
    <row r="1672" ht="14.100000000000001" customHeight="1">
      <c r="B1672" s="20" t="s">
        <v>3491</v>
      </c>
      <c r="C1672" s="20" t="s">
        <v>3492</v>
      </c>
      <c r="D1672" s="20" t="s">
        <v>3491</v>
      </c>
      <c r="E1672" s="20" t="e">
        <f t="array" ref="E1672">INDEX(C:C,SMALL(IF(ISNUMBER(FIND(CELL("contents"),$C$2:$C$4852)),ROW($C$2:$C$4852),4^8),ROW(C1672)))&amp;""</f>
        <v>#N/A</v>
      </c>
    </row>
    <row r="1673" ht="14.100000000000001" customHeight="1">
      <c r="B1673" s="20" t="s">
        <v>3493</v>
      </c>
      <c r="C1673" s="20" t="s">
        <v>3494</v>
      </c>
      <c r="D1673" s="20" t="s">
        <v>3493</v>
      </c>
      <c r="E1673" s="20" t="e">
        <f t="array" ref="E1673">INDEX(C:C,SMALL(IF(ISNUMBER(FIND(CELL("contents"),$C$2:$C$4852)),ROW($C$2:$C$4852),4^8),ROW(C1673)))&amp;""</f>
        <v>#N/A</v>
      </c>
    </row>
    <row r="1674" ht="14.100000000000001" customHeight="1">
      <c r="B1674" s="20" t="s">
        <v>3495</v>
      </c>
      <c r="C1674" s="20" t="s">
        <v>3496</v>
      </c>
      <c r="D1674" s="20" t="s">
        <v>3495</v>
      </c>
      <c r="E1674" s="20" t="e">
        <f t="array" ref="E1674">INDEX(C:C,SMALL(IF(ISNUMBER(FIND(CELL("contents"),$C$2:$C$4852)),ROW($C$2:$C$4852),4^8),ROW(C1674)))&amp;""</f>
        <v>#N/A</v>
      </c>
    </row>
    <row r="1675" ht="14.100000000000001" customHeight="1">
      <c r="B1675" s="20" t="s">
        <v>3497</v>
      </c>
      <c r="C1675" s="20" t="s">
        <v>3498</v>
      </c>
      <c r="D1675" s="20" t="s">
        <v>3497</v>
      </c>
      <c r="E1675" s="20" t="e">
        <f t="array" ref="E1675">INDEX(C:C,SMALL(IF(ISNUMBER(FIND(CELL("contents"),$C$2:$C$4852)),ROW($C$2:$C$4852),4^8),ROW(C1675)))&amp;""</f>
        <v>#N/A</v>
      </c>
    </row>
    <row r="1676" ht="14.100000000000001" customHeight="1">
      <c r="B1676" s="20" t="s">
        <v>3499</v>
      </c>
      <c r="C1676" s="20" t="s">
        <v>3500</v>
      </c>
      <c r="D1676" s="20" t="s">
        <v>3499</v>
      </c>
      <c r="E1676" s="20" t="e">
        <f t="array" ref="E1676">INDEX(C:C,SMALL(IF(ISNUMBER(FIND(CELL("contents"),$C$2:$C$4852)),ROW($C$2:$C$4852),4^8),ROW(C1676)))&amp;""</f>
        <v>#N/A</v>
      </c>
    </row>
    <row r="1677" ht="14.100000000000001" customHeight="1">
      <c r="B1677" s="20" t="s">
        <v>3501</v>
      </c>
      <c r="C1677" s="20" t="s">
        <v>3502</v>
      </c>
      <c r="D1677" s="20" t="s">
        <v>3501</v>
      </c>
      <c r="E1677" s="20" t="e">
        <f t="array" ref="E1677">INDEX(C:C,SMALL(IF(ISNUMBER(FIND(CELL("contents"),$C$2:$C$4852)),ROW($C$2:$C$4852),4^8),ROW(C1677)))&amp;""</f>
        <v>#N/A</v>
      </c>
    </row>
    <row r="1678" ht="14.100000000000001" customHeight="1">
      <c r="B1678" s="20" t="s">
        <v>3503</v>
      </c>
      <c r="C1678" s="20" t="s">
        <v>3504</v>
      </c>
      <c r="D1678" s="20" t="s">
        <v>3503</v>
      </c>
      <c r="E1678" s="20" t="e">
        <f t="array" ref="E1678">INDEX(C:C,SMALL(IF(ISNUMBER(FIND(CELL("contents"),$C$2:$C$4852)),ROW($C$2:$C$4852),4^8),ROW(C1678)))&amp;""</f>
        <v>#N/A</v>
      </c>
    </row>
    <row r="1679" ht="14.100000000000001" customHeight="1">
      <c r="B1679" s="20" t="s">
        <v>3505</v>
      </c>
      <c r="C1679" s="20" t="s">
        <v>3506</v>
      </c>
      <c r="D1679" s="20" t="s">
        <v>3505</v>
      </c>
      <c r="E1679" s="20" t="e">
        <f t="array" ref="E1679">INDEX(C:C,SMALL(IF(ISNUMBER(FIND(CELL("contents"),$C$2:$C$4852)),ROW($C$2:$C$4852),4^8),ROW(C1679)))&amp;""</f>
        <v>#N/A</v>
      </c>
    </row>
    <row r="1680" ht="14.100000000000001" customHeight="1">
      <c r="B1680" s="20" t="s">
        <v>3507</v>
      </c>
      <c r="C1680" s="20" t="s">
        <v>3508</v>
      </c>
      <c r="D1680" s="20" t="s">
        <v>3507</v>
      </c>
      <c r="E1680" s="20" t="e">
        <f t="array" ref="E1680">INDEX(C:C,SMALL(IF(ISNUMBER(FIND(CELL("contents"),$C$2:$C$4852)),ROW($C$2:$C$4852),4^8),ROW(C1680)))&amp;""</f>
        <v>#N/A</v>
      </c>
    </row>
    <row r="1681" ht="14.100000000000001" customHeight="1">
      <c r="B1681" s="20" t="s">
        <v>3509</v>
      </c>
      <c r="C1681" s="20" t="s">
        <v>3510</v>
      </c>
      <c r="D1681" s="20" t="s">
        <v>3509</v>
      </c>
      <c r="E1681" s="20" t="e">
        <f t="array" ref="E1681">INDEX(C:C,SMALL(IF(ISNUMBER(FIND(CELL("contents"),$C$2:$C$4852)),ROW($C$2:$C$4852),4^8),ROW(C1681)))&amp;""</f>
        <v>#N/A</v>
      </c>
    </row>
    <row r="1682" ht="14.100000000000001" customHeight="1">
      <c r="B1682" s="20" t="s">
        <v>3511</v>
      </c>
      <c r="C1682" s="20" t="s">
        <v>3512</v>
      </c>
      <c r="D1682" s="20" t="s">
        <v>3511</v>
      </c>
      <c r="E1682" s="20" t="e">
        <f t="array" ref="E1682">INDEX(C:C,SMALL(IF(ISNUMBER(FIND(CELL("contents"),$C$2:$C$4852)),ROW($C$2:$C$4852),4^8),ROW(C1682)))&amp;""</f>
        <v>#N/A</v>
      </c>
    </row>
    <row r="1683" ht="14.100000000000001" customHeight="1">
      <c r="B1683" s="20" t="s">
        <v>3513</v>
      </c>
      <c r="C1683" s="20" t="s">
        <v>3514</v>
      </c>
      <c r="D1683" s="20" t="s">
        <v>3513</v>
      </c>
      <c r="E1683" s="20" t="e">
        <f t="array" ref="E1683">INDEX(C:C,SMALL(IF(ISNUMBER(FIND(CELL("contents"),$C$2:$C$4852)),ROW($C$2:$C$4852),4^8),ROW(C1683)))&amp;""</f>
        <v>#N/A</v>
      </c>
    </row>
    <row r="1684" ht="14.100000000000001" customHeight="1">
      <c r="B1684" s="20" t="s">
        <v>3515</v>
      </c>
      <c r="C1684" s="20" t="s">
        <v>3516</v>
      </c>
      <c r="D1684" s="20" t="s">
        <v>3515</v>
      </c>
      <c r="E1684" s="20" t="e">
        <f t="array" ref="E1684">INDEX(C:C,SMALL(IF(ISNUMBER(FIND(CELL("contents"),$C$2:$C$4852)),ROW($C$2:$C$4852),4^8),ROW(C1684)))&amp;""</f>
        <v>#N/A</v>
      </c>
    </row>
    <row r="1685" ht="14.100000000000001" customHeight="1">
      <c r="B1685" s="20" t="s">
        <v>3517</v>
      </c>
      <c r="C1685" s="20" t="s">
        <v>3518</v>
      </c>
      <c r="D1685" s="20" t="s">
        <v>3517</v>
      </c>
      <c r="E1685" s="20" t="e">
        <f t="array" ref="E1685">INDEX(C:C,SMALL(IF(ISNUMBER(FIND(CELL("contents"),$C$2:$C$4852)),ROW($C$2:$C$4852),4^8),ROW(C1685)))&amp;""</f>
        <v>#N/A</v>
      </c>
    </row>
    <row r="1686" ht="14.100000000000001" customHeight="1">
      <c r="B1686" s="20" t="s">
        <v>3519</v>
      </c>
      <c r="C1686" s="20" t="s">
        <v>3520</v>
      </c>
      <c r="D1686" s="20" t="s">
        <v>3519</v>
      </c>
      <c r="E1686" s="20" t="e">
        <f t="array" ref="E1686">INDEX(C:C,SMALL(IF(ISNUMBER(FIND(CELL("contents"),$C$2:$C$4852)),ROW($C$2:$C$4852),4^8),ROW(C1686)))&amp;""</f>
        <v>#N/A</v>
      </c>
    </row>
    <row r="1687" ht="14.100000000000001" customHeight="1">
      <c r="B1687" s="20" t="s">
        <v>3521</v>
      </c>
      <c r="C1687" s="20" t="s">
        <v>3522</v>
      </c>
      <c r="D1687" s="20" t="s">
        <v>3521</v>
      </c>
      <c r="E1687" s="20" t="e">
        <f t="array" ref="E1687">INDEX(C:C,SMALL(IF(ISNUMBER(FIND(CELL("contents"),$C$2:$C$4852)),ROW($C$2:$C$4852),4^8),ROW(C1687)))&amp;""</f>
        <v>#N/A</v>
      </c>
    </row>
    <row r="1688" ht="14.100000000000001" customHeight="1">
      <c r="B1688" s="20" t="s">
        <v>3523</v>
      </c>
      <c r="C1688" s="20" t="s">
        <v>3524</v>
      </c>
      <c r="D1688" s="20" t="s">
        <v>3523</v>
      </c>
      <c r="E1688" s="20" t="e">
        <f t="array" ref="E1688">INDEX(C:C,SMALL(IF(ISNUMBER(FIND(CELL("contents"),$C$2:$C$4852)),ROW($C$2:$C$4852),4^8),ROW(C1688)))&amp;""</f>
        <v>#N/A</v>
      </c>
    </row>
    <row r="1689" ht="14.100000000000001" customHeight="1">
      <c r="B1689" s="20" t="s">
        <v>3525</v>
      </c>
      <c r="C1689" s="20" t="s">
        <v>3526</v>
      </c>
      <c r="D1689" s="20" t="s">
        <v>3525</v>
      </c>
      <c r="E1689" s="20" t="e">
        <f t="array" ref="E1689">INDEX(C:C,SMALL(IF(ISNUMBER(FIND(CELL("contents"),$C$2:$C$4852)),ROW($C$2:$C$4852),4^8),ROW(C1689)))&amp;""</f>
        <v>#N/A</v>
      </c>
    </row>
    <row r="1690" ht="14.100000000000001" customHeight="1">
      <c r="B1690" s="20" t="s">
        <v>3527</v>
      </c>
      <c r="C1690" s="20" t="s">
        <v>3528</v>
      </c>
      <c r="D1690" s="20" t="s">
        <v>3527</v>
      </c>
      <c r="E1690" s="20" t="e">
        <f t="array" ref="E1690">INDEX(C:C,SMALL(IF(ISNUMBER(FIND(CELL("contents"),$C$2:$C$4852)),ROW($C$2:$C$4852),4^8),ROW(C1690)))&amp;""</f>
        <v>#N/A</v>
      </c>
    </row>
    <row r="1691" ht="14.100000000000001" customHeight="1">
      <c r="B1691" s="20" t="s">
        <v>3529</v>
      </c>
      <c r="C1691" s="20" t="s">
        <v>3530</v>
      </c>
      <c r="D1691" s="20" t="s">
        <v>3529</v>
      </c>
      <c r="E1691" s="20" t="e">
        <f t="array" ref="E1691">INDEX(C:C,SMALL(IF(ISNUMBER(FIND(CELL("contents"),$C$2:$C$4852)),ROW($C$2:$C$4852),4^8),ROW(C1691)))&amp;""</f>
        <v>#N/A</v>
      </c>
    </row>
    <row r="1692" ht="14.100000000000001" customHeight="1">
      <c r="B1692" s="20" t="s">
        <v>3531</v>
      </c>
      <c r="C1692" s="20" t="s">
        <v>3532</v>
      </c>
      <c r="D1692" s="20" t="s">
        <v>3531</v>
      </c>
      <c r="E1692" s="20" t="e">
        <f t="array" ref="E1692">INDEX(C:C,SMALL(IF(ISNUMBER(FIND(CELL("contents"),$C$2:$C$4852)),ROW($C$2:$C$4852),4^8),ROW(C1692)))&amp;""</f>
        <v>#N/A</v>
      </c>
    </row>
    <row r="1693" ht="14.100000000000001" customHeight="1">
      <c r="B1693" s="20" t="s">
        <v>3533</v>
      </c>
      <c r="C1693" s="20" t="s">
        <v>3534</v>
      </c>
      <c r="D1693" s="20" t="s">
        <v>3533</v>
      </c>
      <c r="E1693" s="20" t="e">
        <f t="array" ref="E1693">INDEX(C:C,SMALL(IF(ISNUMBER(FIND(CELL("contents"),$C$2:$C$4852)),ROW($C$2:$C$4852),4^8),ROW(C1693)))&amp;""</f>
        <v>#N/A</v>
      </c>
    </row>
    <row r="1694" ht="14.100000000000001" customHeight="1">
      <c r="B1694" s="20" t="s">
        <v>3535</v>
      </c>
      <c r="C1694" s="20" t="s">
        <v>3536</v>
      </c>
      <c r="D1694" s="20" t="s">
        <v>3535</v>
      </c>
      <c r="E1694" s="20" t="e">
        <f t="array" ref="E1694">INDEX(C:C,SMALL(IF(ISNUMBER(FIND(CELL("contents"),$C$2:$C$4852)),ROW($C$2:$C$4852),4^8),ROW(C1694)))&amp;""</f>
        <v>#N/A</v>
      </c>
    </row>
    <row r="1695" ht="14.100000000000001" customHeight="1">
      <c r="B1695" s="20" t="s">
        <v>3537</v>
      </c>
      <c r="C1695" s="20" t="s">
        <v>3538</v>
      </c>
      <c r="D1695" s="20" t="s">
        <v>3537</v>
      </c>
      <c r="E1695" s="20" t="e">
        <f t="array" ref="E1695">INDEX(C:C,SMALL(IF(ISNUMBER(FIND(CELL("contents"),$C$2:$C$4852)),ROW($C$2:$C$4852),4^8),ROW(C1695)))&amp;""</f>
        <v>#N/A</v>
      </c>
    </row>
    <row r="1696" ht="14.100000000000001" customHeight="1">
      <c r="B1696" s="20" t="s">
        <v>3539</v>
      </c>
      <c r="C1696" s="20" t="s">
        <v>3540</v>
      </c>
      <c r="D1696" s="20" t="s">
        <v>3539</v>
      </c>
      <c r="E1696" s="20" t="e">
        <f t="array" ref="E1696">INDEX(C:C,SMALL(IF(ISNUMBER(FIND(CELL("contents"),$C$2:$C$4852)),ROW($C$2:$C$4852),4^8),ROW(C1696)))&amp;""</f>
        <v>#N/A</v>
      </c>
    </row>
    <row r="1697" ht="14.100000000000001" customHeight="1">
      <c r="B1697" s="20" t="s">
        <v>3541</v>
      </c>
      <c r="C1697" s="20" t="s">
        <v>3542</v>
      </c>
      <c r="D1697" s="20" t="s">
        <v>3541</v>
      </c>
      <c r="E1697" s="20" t="e">
        <f t="array" ref="E1697">INDEX(C:C,SMALL(IF(ISNUMBER(FIND(CELL("contents"),$C$2:$C$4852)),ROW($C$2:$C$4852),4^8),ROW(C1697)))&amp;""</f>
        <v>#N/A</v>
      </c>
    </row>
    <row r="1698" ht="14.100000000000001" customHeight="1">
      <c r="B1698" s="20" t="s">
        <v>3543</v>
      </c>
      <c r="C1698" s="20" t="s">
        <v>3544</v>
      </c>
      <c r="D1698" s="20" t="s">
        <v>3543</v>
      </c>
      <c r="E1698" s="20" t="e">
        <f t="array" ref="E1698">INDEX(C:C,SMALL(IF(ISNUMBER(FIND(CELL("contents"),$C$2:$C$4852)),ROW($C$2:$C$4852),4^8),ROW(C1698)))&amp;""</f>
        <v>#N/A</v>
      </c>
    </row>
    <row r="1699" ht="14.100000000000001" customHeight="1">
      <c r="B1699" s="20" t="s">
        <v>3545</v>
      </c>
      <c r="C1699" s="20" t="s">
        <v>3546</v>
      </c>
      <c r="D1699" s="20" t="s">
        <v>3545</v>
      </c>
      <c r="E1699" s="20" t="e">
        <f t="array" ref="E1699">INDEX(C:C,SMALL(IF(ISNUMBER(FIND(CELL("contents"),$C$2:$C$4852)),ROW($C$2:$C$4852),4^8),ROW(C1699)))&amp;""</f>
        <v>#N/A</v>
      </c>
    </row>
    <row r="1700" ht="14.100000000000001" customHeight="1">
      <c r="B1700" s="20" t="s">
        <v>3547</v>
      </c>
      <c r="C1700" s="20" t="s">
        <v>3548</v>
      </c>
      <c r="D1700" s="20" t="s">
        <v>3547</v>
      </c>
      <c r="E1700" s="20" t="e">
        <f t="array" ref="E1700">INDEX(C:C,SMALL(IF(ISNUMBER(FIND(CELL("contents"),$C$2:$C$4852)),ROW($C$2:$C$4852),4^8),ROW(C1700)))&amp;""</f>
        <v>#N/A</v>
      </c>
    </row>
    <row r="1701" ht="14.100000000000001" customHeight="1">
      <c r="B1701" s="20" t="s">
        <v>3549</v>
      </c>
      <c r="C1701" s="20" t="s">
        <v>3550</v>
      </c>
      <c r="D1701" s="20" t="s">
        <v>3549</v>
      </c>
      <c r="E1701" s="20" t="e">
        <f t="array" ref="E1701">INDEX(C:C,SMALL(IF(ISNUMBER(FIND(CELL("contents"),$C$2:$C$4852)),ROW($C$2:$C$4852),4^8),ROW(C1701)))&amp;""</f>
        <v>#N/A</v>
      </c>
    </row>
    <row r="1702" ht="14.100000000000001" customHeight="1">
      <c r="B1702" s="20" t="s">
        <v>3551</v>
      </c>
      <c r="C1702" s="20" t="s">
        <v>3552</v>
      </c>
      <c r="D1702" s="20" t="s">
        <v>3551</v>
      </c>
      <c r="E1702" s="20" t="e">
        <f t="array" ref="E1702">INDEX(C:C,SMALL(IF(ISNUMBER(FIND(CELL("contents"),$C$2:$C$4852)),ROW($C$2:$C$4852),4^8),ROW(C1702)))&amp;""</f>
        <v>#N/A</v>
      </c>
    </row>
    <row r="1703" ht="14.100000000000001" customHeight="1">
      <c r="B1703" s="20" t="s">
        <v>3553</v>
      </c>
      <c r="C1703" s="20" t="s">
        <v>3554</v>
      </c>
      <c r="D1703" s="20" t="s">
        <v>3553</v>
      </c>
      <c r="E1703" s="20" t="e">
        <f t="array" ref="E1703">INDEX(C:C,SMALL(IF(ISNUMBER(FIND(CELL("contents"),$C$2:$C$4852)),ROW($C$2:$C$4852),4^8),ROW(C1703)))&amp;""</f>
        <v>#N/A</v>
      </c>
    </row>
    <row r="1704" ht="14.100000000000001" customHeight="1">
      <c r="B1704" s="20" t="s">
        <v>3555</v>
      </c>
      <c r="C1704" s="20" t="s">
        <v>3556</v>
      </c>
      <c r="D1704" s="20" t="s">
        <v>3555</v>
      </c>
      <c r="E1704" s="20" t="e">
        <f t="array" ref="E1704">INDEX(C:C,SMALL(IF(ISNUMBER(FIND(CELL("contents"),$C$2:$C$4852)),ROW($C$2:$C$4852),4^8),ROW(C1704)))&amp;""</f>
        <v>#N/A</v>
      </c>
    </row>
    <row r="1705" ht="14.100000000000001" customHeight="1">
      <c r="B1705" s="20" t="s">
        <v>3557</v>
      </c>
      <c r="C1705" s="20" t="s">
        <v>3558</v>
      </c>
      <c r="D1705" s="20" t="s">
        <v>3557</v>
      </c>
      <c r="E1705" s="20" t="e">
        <f t="array" ref="E1705">INDEX(C:C,SMALL(IF(ISNUMBER(FIND(CELL("contents"),$C$2:$C$4852)),ROW($C$2:$C$4852),4^8),ROW(C1705)))&amp;""</f>
        <v>#N/A</v>
      </c>
    </row>
    <row r="1706" ht="14.100000000000001" customHeight="1">
      <c r="B1706" s="20" t="s">
        <v>3559</v>
      </c>
      <c r="C1706" s="20" t="s">
        <v>3560</v>
      </c>
      <c r="D1706" s="20" t="s">
        <v>3559</v>
      </c>
      <c r="E1706" s="20" t="e">
        <f t="array" ref="E1706">INDEX(C:C,SMALL(IF(ISNUMBER(FIND(CELL("contents"),$C$2:$C$4852)),ROW($C$2:$C$4852),4^8),ROW(C1706)))&amp;""</f>
        <v>#N/A</v>
      </c>
    </row>
    <row r="1707" ht="14.100000000000001" customHeight="1">
      <c r="B1707" s="20" t="s">
        <v>3561</v>
      </c>
      <c r="C1707" s="20" t="s">
        <v>3562</v>
      </c>
      <c r="D1707" s="20" t="s">
        <v>3561</v>
      </c>
      <c r="E1707" s="20" t="e">
        <f t="array" ref="E1707">INDEX(C:C,SMALL(IF(ISNUMBER(FIND(CELL("contents"),$C$2:$C$4852)),ROW($C$2:$C$4852),4^8),ROW(C1707)))&amp;""</f>
        <v>#N/A</v>
      </c>
    </row>
    <row r="1708" ht="14.100000000000001" customHeight="1">
      <c r="B1708" s="20" t="s">
        <v>3563</v>
      </c>
      <c r="C1708" s="20" t="s">
        <v>3564</v>
      </c>
      <c r="D1708" s="20" t="s">
        <v>3563</v>
      </c>
      <c r="E1708" s="20" t="e">
        <f t="array" ref="E1708">INDEX(C:C,SMALL(IF(ISNUMBER(FIND(CELL("contents"),$C$2:$C$4852)),ROW($C$2:$C$4852),4^8),ROW(C1708)))&amp;""</f>
        <v>#N/A</v>
      </c>
    </row>
    <row r="1709" ht="14.100000000000001" customHeight="1">
      <c r="B1709" s="20" t="s">
        <v>3565</v>
      </c>
      <c r="C1709" s="20" t="s">
        <v>3566</v>
      </c>
      <c r="D1709" s="20" t="s">
        <v>3565</v>
      </c>
      <c r="E1709" s="20" t="e">
        <f t="array" ref="E1709">INDEX(C:C,SMALL(IF(ISNUMBER(FIND(CELL("contents"),$C$2:$C$4852)),ROW($C$2:$C$4852),4^8),ROW(C1709)))&amp;""</f>
        <v>#N/A</v>
      </c>
    </row>
    <row r="1710" ht="14.100000000000001" customHeight="1">
      <c r="B1710" s="20" t="s">
        <v>3567</v>
      </c>
      <c r="C1710" s="20" t="s">
        <v>3568</v>
      </c>
      <c r="D1710" s="20" t="s">
        <v>3567</v>
      </c>
      <c r="E1710" s="20" t="e">
        <f t="array" ref="E1710">INDEX(C:C,SMALL(IF(ISNUMBER(FIND(CELL("contents"),$C$2:$C$4852)),ROW($C$2:$C$4852),4^8),ROW(C1710)))&amp;""</f>
        <v>#N/A</v>
      </c>
    </row>
    <row r="1711" ht="14.100000000000001" customHeight="1">
      <c r="B1711" s="20" t="s">
        <v>3569</v>
      </c>
      <c r="C1711" s="20" t="s">
        <v>3570</v>
      </c>
      <c r="D1711" s="20" t="s">
        <v>3569</v>
      </c>
      <c r="E1711" s="20" t="e">
        <f t="array" ref="E1711">INDEX(C:C,SMALL(IF(ISNUMBER(FIND(CELL("contents"),$C$2:$C$4852)),ROW($C$2:$C$4852),4^8),ROW(C1711)))&amp;""</f>
        <v>#N/A</v>
      </c>
    </row>
    <row r="1712" ht="14.100000000000001" customHeight="1">
      <c r="B1712" s="20" t="s">
        <v>3571</v>
      </c>
      <c r="C1712" s="20" t="s">
        <v>3572</v>
      </c>
      <c r="D1712" s="20" t="s">
        <v>3571</v>
      </c>
      <c r="E1712" s="20" t="e">
        <f t="array" ref="E1712">INDEX(C:C,SMALL(IF(ISNUMBER(FIND(CELL("contents"),$C$2:$C$4852)),ROW($C$2:$C$4852),4^8),ROW(C1712)))&amp;""</f>
        <v>#N/A</v>
      </c>
    </row>
    <row r="1713" ht="14.100000000000001" customHeight="1">
      <c r="B1713" s="20" t="s">
        <v>3573</v>
      </c>
      <c r="C1713" s="20" t="s">
        <v>3574</v>
      </c>
      <c r="D1713" s="20" t="s">
        <v>3573</v>
      </c>
      <c r="E1713" s="20" t="e">
        <f t="array" ref="E1713">INDEX(C:C,SMALL(IF(ISNUMBER(FIND(CELL("contents"),$C$2:$C$4852)),ROW($C$2:$C$4852),4^8),ROW(C1713)))&amp;""</f>
        <v>#N/A</v>
      </c>
    </row>
    <row r="1714" ht="14.100000000000001" customHeight="1">
      <c r="B1714" s="20" t="s">
        <v>3575</v>
      </c>
      <c r="C1714" s="20" t="s">
        <v>3576</v>
      </c>
      <c r="D1714" s="20" t="s">
        <v>3575</v>
      </c>
      <c r="E1714" s="20" t="e">
        <f t="array" ref="E1714">INDEX(C:C,SMALL(IF(ISNUMBER(FIND(CELL("contents"),$C$2:$C$4852)),ROW($C$2:$C$4852),4^8),ROW(C1714)))&amp;""</f>
        <v>#N/A</v>
      </c>
    </row>
    <row r="1715" ht="14.100000000000001" customHeight="1">
      <c r="B1715" s="20" t="s">
        <v>3577</v>
      </c>
      <c r="C1715" s="20" t="s">
        <v>3578</v>
      </c>
      <c r="D1715" s="20" t="s">
        <v>3577</v>
      </c>
      <c r="E1715" s="20" t="e">
        <f t="array" ref="E1715">INDEX(C:C,SMALL(IF(ISNUMBER(FIND(CELL("contents"),$C$2:$C$4852)),ROW($C$2:$C$4852),4^8),ROW(C1715)))&amp;""</f>
        <v>#N/A</v>
      </c>
    </row>
    <row r="1716" ht="14.100000000000001" customHeight="1">
      <c r="B1716" s="20" t="s">
        <v>3579</v>
      </c>
      <c r="C1716" s="20" t="s">
        <v>3580</v>
      </c>
      <c r="D1716" s="20" t="s">
        <v>3579</v>
      </c>
      <c r="E1716" s="20" t="e">
        <f t="array" ref="E1716">INDEX(C:C,SMALL(IF(ISNUMBER(FIND(CELL("contents"),$C$2:$C$4852)),ROW($C$2:$C$4852),4^8),ROW(C1716)))&amp;""</f>
        <v>#N/A</v>
      </c>
    </row>
    <row r="1717" ht="14.100000000000001" customHeight="1">
      <c r="B1717" s="20" t="s">
        <v>3581</v>
      </c>
      <c r="C1717" s="20" t="s">
        <v>3582</v>
      </c>
      <c r="D1717" s="20" t="s">
        <v>3581</v>
      </c>
      <c r="E1717" s="20" t="e">
        <f t="array" ref="E1717">INDEX(C:C,SMALL(IF(ISNUMBER(FIND(CELL("contents"),$C$2:$C$4852)),ROW($C$2:$C$4852),4^8),ROW(C1717)))&amp;""</f>
        <v>#N/A</v>
      </c>
    </row>
    <row r="1718" ht="14.100000000000001" customHeight="1">
      <c r="B1718" s="20" t="s">
        <v>3583</v>
      </c>
      <c r="C1718" s="20" t="s">
        <v>3584</v>
      </c>
      <c r="D1718" s="20" t="s">
        <v>3583</v>
      </c>
      <c r="E1718" s="20" t="e">
        <f t="array" ref="E1718">INDEX(C:C,SMALL(IF(ISNUMBER(FIND(CELL("contents"),$C$2:$C$4852)),ROW($C$2:$C$4852),4^8),ROW(C1718)))&amp;""</f>
        <v>#N/A</v>
      </c>
    </row>
    <row r="1719" ht="14.100000000000001" customHeight="1">
      <c r="B1719" s="20" t="s">
        <v>3585</v>
      </c>
      <c r="C1719" s="20" t="s">
        <v>3586</v>
      </c>
      <c r="D1719" s="20" t="s">
        <v>3585</v>
      </c>
      <c r="E1719" s="20" t="e">
        <f t="array" ref="E1719">INDEX(C:C,SMALL(IF(ISNUMBER(FIND(CELL("contents"),$C$2:$C$4852)),ROW($C$2:$C$4852),4^8),ROW(C1719)))&amp;""</f>
        <v>#N/A</v>
      </c>
    </row>
    <row r="1720" ht="14.100000000000001" customHeight="1">
      <c r="B1720" s="20" t="s">
        <v>3587</v>
      </c>
      <c r="C1720" s="20" t="s">
        <v>3588</v>
      </c>
      <c r="D1720" s="20" t="s">
        <v>3587</v>
      </c>
      <c r="E1720" s="20" t="e">
        <f t="array" ref="E1720">INDEX(C:C,SMALL(IF(ISNUMBER(FIND(CELL("contents"),$C$2:$C$4852)),ROW($C$2:$C$4852),4^8),ROW(C1720)))&amp;""</f>
        <v>#N/A</v>
      </c>
    </row>
    <row r="1721" ht="14.100000000000001" customHeight="1">
      <c r="B1721" s="20" t="s">
        <v>3589</v>
      </c>
      <c r="C1721" s="20" t="s">
        <v>3590</v>
      </c>
      <c r="D1721" s="20" t="s">
        <v>3589</v>
      </c>
      <c r="E1721" s="20" t="e">
        <f t="array" ref="E1721">INDEX(C:C,SMALL(IF(ISNUMBER(FIND(CELL("contents"),$C$2:$C$4852)),ROW($C$2:$C$4852),4^8),ROW(C1721)))&amp;""</f>
        <v>#N/A</v>
      </c>
    </row>
    <row r="1722" ht="14.100000000000001" customHeight="1">
      <c r="B1722" s="20" t="s">
        <v>3591</v>
      </c>
      <c r="C1722" s="20" t="s">
        <v>3592</v>
      </c>
      <c r="D1722" s="20" t="s">
        <v>3591</v>
      </c>
      <c r="E1722" s="20" t="e">
        <f t="array" ref="E1722">INDEX(C:C,SMALL(IF(ISNUMBER(FIND(CELL("contents"),$C$2:$C$4852)),ROW($C$2:$C$4852),4^8),ROW(C1722)))&amp;""</f>
        <v>#N/A</v>
      </c>
    </row>
    <row r="1723" ht="14.100000000000001" customHeight="1">
      <c r="B1723" s="20" t="s">
        <v>3593</v>
      </c>
      <c r="C1723" s="20" t="s">
        <v>3594</v>
      </c>
      <c r="D1723" s="20" t="s">
        <v>3593</v>
      </c>
      <c r="E1723" s="20" t="e">
        <f t="array" ref="E1723">INDEX(C:C,SMALL(IF(ISNUMBER(FIND(CELL("contents"),$C$2:$C$4852)),ROW($C$2:$C$4852),4^8),ROW(C1723)))&amp;""</f>
        <v>#N/A</v>
      </c>
    </row>
    <row r="1724" ht="14.100000000000001" customHeight="1">
      <c r="B1724" s="20" t="s">
        <v>3595</v>
      </c>
      <c r="C1724" s="20" t="s">
        <v>3596</v>
      </c>
      <c r="D1724" s="20" t="s">
        <v>3595</v>
      </c>
      <c r="E1724" s="20" t="e">
        <f t="array" ref="E1724">INDEX(C:C,SMALL(IF(ISNUMBER(FIND(CELL("contents"),$C$2:$C$4852)),ROW($C$2:$C$4852),4^8),ROW(C1724)))&amp;""</f>
        <v>#N/A</v>
      </c>
    </row>
    <row r="1725" ht="14.100000000000001" customHeight="1">
      <c r="B1725" s="20" t="s">
        <v>3597</v>
      </c>
      <c r="C1725" s="20" t="s">
        <v>3598</v>
      </c>
      <c r="D1725" s="20" t="s">
        <v>3597</v>
      </c>
      <c r="E1725" s="20" t="e">
        <f t="array" ref="E1725">INDEX(C:C,SMALL(IF(ISNUMBER(FIND(CELL("contents"),$C$2:$C$4852)),ROW($C$2:$C$4852),4^8),ROW(C1725)))&amp;""</f>
        <v>#N/A</v>
      </c>
    </row>
    <row r="1726" ht="14.100000000000001" customHeight="1">
      <c r="B1726" s="20" t="s">
        <v>3599</v>
      </c>
      <c r="C1726" s="20" t="s">
        <v>3600</v>
      </c>
      <c r="D1726" s="20" t="s">
        <v>3599</v>
      </c>
      <c r="E1726" s="20" t="e">
        <f t="array" ref="E1726">INDEX(C:C,SMALL(IF(ISNUMBER(FIND(CELL("contents"),$C$2:$C$4852)),ROW($C$2:$C$4852),4^8),ROW(C1726)))&amp;""</f>
        <v>#N/A</v>
      </c>
    </row>
    <row r="1727" ht="14.100000000000001" customHeight="1">
      <c r="B1727" s="20" t="s">
        <v>3601</v>
      </c>
      <c r="C1727" s="20" t="s">
        <v>3602</v>
      </c>
      <c r="D1727" s="20" t="s">
        <v>3601</v>
      </c>
      <c r="E1727" s="20" t="e">
        <f t="array" ref="E1727">INDEX(C:C,SMALL(IF(ISNUMBER(FIND(CELL("contents"),$C$2:$C$4852)),ROW($C$2:$C$4852),4^8),ROW(C1727)))&amp;""</f>
        <v>#N/A</v>
      </c>
    </row>
    <row r="1728" ht="14.100000000000001" customHeight="1">
      <c r="B1728" s="20" t="s">
        <v>3603</v>
      </c>
      <c r="C1728" s="20" t="s">
        <v>3604</v>
      </c>
      <c r="D1728" s="20" t="s">
        <v>3603</v>
      </c>
      <c r="E1728" s="20" t="e">
        <f t="array" ref="E1728">INDEX(C:C,SMALL(IF(ISNUMBER(FIND(CELL("contents"),$C$2:$C$4852)),ROW($C$2:$C$4852),4^8),ROW(C1728)))&amp;""</f>
        <v>#N/A</v>
      </c>
    </row>
    <row r="1729" ht="14.100000000000001" customHeight="1">
      <c r="B1729" s="20" t="s">
        <v>3605</v>
      </c>
      <c r="C1729" s="20" t="s">
        <v>3606</v>
      </c>
      <c r="D1729" s="20" t="s">
        <v>3605</v>
      </c>
      <c r="E1729" s="20" t="e">
        <f t="array" ref="E1729">INDEX(C:C,SMALL(IF(ISNUMBER(FIND(CELL("contents"),$C$2:$C$4852)),ROW($C$2:$C$4852),4^8),ROW(C1729)))&amp;""</f>
        <v>#N/A</v>
      </c>
    </row>
    <row r="1730" ht="14.100000000000001" customHeight="1">
      <c r="B1730" s="20" t="s">
        <v>3607</v>
      </c>
      <c r="C1730" s="20" t="s">
        <v>3608</v>
      </c>
      <c r="D1730" s="20" t="s">
        <v>3607</v>
      </c>
      <c r="E1730" s="20" t="e">
        <f t="array" ref="E1730">INDEX(C:C,SMALL(IF(ISNUMBER(FIND(CELL("contents"),$C$2:$C$4852)),ROW($C$2:$C$4852),4^8),ROW(C1730)))&amp;""</f>
        <v>#N/A</v>
      </c>
    </row>
    <row r="1731" ht="14.100000000000001" customHeight="1">
      <c r="B1731" s="20" t="s">
        <v>3609</v>
      </c>
      <c r="C1731" s="20" t="s">
        <v>3610</v>
      </c>
      <c r="D1731" s="20" t="s">
        <v>3609</v>
      </c>
      <c r="E1731" s="20" t="e">
        <f t="array" ref="E1731">INDEX(C:C,SMALL(IF(ISNUMBER(FIND(CELL("contents"),$C$2:$C$4852)),ROW($C$2:$C$4852),4^8),ROW(C1731)))&amp;""</f>
        <v>#N/A</v>
      </c>
    </row>
    <row r="1732" ht="14.100000000000001" customHeight="1">
      <c r="B1732" s="20" t="s">
        <v>3611</v>
      </c>
      <c r="C1732" s="20" t="s">
        <v>3612</v>
      </c>
      <c r="D1732" s="20" t="s">
        <v>3611</v>
      </c>
      <c r="E1732" s="20" t="e">
        <f t="array" ref="E1732">INDEX(C:C,SMALL(IF(ISNUMBER(FIND(CELL("contents"),$C$2:$C$4852)),ROW($C$2:$C$4852),4^8),ROW(C1732)))&amp;""</f>
        <v>#N/A</v>
      </c>
    </row>
    <row r="1733" ht="14.100000000000001" customHeight="1">
      <c r="B1733" s="20" t="s">
        <v>3613</v>
      </c>
      <c r="C1733" s="20" t="s">
        <v>3614</v>
      </c>
      <c r="D1733" s="20" t="s">
        <v>3613</v>
      </c>
      <c r="E1733" s="20" t="e">
        <f t="array" ref="E1733">INDEX(C:C,SMALL(IF(ISNUMBER(FIND(CELL("contents"),$C$2:$C$4852)),ROW($C$2:$C$4852),4^8),ROW(C1733)))&amp;""</f>
        <v>#N/A</v>
      </c>
    </row>
    <row r="1734" ht="14.100000000000001" customHeight="1">
      <c r="B1734" s="20" t="s">
        <v>3615</v>
      </c>
      <c r="C1734" s="20" t="s">
        <v>3616</v>
      </c>
      <c r="D1734" s="20" t="s">
        <v>3615</v>
      </c>
      <c r="E1734" s="20" t="e">
        <f t="array" ref="E1734">INDEX(C:C,SMALL(IF(ISNUMBER(FIND(CELL("contents"),$C$2:$C$4852)),ROW($C$2:$C$4852),4^8),ROW(C1734)))&amp;""</f>
        <v>#N/A</v>
      </c>
    </row>
    <row r="1735" ht="14.100000000000001" customHeight="1">
      <c r="B1735" s="20" t="s">
        <v>3617</v>
      </c>
      <c r="C1735" s="20" t="s">
        <v>3618</v>
      </c>
      <c r="D1735" s="20" t="s">
        <v>3617</v>
      </c>
      <c r="E1735" s="20" t="e">
        <f t="array" ref="E1735">INDEX(C:C,SMALL(IF(ISNUMBER(FIND(CELL("contents"),$C$2:$C$4852)),ROW($C$2:$C$4852),4^8),ROW(C1735)))&amp;""</f>
        <v>#N/A</v>
      </c>
    </row>
    <row r="1736" ht="14.100000000000001" customHeight="1">
      <c r="B1736" s="20" t="s">
        <v>3619</v>
      </c>
      <c r="C1736" s="20" t="s">
        <v>3620</v>
      </c>
      <c r="D1736" s="20" t="s">
        <v>3619</v>
      </c>
      <c r="E1736" s="20" t="e">
        <f t="array" ref="E1736">INDEX(C:C,SMALL(IF(ISNUMBER(FIND(CELL("contents"),$C$2:$C$4852)),ROW($C$2:$C$4852),4^8),ROW(C1736)))&amp;""</f>
        <v>#N/A</v>
      </c>
    </row>
    <row r="1737" ht="14.100000000000001" customHeight="1">
      <c r="B1737" s="20" t="s">
        <v>3621</v>
      </c>
      <c r="C1737" s="20" t="s">
        <v>3622</v>
      </c>
      <c r="D1737" s="20" t="s">
        <v>3621</v>
      </c>
      <c r="E1737" s="20" t="e">
        <f t="array" ref="E1737">INDEX(C:C,SMALL(IF(ISNUMBER(FIND(CELL("contents"),$C$2:$C$4852)),ROW($C$2:$C$4852),4^8),ROW(C1737)))&amp;""</f>
        <v>#N/A</v>
      </c>
    </row>
    <row r="1738" ht="14.100000000000001" customHeight="1">
      <c r="B1738" s="20" t="s">
        <v>3623</v>
      </c>
      <c r="C1738" s="20" t="s">
        <v>3624</v>
      </c>
      <c r="D1738" s="20" t="s">
        <v>3623</v>
      </c>
      <c r="E1738" s="20" t="e">
        <f t="array" ref="E1738">INDEX(C:C,SMALL(IF(ISNUMBER(FIND(CELL("contents"),$C$2:$C$4852)),ROW($C$2:$C$4852),4^8),ROW(C1738)))&amp;""</f>
        <v>#N/A</v>
      </c>
    </row>
    <row r="1739" ht="14.100000000000001" customHeight="1">
      <c r="B1739" s="20" t="s">
        <v>3625</v>
      </c>
      <c r="C1739" s="20" t="s">
        <v>3626</v>
      </c>
      <c r="D1739" s="20" t="s">
        <v>3625</v>
      </c>
      <c r="E1739" s="20" t="e">
        <f t="array" ref="E1739">INDEX(C:C,SMALL(IF(ISNUMBER(FIND(CELL("contents"),$C$2:$C$4852)),ROW($C$2:$C$4852),4^8),ROW(C1739)))&amp;""</f>
        <v>#N/A</v>
      </c>
    </row>
    <row r="1740" ht="14.100000000000001" customHeight="1">
      <c r="B1740" s="20" t="s">
        <v>3627</v>
      </c>
      <c r="C1740" s="20" t="s">
        <v>3628</v>
      </c>
      <c r="D1740" s="20" t="s">
        <v>3627</v>
      </c>
      <c r="E1740" s="20" t="e">
        <f t="array" ref="E1740">INDEX(C:C,SMALL(IF(ISNUMBER(FIND(CELL("contents"),$C$2:$C$4852)),ROW($C$2:$C$4852),4^8),ROW(C1740)))&amp;""</f>
        <v>#N/A</v>
      </c>
    </row>
    <row r="1741" ht="14.100000000000001" customHeight="1">
      <c r="B1741" s="20" t="s">
        <v>3629</v>
      </c>
      <c r="C1741" s="20" t="s">
        <v>3630</v>
      </c>
      <c r="D1741" s="20" t="s">
        <v>3629</v>
      </c>
      <c r="E1741" s="20" t="e">
        <f t="array" ref="E1741">INDEX(C:C,SMALL(IF(ISNUMBER(FIND(CELL("contents"),$C$2:$C$4852)),ROW($C$2:$C$4852),4^8),ROW(C1741)))&amp;""</f>
        <v>#N/A</v>
      </c>
    </row>
    <row r="1742" ht="14.100000000000001" customHeight="1">
      <c r="B1742" s="20" t="s">
        <v>3631</v>
      </c>
      <c r="C1742" s="20" t="s">
        <v>3632</v>
      </c>
      <c r="D1742" s="20" t="s">
        <v>3631</v>
      </c>
      <c r="E1742" s="20" t="e">
        <f t="array" ref="E1742">INDEX(C:C,SMALL(IF(ISNUMBER(FIND(CELL("contents"),$C$2:$C$4852)),ROW($C$2:$C$4852),4^8),ROW(C1742)))&amp;""</f>
        <v>#N/A</v>
      </c>
    </row>
    <row r="1743" ht="14.100000000000001" customHeight="1">
      <c r="B1743" s="20" t="s">
        <v>3633</v>
      </c>
      <c r="C1743" s="20" t="s">
        <v>3634</v>
      </c>
      <c r="D1743" s="20" t="s">
        <v>3633</v>
      </c>
      <c r="E1743" s="20" t="e">
        <f t="array" ref="E1743">INDEX(C:C,SMALL(IF(ISNUMBER(FIND(CELL("contents"),$C$2:$C$4852)),ROW($C$2:$C$4852),4^8),ROW(C1743)))&amp;""</f>
        <v>#N/A</v>
      </c>
    </row>
    <row r="1744" ht="14.100000000000001" customHeight="1">
      <c r="B1744" s="20" t="s">
        <v>3635</v>
      </c>
      <c r="C1744" s="20" t="s">
        <v>3636</v>
      </c>
      <c r="D1744" s="20" t="s">
        <v>3635</v>
      </c>
      <c r="E1744" s="20" t="e">
        <f t="array" ref="E1744">INDEX(C:C,SMALL(IF(ISNUMBER(FIND(CELL("contents"),$C$2:$C$4852)),ROW($C$2:$C$4852),4^8),ROW(C1744)))&amp;""</f>
        <v>#N/A</v>
      </c>
    </row>
    <row r="1745" ht="14.100000000000001" customHeight="1">
      <c r="B1745" s="20" t="s">
        <v>3637</v>
      </c>
      <c r="C1745" s="20" t="s">
        <v>3638</v>
      </c>
      <c r="D1745" s="20" t="s">
        <v>3637</v>
      </c>
      <c r="E1745" s="20" t="e">
        <f t="array" ref="E1745">INDEX(C:C,SMALL(IF(ISNUMBER(FIND(CELL("contents"),$C$2:$C$4852)),ROW($C$2:$C$4852),4^8),ROW(C1745)))&amp;""</f>
        <v>#N/A</v>
      </c>
    </row>
    <row r="1746" ht="14.100000000000001" customHeight="1">
      <c r="B1746" s="20" t="s">
        <v>3639</v>
      </c>
      <c r="C1746" s="20" t="s">
        <v>3640</v>
      </c>
      <c r="D1746" s="20" t="s">
        <v>3639</v>
      </c>
      <c r="E1746" s="20" t="e">
        <f t="array" ref="E1746">INDEX(C:C,SMALL(IF(ISNUMBER(FIND(CELL("contents"),$C$2:$C$4852)),ROW($C$2:$C$4852),4^8),ROW(C1746)))&amp;""</f>
        <v>#N/A</v>
      </c>
    </row>
    <row r="1747" ht="14.100000000000001" customHeight="1">
      <c r="B1747" s="20" t="s">
        <v>3641</v>
      </c>
      <c r="C1747" s="20" t="s">
        <v>3642</v>
      </c>
      <c r="D1747" s="20" t="s">
        <v>3641</v>
      </c>
      <c r="E1747" s="20" t="e">
        <f t="array" ref="E1747">INDEX(C:C,SMALL(IF(ISNUMBER(FIND(CELL("contents"),$C$2:$C$4852)),ROW($C$2:$C$4852),4^8),ROW(C1747)))&amp;""</f>
        <v>#N/A</v>
      </c>
    </row>
    <row r="1748" ht="14.100000000000001" customHeight="1">
      <c r="B1748" s="20" t="s">
        <v>3643</v>
      </c>
      <c r="C1748" s="20" t="s">
        <v>3644</v>
      </c>
      <c r="D1748" s="20" t="s">
        <v>3643</v>
      </c>
      <c r="E1748" s="20" t="e">
        <f t="array" ref="E1748">INDEX(C:C,SMALL(IF(ISNUMBER(FIND(CELL("contents"),$C$2:$C$4852)),ROW($C$2:$C$4852),4^8),ROW(C1748)))&amp;""</f>
        <v>#N/A</v>
      </c>
    </row>
    <row r="1749" ht="14.100000000000001" customHeight="1">
      <c r="B1749" s="20" t="s">
        <v>3645</v>
      </c>
      <c r="C1749" s="20" t="s">
        <v>3646</v>
      </c>
      <c r="D1749" s="20" t="s">
        <v>3645</v>
      </c>
      <c r="E1749" s="20" t="e">
        <f t="array" ref="E1749">INDEX(C:C,SMALL(IF(ISNUMBER(FIND(CELL("contents"),$C$2:$C$4852)),ROW($C$2:$C$4852),4^8),ROW(C1749)))&amp;""</f>
        <v>#N/A</v>
      </c>
    </row>
    <row r="1750" ht="14.100000000000001" customHeight="1">
      <c r="B1750" s="20" t="s">
        <v>3647</v>
      </c>
      <c r="C1750" s="20" t="s">
        <v>3648</v>
      </c>
      <c r="D1750" s="20" t="s">
        <v>3647</v>
      </c>
      <c r="E1750" s="20" t="e">
        <f t="array" ref="E1750">INDEX(C:C,SMALL(IF(ISNUMBER(FIND(CELL("contents"),$C$2:$C$4852)),ROW($C$2:$C$4852),4^8),ROW(C1750)))&amp;""</f>
        <v>#N/A</v>
      </c>
    </row>
    <row r="1751" ht="14.100000000000001" customHeight="1">
      <c r="B1751" s="20" t="s">
        <v>3649</v>
      </c>
      <c r="C1751" s="20" t="s">
        <v>3650</v>
      </c>
      <c r="D1751" s="20" t="s">
        <v>3649</v>
      </c>
      <c r="E1751" s="20" t="e">
        <f t="array" ref="E1751">INDEX(C:C,SMALL(IF(ISNUMBER(FIND(CELL("contents"),$C$2:$C$4852)),ROW($C$2:$C$4852),4^8),ROW(C1751)))&amp;""</f>
        <v>#N/A</v>
      </c>
    </row>
    <row r="1752" ht="14.100000000000001" customHeight="1">
      <c r="B1752" s="20" t="s">
        <v>3651</v>
      </c>
      <c r="C1752" s="20" t="s">
        <v>3652</v>
      </c>
      <c r="D1752" s="20" t="s">
        <v>3651</v>
      </c>
      <c r="E1752" s="20" t="e">
        <f t="array" ref="E1752">INDEX(C:C,SMALL(IF(ISNUMBER(FIND(CELL("contents"),$C$2:$C$4852)),ROW($C$2:$C$4852),4^8),ROW(C1752)))&amp;""</f>
        <v>#N/A</v>
      </c>
    </row>
    <row r="1753" ht="14.100000000000001" customHeight="1">
      <c r="B1753" s="20" t="s">
        <v>3653</v>
      </c>
      <c r="C1753" s="20" t="s">
        <v>3654</v>
      </c>
      <c r="D1753" s="20" t="s">
        <v>3653</v>
      </c>
      <c r="E1753" s="20" t="e">
        <f t="array" ref="E1753">INDEX(C:C,SMALL(IF(ISNUMBER(FIND(CELL("contents"),$C$2:$C$4852)),ROW($C$2:$C$4852),4^8),ROW(C1753)))&amp;""</f>
        <v>#N/A</v>
      </c>
    </row>
    <row r="1754" ht="14.100000000000001" customHeight="1">
      <c r="B1754" s="20" t="s">
        <v>3655</v>
      </c>
      <c r="C1754" s="20" t="s">
        <v>3656</v>
      </c>
      <c r="D1754" s="20" t="s">
        <v>3655</v>
      </c>
      <c r="E1754" s="20" t="e">
        <f t="array" ref="E1754">INDEX(C:C,SMALL(IF(ISNUMBER(FIND(CELL("contents"),$C$2:$C$4852)),ROW($C$2:$C$4852),4^8),ROW(C1754)))&amp;""</f>
        <v>#N/A</v>
      </c>
    </row>
    <row r="1755" ht="14.100000000000001" customHeight="1">
      <c r="B1755" s="20" t="s">
        <v>3657</v>
      </c>
      <c r="C1755" s="20" t="s">
        <v>3658</v>
      </c>
      <c r="D1755" s="20" t="s">
        <v>3657</v>
      </c>
      <c r="E1755" s="20" t="e">
        <f t="array" ref="E1755">INDEX(C:C,SMALL(IF(ISNUMBER(FIND(CELL("contents"),$C$2:$C$4852)),ROW($C$2:$C$4852),4^8),ROW(C1755)))&amp;""</f>
        <v>#N/A</v>
      </c>
    </row>
    <row r="1756" ht="14.100000000000001" customHeight="1">
      <c r="B1756" s="20" t="s">
        <v>3659</v>
      </c>
      <c r="C1756" s="20" t="s">
        <v>3660</v>
      </c>
      <c r="D1756" s="20" t="s">
        <v>3659</v>
      </c>
      <c r="E1756" s="20" t="e">
        <f t="array" ref="E1756">INDEX(C:C,SMALL(IF(ISNUMBER(FIND(CELL("contents"),$C$2:$C$4852)),ROW($C$2:$C$4852),4^8),ROW(C1756)))&amp;""</f>
        <v>#N/A</v>
      </c>
    </row>
    <row r="1757" ht="14.100000000000001" customHeight="1">
      <c r="B1757" s="20" t="s">
        <v>3661</v>
      </c>
      <c r="C1757" s="20" t="s">
        <v>3662</v>
      </c>
      <c r="D1757" s="20" t="s">
        <v>3661</v>
      </c>
      <c r="E1757" s="20" t="e">
        <f t="array" ref="E1757">INDEX(C:C,SMALL(IF(ISNUMBER(FIND(CELL("contents"),$C$2:$C$4852)),ROW($C$2:$C$4852),4^8),ROW(C1757)))&amp;""</f>
        <v>#N/A</v>
      </c>
    </row>
    <row r="1758" ht="14.100000000000001" customHeight="1">
      <c r="B1758" s="20" t="s">
        <v>3663</v>
      </c>
      <c r="C1758" s="20" t="s">
        <v>3664</v>
      </c>
      <c r="D1758" s="20" t="s">
        <v>3663</v>
      </c>
      <c r="E1758" s="20" t="e">
        <f t="array" ref="E1758">INDEX(C:C,SMALL(IF(ISNUMBER(FIND(CELL("contents"),$C$2:$C$4852)),ROW($C$2:$C$4852),4^8),ROW(C1758)))&amp;""</f>
        <v>#N/A</v>
      </c>
    </row>
    <row r="1759" ht="14.100000000000001" customHeight="1">
      <c r="B1759" s="20" t="s">
        <v>3665</v>
      </c>
      <c r="C1759" s="20" t="s">
        <v>3666</v>
      </c>
      <c r="D1759" s="20" t="s">
        <v>3665</v>
      </c>
      <c r="E1759" s="20" t="e">
        <f t="array" ref="E1759">INDEX(C:C,SMALL(IF(ISNUMBER(FIND(CELL("contents"),$C$2:$C$4852)),ROW($C$2:$C$4852),4^8),ROW(C1759)))&amp;""</f>
        <v>#N/A</v>
      </c>
    </row>
    <row r="1760" ht="14.100000000000001" customHeight="1">
      <c r="B1760" s="20" t="s">
        <v>3667</v>
      </c>
      <c r="C1760" s="20" t="s">
        <v>3668</v>
      </c>
      <c r="D1760" s="20" t="s">
        <v>3667</v>
      </c>
      <c r="E1760" s="20" t="e">
        <f t="array" ref="E1760">INDEX(C:C,SMALL(IF(ISNUMBER(FIND(CELL("contents"),$C$2:$C$4852)),ROW($C$2:$C$4852),4^8),ROW(C1760)))&amp;""</f>
        <v>#N/A</v>
      </c>
    </row>
    <row r="1761" ht="14.100000000000001" customHeight="1">
      <c r="B1761" s="20" t="s">
        <v>3669</v>
      </c>
      <c r="C1761" s="20" t="s">
        <v>3670</v>
      </c>
      <c r="D1761" s="20" t="s">
        <v>3669</v>
      </c>
      <c r="E1761" s="20" t="e">
        <f t="array" ref="E1761">INDEX(C:C,SMALL(IF(ISNUMBER(FIND(CELL("contents"),$C$2:$C$4852)),ROW($C$2:$C$4852),4^8),ROW(C1761)))&amp;""</f>
        <v>#N/A</v>
      </c>
    </row>
    <row r="1762" ht="14.100000000000001" customHeight="1">
      <c r="B1762" s="20" t="s">
        <v>3671</v>
      </c>
      <c r="C1762" s="20" t="s">
        <v>3672</v>
      </c>
      <c r="D1762" s="20" t="s">
        <v>3671</v>
      </c>
      <c r="E1762" s="20" t="e">
        <f t="array" ref="E1762">INDEX(C:C,SMALL(IF(ISNUMBER(FIND(CELL("contents"),$C$2:$C$4852)),ROW($C$2:$C$4852),4^8),ROW(C1762)))&amp;""</f>
        <v>#N/A</v>
      </c>
    </row>
    <row r="1763" ht="14.100000000000001" customHeight="1">
      <c r="B1763" s="20" t="s">
        <v>3673</v>
      </c>
      <c r="C1763" s="20" t="s">
        <v>3674</v>
      </c>
      <c r="D1763" s="20" t="s">
        <v>3673</v>
      </c>
      <c r="E1763" s="20" t="e">
        <f t="array" ref="E1763">INDEX(C:C,SMALL(IF(ISNUMBER(FIND(CELL("contents"),$C$2:$C$4852)),ROW($C$2:$C$4852),4^8),ROW(C1763)))&amp;""</f>
        <v>#N/A</v>
      </c>
    </row>
    <row r="1764" ht="14.100000000000001" customHeight="1">
      <c r="B1764" s="20" t="s">
        <v>3675</v>
      </c>
      <c r="C1764" s="20" t="s">
        <v>3676</v>
      </c>
      <c r="D1764" s="20" t="s">
        <v>3675</v>
      </c>
      <c r="E1764" s="20" t="e">
        <f t="array" ref="E1764">INDEX(C:C,SMALL(IF(ISNUMBER(FIND(CELL("contents"),$C$2:$C$4852)),ROW($C$2:$C$4852),4^8),ROW(C1764)))&amp;""</f>
        <v>#N/A</v>
      </c>
    </row>
    <row r="1765" ht="14.100000000000001" customHeight="1">
      <c r="B1765" s="20" t="s">
        <v>3677</v>
      </c>
      <c r="C1765" s="20" t="s">
        <v>3678</v>
      </c>
      <c r="D1765" s="20" t="s">
        <v>3677</v>
      </c>
      <c r="E1765" s="20" t="e">
        <f t="array" ref="E1765">INDEX(C:C,SMALL(IF(ISNUMBER(FIND(CELL("contents"),$C$2:$C$4852)),ROW($C$2:$C$4852),4^8),ROW(C1765)))&amp;""</f>
        <v>#N/A</v>
      </c>
    </row>
    <row r="1766" ht="14.100000000000001" customHeight="1">
      <c r="B1766" s="20" t="s">
        <v>3679</v>
      </c>
      <c r="C1766" s="20" t="s">
        <v>3680</v>
      </c>
      <c r="D1766" s="20" t="s">
        <v>3679</v>
      </c>
      <c r="E1766" s="20" t="e">
        <f t="array" ref="E1766">INDEX(C:C,SMALL(IF(ISNUMBER(FIND(CELL("contents"),$C$2:$C$4852)),ROW($C$2:$C$4852),4^8),ROW(C1766)))&amp;""</f>
        <v>#N/A</v>
      </c>
    </row>
    <row r="1767" ht="14.100000000000001" customHeight="1">
      <c r="B1767" s="20" t="s">
        <v>3681</v>
      </c>
      <c r="C1767" s="20" t="s">
        <v>3682</v>
      </c>
      <c r="D1767" s="20" t="s">
        <v>3681</v>
      </c>
      <c r="E1767" s="20" t="e">
        <f t="array" ref="E1767">INDEX(C:C,SMALL(IF(ISNUMBER(FIND(CELL("contents"),$C$2:$C$4852)),ROW($C$2:$C$4852),4^8),ROW(C1767)))&amp;""</f>
        <v>#N/A</v>
      </c>
    </row>
    <row r="1768" ht="14.100000000000001" customHeight="1">
      <c r="B1768" s="20" t="s">
        <v>3683</v>
      </c>
      <c r="C1768" s="20" t="s">
        <v>3684</v>
      </c>
      <c r="D1768" s="20" t="s">
        <v>3683</v>
      </c>
      <c r="E1768" s="20" t="e">
        <f t="array" ref="E1768">INDEX(C:C,SMALL(IF(ISNUMBER(FIND(CELL("contents"),$C$2:$C$4852)),ROW($C$2:$C$4852),4^8),ROW(C1768)))&amp;""</f>
        <v>#N/A</v>
      </c>
    </row>
    <row r="1769" ht="14.100000000000001" customHeight="1">
      <c r="B1769" s="20" t="s">
        <v>3685</v>
      </c>
      <c r="C1769" s="20" t="s">
        <v>3686</v>
      </c>
      <c r="D1769" s="20" t="s">
        <v>3685</v>
      </c>
      <c r="E1769" s="20" t="e">
        <f t="array" ref="E1769">INDEX(C:C,SMALL(IF(ISNUMBER(FIND(CELL("contents"),$C$2:$C$4852)),ROW($C$2:$C$4852),4^8),ROW(C1769)))&amp;""</f>
        <v>#N/A</v>
      </c>
    </row>
    <row r="1770" ht="14.100000000000001" customHeight="1">
      <c r="B1770" s="20" t="s">
        <v>3687</v>
      </c>
      <c r="C1770" s="20" t="s">
        <v>3688</v>
      </c>
      <c r="D1770" s="20" t="s">
        <v>3687</v>
      </c>
      <c r="E1770" s="20" t="e">
        <f t="array" ref="E1770">INDEX(C:C,SMALL(IF(ISNUMBER(FIND(CELL("contents"),$C$2:$C$4852)),ROW($C$2:$C$4852),4^8),ROW(C1770)))&amp;""</f>
        <v>#N/A</v>
      </c>
    </row>
    <row r="1771" ht="14.100000000000001" customHeight="1">
      <c r="B1771" s="20" t="s">
        <v>3689</v>
      </c>
      <c r="C1771" s="20" t="s">
        <v>3690</v>
      </c>
      <c r="D1771" s="20" t="s">
        <v>3689</v>
      </c>
      <c r="E1771" s="20" t="e">
        <f t="array" ref="E1771">INDEX(C:C,SMALL(IF(ISNUMBER(FIND(CELL("contents"),$C$2:$C$4852)),ROW($C$2:$C$4852),4^8),ROW(C1771)))&amp;""</f>
        <v>#N/A</v>
      </c>
    </row>
    <row r="1772" ht="14.100000000000001" customHeight="1">
      <c r="B1772" s="20" t="s">
        <v>3691</v>
      </c>
      <c r="C1772" s="20" t="s">
        <v>3692</v>
      </c>
      <c r="D1772" s="20" t="s">
        <v>3691</v>
      </c>
      <c r="E1772" s="20" t="e">
        <f t="array" ref="E1772">INDEX(C:C,SMALL(IF(ISNUMBER(FIND(CELL("contents"),$C$2:$C$4852)),ROW($C$2:$C$4852),4^8),ROW(C1772)))&amp;""</f>
        <v>#N/A</v>
      </c>
    </row>
    <row r="1773" ht="14.100000000000001" customHeight="1">
      <c r="B1773" s="20" t="s">
        <v>3693</v>
      </c>
      <c r="C1773" s="20" t="s">
        <v>3694</v>
      </c>
      <c r="D1773" s="20" t="s">
        <v>3693</v>
      </c>
      <c r="E1773" s="20" t="e">
        <f t="array" ref="E1773">INDEX(C:C,SMALL(IF(ISNUMBER(FIND(CELL("contents"),$C$2:$C$4852)),ROW($C$2:$C$4852),4^8),ROW(C1773)))&amp;""</f>
        <v>#N/A</v>
      </c>
    </row>
    <row r="1774" ht="14.100000000000001" customHeight="1">
      <c r="B1774" s="20" t="s">
        <v>3695</v>
      </c>
      <c r="C1774" s="20" t="s">
        <v>3696</v>
      </c>
      <c r="D1774" s="20" t="s">
        <v>3695</v>
      </c>
      <c r="E1774" s="20" t="e">
        <f t="array" ref="E1774">INDEX(C:C,SMALL(IF(ISNUMBER(FIND(CELL("contents"),$C$2:$C$4852)),ROW($C$2:$C$4852),4^8),ROW(C1774)))&amp;""</f>
        <v>#N/A</v>
      </c>
    </row>
    <row r="1775" ht="14.100000000000001" customHeight="1">
      <c r="B1775" s="20" t="s">
        <v>3697</v>
      </c>
      <c r="C1775" s="20" t="s">
        <v>3698</v>
      </c>
      <c r="D1775" s="20" t="s">
        <v>3697</v>
      </c>
      <c r="E1775" s="20" t="e">
        <f t="array" ref="E1775">INDEX(C:C,SMALL(IF(ISNUMBER(FIND(CELL("contents"),$C$2:$C$4852)),ROW($C$2:$C$4852),4^8),ROW(C1775)))&amp;""</f>
        <v>#N/A</v>
      </c>
    </row>
    <row r="1776" ht="14.100000000000001" customHeight="1">
      <c r="B1776" s="20" t="s">
        <v>3699</v>
      </c>
      <c r="C1776" s="20" t="s">
        <v>3700</v>
      </c>
      <c r="D1776" s="20" t="s">
        <v>3699</v>
      </c>
      <c r="E1776" s="20" t="e">
        <f t="array" ref="E1776">INDEX(C:C,SMALL(IF(ISNUMBER(FIND(CELL("contents"),$C$2:$C$4852)),ROW($C$2:$C$4852),4^8),ROW(C1776)))&amp;""</f>
        <v>#N/A</v>
      </c>
    </row>
    <row r="1777" ht="14.100000000000001" customHeight="1">
      <c r="B1777" s="20" t="s">
        <v>3701</v>
      </c>
      <c r="C1777" s="20" t="s">
        <v>3702</v>
      </c>
      <c r="D1777" s="20" t="s">
        <v>3701</v>
      </c>
      <c r="E1777" s="20" t="e">
        <f t="array" ref="E1777">INDEX(C:C,SMALL(IF(ISNUMBER(FIND(CELL("contents"),$C$2:$C$4852)),ROW($C$2:$C$4852),4^8),ROW(C1777)))&amp;""</f>
        <v>#N/A</v>
      </c>
    </row>
    <row r="1778" ht="14.100000000000001" customHeight="1">
      <c r="B1778" s="20" t="s">
        <v>3703</v>
      </c>
      <c r="C1778" s="20" t="s">
        <v>3704</v>
      </c>
      <c r="D1778" s="20" t="s">
        <v>3703</v>
      </c>
      <c r="E1778" s="20" t="e">
        <f t="array" ref="E1778">INDEX(C:C,SMALL(IF(ISNUMBER(FIND(CELL("contents"),$C$2:$C$4852)),ROW($C$2:$C$4852),4^8),ROW(C1778)))&amp;""</f>
        <v>#N/A</v>
      </c>
    </row>
    <row r="1779" ht="14.100000000000001" customHeight="1">
      <c r="B1779" s="20" t="s">
        <v>3705</v>
      </c>
      <c r="C1779" s="20" t="s">
        <v>3706</v>
      </c>
      <c r="D1779" s="20" t="s">
        <v>3705</v>
      </c>
      <c r="E1779" s="20" t="e">
        <f t="array" ref="E1779">INDEX(C:C,SMALL(IF(ISNUMBER(FIND(CELL("contents"),$C$2:$C$4852)),ROW($C$2:$C$4852),4^8),ROW(C1779)))&amp;""</f>
        <v>#N/A</v>
      </c>
    </row>
    <row r="1780" ht="14.100000000000001" customHeight="1">
      <c r="B1780" s="20" t="s">
        <v>3707</v>
      </c>
      <c r="C1780" s="20" t="s">
        <v>3708</v>
      </c>
      <c r="D1780" s="20" t="s">
        <v>3707</v>
      </c>
      <c r="E1780" s="20" t="e">
        <f t="array" ref="E1780">INDEX(C:C,SMALL(IF(ISNUMBER(FIND(CELL("contents"),$C$2:$C$4852)),ROW($C$2:$C$4852),4^8),ROW(C1780)))&amp;""</f>
        <v>#N/A</v>
      </c>
    </row>
    <row r="1781" ht="14.100000000000001" customHeight="1">
      <c r="B1781" s="20" t="s">
        <v>3709</v>
      </c>
      <c r="C1781" s="20" t="s">
        <v>3710</v>
      </c>
      <c r="D1781" s="20" t="s">
        <v>3709</v>
      </c>
      <c r="E1781" s="20" t="e">
        <f t="array" ref="E1781">INDEX(C:C,SMALL(IF(ISNUMBER(FIND(CELL("contents"),$C$2:$C$4852)),ROW($C$2:$C$4852),4^8),ROW(C1781)))&amp;""</f>
        <v>#N/A</v>
      </c>
    </row>
    <row r="1782" ht="14.100000000000001" customHeight="1">
      <c r="B1782" s="20" t="s">
        <v>3711</v>
      </c>
      <c r="C1782" s="20" t="s">
        <v>3712</v>
      </c>
      <c r="D1782" s="20" t="s">
        <v>3711</v>
      </c>
      <c r="E1782" s="20" t="e">
        <f t="array" ref="E1782">INDEX(C:C,SMALL(IF(ISNUMBER(FIND(CELL("contents"),$C$2:$C$4852)),ROW($C$2:$C$4852),4^8),ROW(C1782)))&amp;""</f>
        <v>#N/A</v>
      </c>
    </row>
    <row r="1783" ht="14.100000000000001" customHeight="1">
      <c r="B1783" s="20" t="s">
        <v>3713</v>
      </c>
      <c r="C1783" s="20" t="s">
        <v>3714</v>
      </c>
      <c r="D1783" s="20" t="s">
        <v>3713</v>
      </c>
      <c r="E1783" s="20" t="e">
        <f t="array" ref="E1783">INDEX(C:C,SMALL(IF(ISNUMBER(FIND(CELL("contents"),$C$2:$C$4852)),ROW($C$2:$C$4852),4^8),ROW(C1783)))&amp;""</f>
        <v>#N/A</v>
      </c>
    </row>
    <row r="1784" ht="14.100000000000001" customHeight="1">
      <c r="B1784" s="20" t="s">
        <v>3715</v>
      </c>
      <c r="C1784" s="20" t="s">
        <v>3716</v>
      </c>
      <c r="D1784" s="20" t="s">
        <v>3715</v>
      </c>
      <c r="E1784" s="20" t="e">
        <f t="array" ref="E1784">INDEX(C:C,SMALL(IF(ISNUMBER(FIND(CELL("contents"),$C$2:$C$4852)),ROW($C$2:$C$4852),4^8),ROW(C1784)))&amp;""</f>
        <v>#N/A</v>
      </c>
    </row>
    <row r="1785" ht="14.100000000000001" customHeight="1">
      <c r="B1785" s="20" t="s">
        <v>3717</v>
      </c>
      <c r="C1785" s="20" t="s">
        <v>3718</v>
      </c>
      <c r="D1785" s="20" t="s">
        <v>3717</v>
      </c>
      <c r="E1785" s="20" t="e">
        <f t="array" ref="E1785">INDEX(C:C,SMALL(IF(ISNUMBER(FIND(CELL("contents"),$C$2:$C$4852)),ROW($C$2:$C$4852),4^8),ROW(C1785)))&amp;""</f>
        <v>#N/A</v>
      </c>
    </row>
    <row r="1786" ht="14.100000000000001" customHeight="1">
      <c r="B1786" s="20" t="s">
        <v>3719</v>
      </c>
      <c r="C1786" s="20" t="s">
        <v>3720</v>
      </c>
      <c r="D1786" s="20" t="s">
        <v>3719</v>
      </c>
      <c r="E1786" s="20" t="e">
        <f t="array" ref="E1786">INDEX(C:C,SMALL(IF(ISNUMBER(FIND(CELL("contents"),$C$2:$C$4852)),ROW($C$2:$C$4852),4^8),ROW(C1786)))&amp;""</f>
        <v>#N/A</v>
      </c>
    </row>
    <row r="1787" ht="14.100000000000001" customHeight="1">
      <c r="B1787" s="20" t="s">
        <v>3721</v>
      </c>
      <c r="C1787" s="20" t="s">
        <v>3722</v>
      </c>
      <c r="D1787" s="20" t="s">
        <v>3721</v>
      </c>
      <c r="E1787" s="20" t="e">
        <f t="array" ref="E1787">INDEX(C:C,SMALL(IF(ISNUMBER(FIND(CELL("contents"),$C$2:$C$4852)),ROW($C$2:$C$4852),4^8),ROW(C1787)))&amp;""</f>
        <v>#N/A</v>
      </c>
    </row>
    <row r="1788" ht="14.100000000000001" customHeight="1">
      <c r="B1788" s="20" t="s">
        <v>3723</v>
      </c>
      <c r="C1788" s="20" t="s">
        <v>3724</v>
      </c>
      <c r="D1788" s="20" t="s">
        <v>3723</v>
      </c>
      <c r="E1788" s="20" t="e">
        <f t="array" ref="E1788">INDEX(C:C,SMALL(IF(ISNUMBER(FIND(CELL("contents"),$C$2:$C$4852)),ROW($C$2:$C$4852),4^8),ROW(C1788)))&amp;""</f>
        <v>#N/A</v>
      </c>
    </row>
    <row r="1789" ht="14.100000000000001" customHeight="1">
      <c r="B1789" s="20" t="s">
        <v>3725</v>
      </c>
      <c r="C1789" s="20" t="s">
        <v>3726</v>
      </c>
      <c r="D1789" s="20" t="s">
        <v>3725</v>
      </c>
      <c r="E1789" s="20" t="e">
        <f t="array" ref="E1789">INDEX(C:C,SMALL(IF(ISNUMBER(FIND(CELL("contents"),$C$2:$C$4852)),ROW($C$2:$C$4852),4^8),ROW(C1789)))&amp;""</f>
        <v>#N/A</v>
      </c>
    </row>
    <row r="1790" ht="14.100000000000001" customHeight="1">
      <c r="B1790" s="20" t="s">
        <v>3727</v>
      </c>
      <c r="C1790" s="20" t="s">
        <v>3728</v>
      </c>
      <c r="D1790" s="20" t="s">
        <v>3727</v>
      </c>
      <c r="E1790" s="20" t="e">
        <f t="array" ref="E1790">INDEX(C:C,SMALL(IF(ISNUMBER(FIND(CELL("contents"),$C$2:$C$4852)),ROW($C$2:$C$4852),4^8),ROW(C1790)))&amp;""</f>
        <v>#N/A</v>
      </c>
    </row>
    <row r="1791" ht="14.100000000000001" customHeight="1">
      <c r="B1791" s="20" t="s">
        <v>3729</v>
      </c>
      <c r="C1791" s="20" t="s">
        <v>3730</v>
      </c>
      <c r="D1791" s="20" t="s">
        <v>3729</v>
      </c>
      <c r="E1791" s="20" t="e">
        <f t="array" ref="E1791">INDEX(C:C,SMALL(IF(ISNUMBER(FIND(CELL("contents"),$C$2:$C$4852)),ROW($C$2:$C$4852),4^8),ROW(C1791)))&amp;""</f>
        <v>#N/A</v>
      </c>
    </row>
    <row r="1792" ht="14.100000000000001" customHeight="1">
      <c r="B1792" s="20" t="s">
        <v>3731</v>
      </c>
      <c r="C1792" s="20" t="s">
        <v>3732</v>
      </c>
      <c r="D1792" s="20" t="s">
        <v>3731</v>
      </c>
      <c r="E1792" s="20" t="e">
        <f t="array" ref="E1792">INDEX(C:C,SMALL(IF(ISNUMBER(FIND(CELL("contents"),$C$2:$C$4852)),ROW($C$2:$C$4852),4^8),ROW(C1792)))&amp;""</f>
        <v>#N/A</v>
      </c>
    </row>
    <row r="1793" ht="14.100000000000001" customHeight="1">
      <c r="B1793" s="20" t="s">
        <v>3733</v>
      </c>
      <c r="C1793" s="20" t="s">
        <v>3734</v>
      </c>
      <c r="D1793" s="20" t="s">
        <v>3733</v>
      </c>
      <c r="E1793" s="20" t="e">
        <f t="array" ref="E1793">INDEX(C:C,SMALL(IF(ISNUMBER(FIND(CELL("contents"),$C$2:$C$4852)),ROW($C$2:$C$4852),4^8),ROW(C1793)))&amp;""</f>
        <v>#N/A</v>
      </c>
    </row>
    <row r="1794" ht="14.100000000000001" customHeight="1">
      <c r="B1794" s="20" t="s">
        <v>3735</v>
      </c>
      <c r="C1794" s="20" t="s">
        <v>3736</v>
      </c>
      <c r="D1794" s="20" t="s">
        <v>3735</v>
      </c>
      <c r="E1794" s="20" t="e">
        <f t="array" ref="E1794">INDEX(C:C,SMALL(IF(ISNUMBER(FIND(CELL("contents"),$C$2:$C$4852)),ROW($C$2:$C$4852),4^8),ROW(C1794)))&amp;""</f>
        <v>#N/A</v>
      </c>
    </row>
    <row r="1795" ht="14.100000000000001" customHeight="1">
      <c r="B1795" s="20" t="s">
        <v>3737</v>
      </c>
      <c r="C1795" s="20" t="s">
        <v>3738</v>
      </c>
      <c r="D1795" s="20" t="s">
        <v>3737</v>
      </c>
      <c r="E1795" s="20" t="e">
        <f t="array" ref="E1795">INDEX(C:C,SMALL(IF(ISNUMBER(FIND(CELL("contents"),$C$2:$C$4852)),ROW($C$2:$C$4852),4^8),ROW(C1795)))&amp;""</f>
        <v>#N/A</v>
      </c>
    </row>
    <row r="1796" ht="14.100000000000001" customHeight="1">
      <c r="B1796" s="20" t="s">
        <v>3739</v>
      </c>
      <c r="C1796" s="20" t="s">
        <v>3740</v>
      </c>
      <c r="D1796" s="20" t="s">
        <v>3739</v>
      </c>
      <c r="E1796" s="20" t="e">
        <f t="array" ref="E1796">INDEX(C:C,SMALL(IF(ISNUMBER(FIND(CELL("contents"),$C$2:$C$4852)),ROW($C$2:$C$4852),4^8),ROW(C1796)))&amp;""</f>
        <v>#N/A</v>
      </c>
    </row>
    <row r="1797" ht="14.100000000000001" customHeight="1">
      <c r="B1797" s="20" t="s">
        <v>3741</v>
      </c>
      <c r="C1797" s="20" t="s">
        <v>3742</v>
      </c>
      <c r="D1797" s="20" t="s">
        <v>3741</v>
      </c>
      <c r="E1797" s="20" t="e">
        <f t="array" ref="E1797">INDEX(C:C,SMALL(IF(ISNUMBER(FIND(CELL("contents"),$C$2:$C$4852)),ROW($C$2:$C$4852),4^8),ROW(C1797)))&amp;""</f>
        <v>#N/A</v>
      </c>
    </row>
    <row r="1798" ht="14.100000000000001" customHeight="1">
      <c r="B1798" s="20" t="s">
        <v>3743</v>
      </c>
      <c r="C1798" s="20" t="s">
        <v>3744</v>
      </c>
      <c r="D1798" s="20" t="s">
        <v>3743</v>
      </c>
      <c r="E1798" s="20" t="e">
        <f t="array" ref="E1798">INDEX(C:C,SMALL(IF(ISNUMBER(FIND(CELL("contents"),$C$2:$C$4852)),ROW($C$2:$C$4852),4^8),ROW(C1798)))&amp;""</f>
        <v>#N/A</v>
      </c>
    </row>
    <row r="1799" ht="14.100000000000001" customHeight="1">
      <c r="B1799" s="20" t="s">
        <v>3745</v>
      </c>
      <c r="C1799" s="20" t="s">
        <v>3746</v>
      </c>
      <c r="D1799" s="20" t="s">
        <v>3745</v>
      </c>
      <c r="E1799" s="20" t="e">
        <f t="array" ref="E1799">INDEX(C:C,SMALL(IF(ISNUMBER(FIND(CELL("contents"),$C$2:$C$4852)),ROW($C$2:$C$4852),4^8),ROW(C1799)))&amp;""</f>
        <v>#N/A</v>
      </c>
    </row>
    <row r="1800" ht="14.100000000000001" customHeight="1">
      <c r="B1800" s="20" t="s">
        <v>3747</v>
      </c>
      <c r="C1800" s="20" t="s">
        <v>3748</v>
      </c>
      <c r="D1800" s="20" t="s">
        <v>3747</v>
      </c>
      <c r="E1800" s="20" t="e">
        <f t="array" ref="E1800">INDEX(C:C,SMALL(IF(ISNUMBER(FIND(CELL("contents"),$C$2:$C$4852)),ROW($C$2:$C$4852),4^8),ROW(C1800)))&amp;""</f>
        <v>#N/A</v>
      </c>
    </row>
    <row r="1801" ht="14.100000000000001" customHeight="1">
      <c r="B1801" s="20" t="s">
        <v>3749</v>
      </c>
      <c r="C1801" s="20" t="s">
        <v>3750</v>
      </c>
      <c r="D1801" s="20" t="s">
        <v>3749</v>
      </c>
      <c r="E1801" s="20" t="e">
        <f t="array" ref="E1801">INDEX(C:C,SMALL(IF(ISNUMBER(FIND(CELL("contents"),$C$2:$C$4852)),ROW($C$2:$C$4852),4^8),ROW(C1801)))&amp;""</f>
        <v>#N/A</v>
      </c>
    </row>
    <row r="1802" ht="14.100000000000001" customHeight="1">
      <c r="B1802" s="20" t="s">
        <v>3751</v>
      </c>
      <c r="C1802" s="20" t="s">
        <v>3752</v>
      </c>
      <c r="D1802" s="20" t="s">
        <v>3751</v>
      </c>
      <c r="E1802" s="20" t="e">
        <f t="array" ref="E1802">INDEX(C:C,SMALL(IF(ISNUMBER(FIND(CELL("contents"),$C$2:$C$4852)),ROW($C$2:$C$4852),4^8),ROW(C1802)))&amp;""</f>
        <v>#N/A</v>
      </c>
    </row>
    <row r="1803" ht="14.100000000000001" customHeight="1">
      <c r="B1803" s="20" t="s">
        <v>3753</v>
      </c>
      <c r="C1803" s="20" t="s">
        <v>3754</v>
      </c>
      <c r="D1803" s="20" t="s">
        <v>3753</v>
      </c>
      <c r="E1803" s="20" t="e">
        <f t="array" ref="E1803">INDEX(C:C,SMALL(IF(ISNUMBER(FIND(CELL("contents"),$C$2:$C$4852)),ROW($C$2:$C$4852),4^8),ROW(C1803)))&amp;""</f>
        <v>#N/A</v>
      </c>
    </row>
    <row r="1804" ht="14.100000000000001" customHeight="1">
      <c r="B1804" s="20" t="s">
        <v>3755</v>
      </c>
      <c r="C1804" s="20" t="s">
        <v>3756</v>
      </c>
      <c r="D1804" s="20" t="s">
        <v>3755</v>
      </c>
      <c r="E1804" s="20" t="e">
        <f t="array" ref="E1804">INDEX(C:C,SMALL(IF(ISNUMBER(FIND(CELL("contents"),$C$2:$C$4852)),ROW($C$2:$C$4852),4^8),ROW(C1804)))&amp;""</f>
        <v>#N/A</v>
      </c>
    </row>
    <row r="1805" ht="14.100000000000001" customHeight="1">
      <c r="B1805" s="20" t="s">
        <v>3757</v>
      </c>
      <c r="C1805" s="20" t="s">
        <v>3758</v>
      </c>
      <c r="D1805" s="20" t="s">
        <v>3757</v>
      </c>
      <c r="E1805" s="20" t="e">
        <f t="array" ref="E1805">INDEX(C:C,SMALL(IF(ISNUMBER(FIND(CELL("contents"),$C$2:$C$4852)),ROW($C$2:$C$4852),4^8),ROW(C1805)))&amp;""</f>
        <v>#N/A</v>
      </c>
    </row>
    <row r="1806" ht="14.100000000000001" customHeight="1">
      <c r="B1806" s="20" t="s">
        <v>3759</v>
      </c>
      <c r="C1806" s="20" t="s">
        <v>3760</v>
      </c>
      <c r="D1806" s="20" t="s">
        <v>3759</v>
      </c>
      <c r="E1806" s="20" t="e">
        <f t="array" ref="E1806">INDEX(C:C,SMALL(IF(ISNUMBER(FIND(CELL("contents"),$C$2:$C$4852)),ROW($C$2:$C$4852),4^8),ROW(C1806)))&amp;""</f>
        <v>#N/A</v>
      </c>
    </row>
    <row r="1807" ht="14.100000000000001" customHeight="1">
      <c r="B1807" s="20" t="s">
        <v>3761</v>
      </c>
      <c r="C1807" s="20" t="s">
        <v>3762</v>
      </c>
      <c r="D1807" s="20" t="s">
        <v>3761</v>
      </c>
      <c r="E1807" s="20" t="e">
        <f t="array" ref="E1807">INDEX(C:C,SMALL(IF(ISNUMBER(FIND(CELL("contents"),$C$2:$C$4852)),ROW($C$2:$C$4852),4^8),ROW(C1807)))&amp;""</f>
        <v>#N/A</v>
      </c>
    </row>
    <row r="1808" ht="14.100000000000001" customHeight="1">
      <c r="B1808" s="20" t="s">
        <v>3763</v>
      </c>
      <c r="C1808" s="20" t="s">
        <v>3764</v>
      </c>
      <c r="D1808" s="20" t="s">
        <v>3763</v>
      </c>
      <c r="E1808" s="20" t="e">
        <f t="array" ref="E1808">INDEX(C:C,SMALL(IF(ISNUMBER(FIND(CELL("contents"),$C$2:$C$4852)),ROW($C$2:$C$4852),4^8),ROW(C1808)))&amp;""</f>
        <v>#N/A</v>
      </c>
    </row>
    <row r="1809" ht="14.100000000000001" customHeight="1">
      <c r="B1809" s="20" t="s">
        <v>3765</v>
      </c>
      <c r="C1809" s="20" t="s">
        <v>3766</v>
      </c>
      <c r="D1809" s="20" t="s">
        <v>3765</v>
      </c>
      <c r="E1809" s="20" t="e">
        <f t="array" ref="E1809">INDEX(C:C,SMALL(IF(ISNUMBER(FIND(CELL("contents"),$C$2:$C$4852)),ROW($C$2:$C$4852),4^8),ROW(C1809)))&amp;""</f>
        <v>#N/A</v>
      </c>
    </row>
    <row r="1810" ht="14.100000000000001" customHeight="1">
      <c r="B1810" s="20" t="s">
        <v>3767</v>
      </c>
      <c r="C1810" s="20" t="s">
        <v>3768</v>
      </c>
      <c r="D1810" s="20" t="s">
        <v>3767</v>
      </c>
      <c r="E1810" s="20" t="e">
        <f t="array" ref="E1810">INDEX(C:C,SMALL(IF(ISNUMBER(FIND(CELL("contents"),$C$2:$C$4852)),ROW($C$2:$C$4852),4^8),ROW(C1810)))&amp;""</f>
        <v>#N/A</v>
      </c>
    </row>
    <row r="1811" ht="14.100000000000001" customHeight="1">
      <c r="B1811" s="20" t="s">
        <v>3769</v>
      </c>
      <c r="C1811" s="20" t="s">
        <v>3770</v>
      </c>
      <c r="D1811" s="20" t="s">
        <v>3769</v>
      </c>
      <c r="E1811" s="20" t="e">
        <f t="array" ref="E1811">INDEX(C:C,SMALL(IF(ISNUMBER(FIND(CELL("contents"),$C$2:$C$4852)),ROW($C$2:$C$4852),4^8),ROW(C1811)))&amp;""</f>
        <v>#N/A</v>
      </c>
    </row>
    <row r="1812" ht="14.100000000000001" customHeight="1">
      <c r="B1812" s="20" t="s">
        <v>3771</v>
      </c>
      <c r="C1812" s="20" t="s">
        <v>3772</v>
      </c>
      <c r="D1812" s="20" t="s">
        <v>3771</v>
      </c>
      <c r="E1812" s="20" t="e">
        <f t="array" ref="E1812">INDEX(C:C,SMALL(IF(ISNUMBER(FIND(CELL("contents"),$C$2:$C$4852)),ROW($C$2:$C$4852),4^8),ROW(C1812)))&amp;""</f>
        <v>#N/A</v>
      </c>
    </row>
    <row r="1813" ht="14.100000000000001" customHeight="1">
      <c r="B1813" s="20" t="s">
        <v>3773</v>
      </c>
      <c r="C1813" s="20" t="s">
        <v>3774</v>
      </c>
      <c r="D1813" s="20" t="s">
        <v>3773</v>
      </c>
      <c r="E1813" s="20" t="e">
        <f t="array" ref="E1813">INDEX(C:C,SMALL(IF(ISNUMBER(FIND(CELL("contents"),$C$2:$C$4852)),ROW($C$2:$C$4852),4^8),ROW(C1813)))&amp;""</f>
        <v>#N/A</v>
      </c>
    </row>
    <row r="1814" ht="14.100000000000001" customHeight="1">
      <c r="B1814" s="20" t="s">
        <v>3775</v>
      </c>
      <c r="C1814" s="20" t="s">
        <v>3776</v>
      </c>
      <c r="D1814" s="20" t="s">
        <v>3775</v>
      </c>
      <c r="E1814" s="20" t="e">
        <f t="array" ref="E1814">INDEX(C:C,SMALL(IF(ISNUMBER(FIND(CELL("contents"),$C$2:$C$4852)),ROW($C$2:$C$4852),4^8),ROW(C1814)))&amp;""</f>
        <v>#N/A</v>
      </c>
    </row>
    <row r="1815" ht="14.100000000000001" customHeight="1">
      <c r="B1815" s="20" t="s">
        <v>3777</v>
      </c>
      <c r="C1815" s="20" t="s">
        <v>3778</v>
      </c>
      <c r="D1815" s="20" t="s">
        <v>3777</v>
      </c>
      <c r="E1815" s="20" t="e">
        <f t="array" ref="E1815">INDEX(C:C,SMALL(IF(ISNUMBER(FIND(CELL("contents"),$C$2:$C$4852)),ROW($C$2:$C$4852),4^8),ROW(C1815)))&amp;""</f>
        <v>#N/A</v>
      </c>
    </row>
    <row r="1816" ht="14.100000000000001" customHeight="1">
      <c r="B1816" s="20" t="s">
        <v>3779</v>
      </c>
      <c r="C1816" s="20" t="s">
        <v>3780</v>
      </c>
      <c r="D1816" s="20" t="s">
        <v>3779</v>
      </c>
      <c r="E1816" s="20" t="e">
        <f t="array" ref="E1816">INDEX(C:C,SMALL(IF(ISNUMBER(FIND(CELL("contents"),$C$2:$C$4852)),ROW($C$2:$C$4852),4^8),ROW(C1816)))&amp;""</f>
        <v>#N/A</v>
      </c>
    </row>
    <row r="1817" ht="14.100000000000001" customHeight="1">
      <c r="B1817" s="20" t="s">
        <v>3781</v>
      </c>
      <c r="C1817" s="20" t="s">
        <v>3782</v>
      </c>
      <c r="D1817" s="20" t="s">
        <v>3781</v>
      </c>
      <c r="E1817" s="20" t="e">
        <f t="array" ref="E1817">INDEX(C:C,SMALL(IF(ISNUMBER(FIND(CELL("contents"),$C$2:$C$4852)),ROW($C$2:$C$4852),4^8),ROW(C1817)))&amp;""</f>
        <v>#N/A</v>
      </c>
    </row>
    <row r="1818" ht="14.100000000000001" customHeight="1">
      <c r="B1818" s="20" t="s">
        <v>3783</v>
      </c>
      <c r="C1818" s="20" t="s">
        <v>3784</v>
      </c>
      <c r="D1818" s="20" t="s">
        <v>3783</v>
      </c>
      <c r="E1818" s="20" t="e">
        <f t="array" ref="E1818">INDEX(C:C,SMALL(IF(ISNUMBER(FIND(CELL("contents"),$C$2:$C$4852)),ROW($C$2:$C$4852),4^8),ROW(C1818)))&amp;""</f>
        <v>#N/A</v>
      </c>
    </row>
    <row r="1819" ht="14.100000000000001" customHeight="1">
      <c r="B1819" s="20" t="s">
        <v>3785</v>
      </c>
      <c r="C1819" s="20" t="s">
        <v>3786</v>
      </c>
      <c r="D1819" s="20" t="s">
        <v>3785</v>
      </c>
      <c r="E1819" s="20" t="e">
        <f t="array" ref="E1819">INDEX(C:C,SMALL(IF(ISNUMBER(FIND(CELL("contents"),$C$2:$C$4852)),ROW($C$2:$C$4852),4^8),ROW(C1819)))&amp;""</f>
        <v>#N/A</v>
      </c>
    </row>
    <row r="1820" ht="14.100000000000001" customHeight="1">
      <c r="B1820" s="20" t="s">
        <v>3787</v>
      </c>
      <c r="C1820" s="20" t="s">
        <v>3788</v>
      </c>
      <c r="D1820" s="20" t="s">
        <v>3787</v>
      </c>
      <c r="E1820" s="20" t="e">
        <f t="array" ref="E1820">INDEX(C:C,SMALL(IF(ISNUMBER(FIND(CELL("contents"),$C$2:$C$4852)),ROW($C$2:$C$4852),4^8),ROW(C1820)))&amp;""</f>
        <v>#N/A</v>
      </c>
    </row>
    <row r="1821" ht="14.100000000000001" customHeight="1">
      <c r="B1821" s="20" t="s">
        <v>3789</v>
      </c>
      <c r="C1821" s="20" t="s">
        <v>3790</v>
      </c>
      <c r="D1821" s="20" t="s">
        <v>3789</v>
      </c>
      <c r="E1821" s="20" t="e">
        <f t="array" ref="E1821">INDEX(C:C,SMALL(IF(ISNUMBER(FIND(CELL("contents"),$C$2:$C$4852)),ROW($C$2:$C$4852),4^8),ROW(C1821)))&amp;""</f>
        <v>#N/A</v>
      </c>
    </row>
    <row r="1822" ht="14.100000000000001" customHeight="1">
      <c r="B1822" s="20" t="s">
        <v>3791</v>
      </c>
      <c r="C1822" s="20" t="s">
        <v>3792</v>
      </c>
      <c r="D1822" s="20" t="s">
        <v>3791</v>
      </c>
      <c r="E1822" s="20" t="e">
        <f t="array" ref="E1822">INDEX(C:C,SMALL(IF(ISNUMBER(FIND(CELL("contents"),$C$2:$C$4852)),ROW($C$2:$C$4852),4^8),ROW(C1822)))&amp;""</f>
        <v>#N/A</v>
      </c>
    </row>
    <row r="1823" ht="14.100000000000001" customHeight="1">
      <c r="B1823" s="20" t="s">
        <v>3793</v>
      </c>
      <c r="C1823" s="20" t="s">
        <v>3794</v>
      </c>
      <c r="D1823" s="20" t="s">
        <v>3793</v>
      </c>
      <c r="E1823" s="20" t="e">
        <f t="array" ref="E1823">INDEX(C:C,SMALL(IF(ISNUMBER(FIND(CELL("contents"),$C$2:$C$4852)),ROW($C$2:$C$4852),4^8),ROW(C1823)))&amp;""</f>
        <v>#N/A</v>
      </c>
    </row>
    <row r="1824" ht="14.100000000000001" customHeight="1">
      <c r="B1824" s="20" t="s">
        <v>3795</v>
      </c>
      <c r="C1824" s="20" t="s">
        <v>3796</v>
      </c>
      <c r="D1824" s="20" t="s">
        <v>3795</v>
      </c>
      <c r="E1824" s="20" t="e">
        <f t="array" ref="E1824">INDEX(C:C,SMALL(IF(ISNUMBER(FIND(CELL("contents"),$C$2:$C$4852)),ROW($C$2:$C$4852),4^8),ROW(C1824)))&amp;""</f>
        <v>#N/A</v>
      </c>
    </row>
    <row r="1825" ht="14.100000000000001" customHeight="1">
      <c r="B1825" s="20" t="s">
        <v>3797</v>
      </c>
      <c r="C1825" s="20" t="s">
        <v>3798</v>
      </c>
      <c r="D1825" s="20" t="s">
        <v>3797</v>
      </c>
      <c r="E1825" s="20" t="e">
        <f t="array" ref="E1825">INDEX(C:C,SMALL(IF(ISNUMBER(FIND(CELL("contents"),$C$2:$C$4852)),ROW($C$2:$C$4852),4^8),ROW(C1825)))&amp;""</f>
        <v>#N/A</v>
      </c>
    </row>
    <row r="1826" ht="14.100000000000001" customHeight="1">
      <c r="B1826" s="20" t="s">
        <v>3799</v>
      </c>
      <c r="C1826" s="20" t="s">
        <v>3800</v>
      </c>
      <c r="D1826" s="20" t="s">
        <v>3799</v>
      </c>
      <c r="E1826" s="20" t="e">
        <f t="array" ref="E1826">INDEX(C:C,SMALL(IF(ISNUMBER(FIND(CELL("contents"),$C$2:$C$4852)),ROW($C$2:$C$4852),4^8),ROW(C1826)))&amp;""</f>
        <v>#N/A</v>
      </c>
    </row>
    <row r="1827" ht="14.100000000000001" customHeight="1">
      <c r="B1827" s="20" t="s">
        <v>3801</v>
      </c>
      <c r="C1827" s="20" t="s">
        <v>3802</v>
      </c>
      <c r="D1827" s="20" t="s">
        <v>3801</v>
      </c>
      <c r="E1827" s="20" t="e">
        <f t="array" ref="E1827">INDEX(C:C,SMALL(IF(ISNUMBER(FIND(CELL("contents"),$C$2:$C$4852)),ROW($C$2:$C$4852),4^8),ROW(C1827)))&amp;""</f>
        <v>#N/A</v>
      </c>
    </row>
    <row r="1828" ht="14.100000000000001" customHeight="1">
      <c r="B1828" s="20" t="s">
        <v>3803</v>
      </c>
      <c r="C1828" s="20" t="s">
        <v>3804</v>
      </c>
      <c r="D1828" s="20" t="s">
        <v>3803</v>
      </c>
      <c r="E1828" s="20" t="e">
        <f t="array" ref="E1828">INDEX(C:C,SMALL(IF(ISNUMBER(FIND(CELL("contents"),$C$2:$C$4852)),ROW($C$2:$C$4852),4^8),ROW(C1828)))&amp;""</f>
        <v>#N/A</v>
      </c>
    </row>
    <row r="1829" ht="14.100000000000001" customHeight="1">
      <c r="B1829" s="20" t="s">
        <v>3805</v>
      </c>
      <c r="C1829" s="20" t="s">
        <v>3806</v>
      </c>
      <c r="D1829" s="20" t="s">
        <v>3805</v>
      </c>
      <c r="E1829" s="20" t="e">
        <f t="array" ref="E1829">INDEX(C:C,SMALL(IF(ISNUMBER(FIND(CELL("contents"),$C$2:$C$4852)),ROW($C$2:$C$4852),4^8),ROW(C1829)))&amp;""</f>
        <v>#N/A</v>
      </c>
    </row>
    <row r="1830" ht="14.100000000000001" customHeight="1">
      <c r="B1830" s="20" t="s">
        <v>3807</v>
      </c>
      <c r="C1830" s="20" t="s">
        <v>3808</v>
      </c>
      <c r="D1830" s="20" t="s">
        <v>3807</v>
      </c>
      <c r="E1830" s="20" t="e">
        <f t="array" ref="E1830">INDEX(C:C,SMALL(IF(ISNUMBER(FIND(CELL("contents"),$C$2:$C$4852)),ROW($C$2:$C$4852),4^8),ROW(C1830)))&amp;""</f>
        <v>#N/A</v>
      </c>
    </row>
    <row r="1831" ht="14.100000000000001" customHeight="1">
      <c r="B1831" s="20" t="s">
        <v>3809</v>
      </c>
      <c r="C1831" s="20" t="s">
        <v>3810</v>
      </c>
      <c r="D1831" s="20" t="s">
        <v>3809</v>
      </c>
      <c r="E1831" s="20" t="e">
        <f t="array" ref="E1831">INDEX(C:C,SMALL(IF(ISNUMBER(FIND(CELL("contents"),$C$2:$C$4852)),ROW($C$2:$C$4852),4^8),ROW(C1831)))&amp;""</f>
        <v>#N/A</v>
      </c>
    </row>
    <row r="1832" ht="14.100000000000001" customHeight="1">
      <c r="B1832" s="20" t="s">
        <v>3811</v>
      </c>
      <c r="C1832" s="20" t="s">
        <v>3812</v>
      </c>
      <c r="D1832" s="20" t="s">
        <v>3811</v>
      </c>
      <c r="E1832" s="20" t="e">
        <f t="array" ref="E1832">INDEX(C:C,SMALL(IF(ISNUMBER(FIND(CELL("contents"),$C$2:$C$4852)),ROW($C$2:$C$4852),4^8),ROW(C1832)))&amp;""</f>
        <v>#N/A</v>
      </c>
    </row>
    <row r="1833" ht="14.100000000000001" customHeight="1">
      <c r="B1833" s="20" t="s">
        <v>3813</v>
      </c>
      <c r="C1833" s="20" t="s">
        <v>3814</v>
      </c>
      <c r="D1833" s="20" t="s">
        <v>3813</v>
      </c>
      <c r="E1833" s="20" t="e">
        <f t="array" ref="E1833">INDEX(C:C,SMALL(IF(ISNUMBER(FIND(CELL("contents"),$C$2:$C$4852)),ROW($C$2:$C$4852),4^8),ROW(C1833)))&amp;""</f>
        <v>#N/A</v>
      </c>
    </row>
    <row r="1834" ht="14.100000000000001" customHeight="1">
      <c r="B1834" s="20" t="s">
        <v>3815</v>
      </c>
      <c r="C1834" s="20" t="s">
        <v>3816</v>
      </c>
      <c r="D1834" s="20" t="s">
        <v>3815</v>
      </c>
      <c r="E1834" s="20" t="e">
        <f t="array" ref="E1834">INDEX(C:C,SMALL(IF(ISNUMBER(FIND(CELL("contents"),$C$2:$C$4852)),ROW($C$2:$C$4852),4^8),ROW(C1834)))&amp;""</f>
        <v>#N/A</v>
      </c>
    </row>
    <row r="1835" ht="14.100000000000001" customHeight="1">
      <c r="B1835" s="20" t="s">
        <v>3817</v>
      </c>
      <c r="C1835" s="20" t="s">
        <v>3818</v>
      </c>
      <c r="D1835" s="20" t="s">
        <v>3817</v>
      </c>
      <c r="E1835" s="20" t="e">
        <f t="array" ref="E1835">INDEX(C:C,SMALL(IF(ISNUMBER(FIND(CELL("contents"),$C$2:$C$4852)),ROW($C$2:$C$4852),4^8),ROW(C1835)))&amp;""</f>
        <v>#N/A</v>
      </c>
    </row>
    <row r="1836" ht="14.100000000000001" customHeight="1">
      <c r="B1836" s="20" t="s">
        <v>3819</v>
      </c>
      <c r="C1836" s="20" t="s">
        <v>3820</v>
      </c>
      <c r="D1836" s="20" t="s">
        <v>3819</v>
      </c>
      <c r="E1836" s="20" t="e">
        <f t="array" ref="E1836">INDEX(C:C,SMALL(IF(ISNUMBER(FIND(CELL("contents"),$C$2:$C$4852)),ROW($C$2:$C$4852),4^8),ROW(C1836)))&amp;""</f>
        <v>#N/A</v>
      </c>
    </row>
    <row r="1837" ht="14.100000000000001" customHeight="1">
      <c r="B1837" s="20" t="s">
        <v>3821</v>
      </c>
      <c r="C1837" s="20" t="s">
        <v>3822</v>
      </c>
      <c r="D1837" s="20" t="s">
        <v>3821</v>
      </c>
      <c r="E1837" s="20" t="e">
        <f t="array" ref="E1837">INDEX(C:C,SMALL(IF(ISNUMBER(FIND(CELL("contents"),$C$2:$C$4852)),ROW($C$2:$C$4852),4^8),ROW(C1837)))&amp;""</f>
        <v>#N/A</v>
      </c>
    </row>
    <row r="1838" ht="14.100000000000001" customHeight="1">
      <c r="B1838" s="20" t="s">
        <v>3823</v>
      </c>
      <c r="C1838" s="20" t="s">
        <v>3824</v>
      </c>
      <c r="D1838" s="20" t="s">
        <v>3823</v>
      </c>
      <c r="E1838" s="20" t="e">
        <f t="array" ref="E1838">INDEX(C:C,SMALL(IF(ISNUMBER(FIND(CELL("contents"),$C$2:$C$4852)),ROW($C$2:$C$4852),4^8),ROW(C1838)))&amp;""</f>
        <v>#N/A</v>
      </c>
    </row>
    <row r="1839" ht="14.100000000000001" customHeight="1">
      <c r="B1839" s="20" t="s">
        <v>3825</v>
      </c>
      <c r="C1839" s="20" t="s">
        <v>3826</v>
      </c>
      <c r="D1839" s="20" t="s">
        <v>3825</v>
      </c>
      <c r="E1839" s="20" t="e">
        <f t="array" ref="E1839">INDEX(C:C,SMALL(IF(ISNUMBER(FIND(CELL("contents"),$C$2:$C$4852)),ROW($C$2:$C$4852),4^8),ROW(C1839)))&amp;""</f>
        <v>#N/A</v>
      </c>
    </row>
    <row r="1840" ht="14.100000000000001" customHeight="1">
      <c r="B1840" s="20" t="s">
        <v>3827</v>
      </c>
      <c r="C1840" s="20" t="s">
        <v>3828</v>
      </c>
      <c r="D1840" s="20" t="s">
        <v>3827</v>
      </c>
      <c r="E1840" s="20" t="e">
        <f t="array" ref="E1840">INDEX(C:C,SMALL(IF(ISNUMBER(FIND(CELL("contents"),$C$2:$C$4852)),ROW($C$2:$C$4852),4^8),ROW(C1840)))&amp;""</f>
        <v>#N/A</v>
      </c>
    </row>
    <row r="1841" ht="14.100000000000001" customHeight="1">
      <c r="B1841" s="20" t="s">
        <v>3829</v>
      </c>
      <c r="C1841" s="20" t="s">
        <v>3830</v>
      </c>
      <c r="D1841" s="20" t="s">
        <v>3829</v>
      </c>
      <c r="E1841" s="20" t="e">
        <f t="array" ref="E1841">INDEX(C:C,SMALL(IF(ISNUMBER(FIND(CELL("contents"),$C$2:$C$4852)),ROW($C$2:$C$4852),4^8),ROW(C1841)))&amp;""</f>
        <v>#N/A</v>
      </c>
    </row>
    <row r="1842" ht="14.100000000000001" customHeight="1">
      <c r="B1842" s="20" t="s">
        <v>3831</v>
      </c>
      <c r="C1842" s="20" t="s">
        <v>3832</v>
      </c>
      <c r="D1842" s="20" t="s">
        <v>3831</v>
      </c>
      <c r="E1842" s="20" t="e">
        <f t="array" ref="E1842">INDEX(C:C,SMALL(IF(ISNUMBER(FIND(CELL("contents"),$C$2:$C$4852)),ROW($C$2:$C$4852),4^8),ROW(C1842)))&amp;""</f>
        <v>#N/A</v>
      </c>
    </row>
    <row r="1843" ht="14.100000000000001" customHeight="1">
      <c r="B1843" s="20" t="s">
        <v>3833</v>
      </c>
      <c r="C1843" s="20" t="s">
        <v>3834</v>
      </c>
      <c r="D1843" s="20" t="s">
        <v>3833</v>
      </c>
      <c r="E1843" s="20" t="e">
        <f t="array" ref="E1843">INDEX(C:C,SMALL(IF(ISNUMBER(FIND(CELL("contents"),$C$2:$C$4852)),ROW($C$2:$C$4852),4^8),ROW(C1843)))&amp;""</f>
        <v>#N/A</v>
      </c>
    </row>
    <row r="1844" ht="14.100000000000001" customHeight="1">
      <c r="B1844" s="20" t="s">
        <v>3835</v>
      </c>
      <c r="C1844" s="20" t="s">
        <v>3836</v>
      </c>
      <c r="D1844" s="20" t="s">
        <v>3835</v>
      </c>
      <c r="E1844" s="20" t="e">
        <f t="array" ref="E1844">INDEX(C:C,SMALL(IF(ISNUMBER(FIND(CELL("contents"),$C$2:$C$4852)),ROW($C$2:$C$4852),4^8),ROW(C1844)))&amp;""</f>
        <v>#N/A</v>
      </c>
    </row>
    <row r="1845" ht="14.100000000000001" customHeight="1">
      <c r="B1845" s="20" t="s">
        <v>3837</v>
      </c>
      <c r="C1845" s="20" t="s">
        <v>3838</v>
      </c>
      <c r="D1845" s="20" t="s">
        <v>3837</v>
      </c>
      <c r="E1845" s="20" t="e">
        <f t="array" ref="E1845">INDEX(C:C,SMALL(IF(ISNUMBER(FIND(CELL("contents"),$C$2:$C$4852)),ROW($C$2:$C$4852),4^8),ROW(C1845)))&amp;""</f>
        <v>#N/A</v>
      </c>
    </row>
    <row r="1846" ht="14.100000000000001" customHeight="1">
      <c r="B1846" s="20" t="s">
        <v>3839</v>
      </c>
      <c r="C1846" s="20" t="s">
        <v>3840</v>
      </c>
      <c r="D1846" s="20" t="s">
        <v>3839</v>
      </c>
      <c r="E1846" s="20" t="e">
        <f t="array" ref="E1846">INDEX(C:C,SMALL(IF(ISNUMBER(FIND(CELL("contents"),$C$2:$C$4852)),ROW($C$2:$C$4852),4^8),ROW(C1846)))&amp;""</f>
        <v>#N/A</v>
      </c>
    </row>
    <row r="1847" ht="14.100000000000001" customHeight="1">
      <c r="B1847" s="20" t="s">
        <v>3841</v>
      </c>
      <c r="C1847" s="20" t="s">
        <v>3842</v>
      </c>
      <c r="D1847" s="20" t="s">
        <v>3841</v>
      </c>
      <c r="E1847" s="20" t="e">
        <f t="array" ref="E1847">INDEX(C:C,SMALL(IF(ISNUMBER(FIND(CELL("contents"),$C$2:$C$4852)),ROW($C$2:$C$4852),4^8),ROW(C1847)))&amp;""</f>
        <v>#N/A</v>
      </c>
    </row>
    <row r="1848" ht="14.100000000000001" customHeight="1">
      <c r="B1848" s="20" t="s">
        <v>3843</v>
      </c>
      <c r="C1848" s="20" t="s">
        <v>3844</v>
      </c>
      <c r="D1848" s="20" t="s">
        <v>3843</v>
      </c>
      <c r="E1848" s="20" t="e">
        <f t="array" ref="E1848">INDEX(C:C,SMALL(IF(ISNUMBER(FIND(CELL("contents"),$C$2:$C$4852)),ROW($C$2:$C$4852),4^8),ROW(C1848)))&amp;""</f>
        <v>#N/A</v>
      </c>
    </row>
    <row r="1849" ht="14.100000000000001" customHeight="1">
      <c r="B1849" s="20" t="s">
        <v>3845</v>
      </c>
      <c r="C1849" s="20" t="s">
        <v>3846</v>
      </c>
      <c r="D1849" s="20" t="s">
        <v>3845</v>
      </c>
      <c r="E1849" s="20" t="e">
        <f t="array" ref="E1849">INDEX(C:C,SMALL(IF(ISNUMBER(FIND(CELL("contents"),$C$2:$C$4852)),ROW($C$2:$C$4852),4^8),ROW(C1849)))&amp;""</f>
        <v>#N/A</v>
      </c>
    </row>
    <row r="1850" ht="14.100000000000001" customHeight="1">
      <c r="B1850" s="20" t="s">
        <v>3847</v>
      </c>
      <c r="C1850" s="20" t="s">
        <v>3848</v>
      </c>
      <c r="D1850" s="20" t="s">
        <v>3847</v>
      </c>
      <c r="E1850" s="20" t="e">
        <f t="array" ref="E1850">INDEX(C:C,SMALL(IF(ISNUMBER(FIND(CELL("contents"),$C$2:$C$4852)),ROW($C$2:$C$4852),4^8),ROW(C1850)))&amp;""</f>
        <v>#N/A</v>
      </c>
    </row>
    <row r="1851" ht="14.100000000000001" customHeight="1">
      <c r="B1851" s="20" t="s">
        <v>3849</v>
      </c>
      <c r="C1851" s="20" t="s">
        <v>3850</v>
      </c>
      <c r="D1851" s="20" t="s">
        <v>3849</v>
      </c>
      <c r="E1851" s="20" t="e">
        <f t="array" ref="E1851">INDEX(C:C,SMALL(IF(ISNUMBER(FIND(CELL("contents"),$C$2:$C$4852)),ROW($C$2:$C$4852),4^8),ROW(C1851)))&amp;""</f>
        <v>#N/A</v>
      </c>
    </row>
    <row r="1852" ht="14.100000000000001" customHeight="1">
      <c r="B1852" s="20" t="s">
        <v>3851</v>
      </c>
      <c r="C1852" s="20" t="s">
        <v>3852</v>
      </c>
      <c r="D1852" s="20" t="s">
        <v>3851</v>
      </c>
      <c r="E1852" s="20" t="e">
        <f t="array" ref="E1852">INDEX(C:C,SMALL(IF(ISNUMBER(FIND(CELL("contents"),$C$2:$C$4852)),ROW($C$2:$C$4852),4^8),ROW(C1852)))&amp;""</f>
        <v>#N/A</v>
      </c>
    </row>
    <row r="1853" ht="14.100000000000001" customHeight="1">
      <c r="B1853" s="20" t="s">
        <v>3853</v>
      </c>
      <c r="C1853" s="20" t="s">
        <v>3854</v>
      </c>
      <c r="D1853" s="20" t="s">
        <v>3853</v>
      </c>
      <c r="E1853" s="20" t="e">
        <f t="array" ref="E1853">INDEX(C:C,SMALL(IF(ISNUMBER(FIND(CELL("contents"),$C$2:$C$4852)),ROW($C$2:$C$4852),4^8),ROW(C1853)))&amp;""</f>
        <v>#N/A</v>
      </c>
    </row>
    <row r="1854" ht="14.100000000000001" customHeight="1">
      <c r="B1854" s="20" t="s">
        <v>3855</v>
      </c>
      <c r="C1854" s="20" t="s">
        <v>3856</v>
      </c>
      <c r="D1854" s="20" t="s">
        <v>3855</v>
      </c>
      <c r="E1854" s="20" t="e">
        <f t="array" ref="E1854">INDEX(C:C,SMALL(IF(ISNUMBER(FIND(CELL("contents"),$C$2:$C$4852)),ROW($C$2:$C$4852),4^8),ROW(C1854)))&amp;""</f>
        <v>#N/A</v>
      </c>
    </row>
    <row r="1855" ht="14.100000000000001" customHeight="1">
      <c r="B1855" s="20" t="s">
        <v>3857</v>
      </c>
      <c r="C1855" s="20" t="s">
        <v>3858</v>
      </c>
      <c r="D1855" s="20" t="s">
        <v>3857</v>
      </c>
      <c r="E1855" s="20" t="e">
        <f t="array" ref="E1855">INDEX(C:C,SMALL(IF(ISNUMBER(FIND(CELL("contents"),$C$2:$C$4852)),ROW($C$2:$C$4852),4^8),ROW(C1855)))&amp;""</f>
        <v>#N/A</v>
      </c>
    </row>
    <row r="1856" ht="14.100000000000001" customHeight="1">
      <c r="B1856" s="20" t="s">
        <v>3859</v>
      </c>
      <c r="C1856" s="20" t="s">
        <v>3860</v>
      </c>
      <c r="D1856" s="20" t="s">
        <v>3859</v>
      </c>
      <c r="E1856" s="20" t="e">
        <f t="array" ref="E1856">INDEX(C:C,SMALL(IF(ISNUMBER(FIND(CELL("contents"),$C$2:$C$4852)),ROW($C$2:$C$4852),4^8),ROW(C1856)))&amp;""</f>
        <v>#N/A</v>
      </c>
    </row>
    <row r="1857" ht="14.100000000000001" customHeight="1">
      <c r="B1857" s="20" t="s">
        <v>3861</v>
      </c>
      <c r="C1857" s="20" t="s">
        <v>3862</v>
      </c>
      <c r="D1857" s="20" t="s">
        <v>3861</v>
      </c>
      <c r="E1857" s="20" t="e">
        <f t="array" ref="E1857">INDEX(C:C,SMALL(IF(ISNUMBER(FIND(CELL("contents"),$C$2:$C$4852)),ROW($C$2:$C$4852),4^8),ROW(C1857)))&amp;""</f>
        <v>#N/A</v>
      </c>
    </row>
    <row r="1858" ht="14.100000000000001" customHeight="1">
      <c r="B1858" s="20" t="s">
        <v>3863</v>
      </c>
      <c r="C1858" s="20" t="s">
        <v>3864</v>
      </c>
      <c r="D1858" s="20" t="s">
        <v>3863</v>
      </c>
      <c r="E1858" s="20" t="e">
        <f t="array" ref="E1858">INDEX(C:C,SMALL(IF(ISNUMBER(FIND(CELL("contents"),$C$2:$C$4852)),ROW($C$2:$C$4852),4^8),ROW(C1858)))&amp;""</f>
        <v>#N/A</v>
      </c>
    </row>
    <row r="1859" ht="14.100000000000001" customHeight="1">
      <c r="B1859" s="20" t="s">
        <v>3865</v>
      </c>
      <c r="C1859" s="20" t="s">
        <v>3866</v>
      </c>
      <c r="D1859" s="20" t="s">
        <v>3865</v>
      </c>
      <c r="E1859" s="20" t="e">
        <f t="array" ref="E1859">INDEX(C:C,SMALL(IF(ISNUMBER(FIND(CELL("contents"),$C$2:$C$4852)),ROW($C$2:$C$4852),4^8),ROW(C1859)))&amp;""</f>
        <v>#N/A</v>
      </c>
    </row>
    <row r="1860" ht="14.100000000000001" customHeight="1">
      <c r="B1860" s="20" t="s">
        <v>3867</v>
      </c>
      <c r="C1860" s="20" t="s">
        <v>3868</v>
      </c>
      <c r="D1860" s="20" t="s">
        <v>3867</v>
      </c>
      <c r="E1860" s="20" t="e">
        <f t="array" ref="E1860">INDEX(C:C,SMALL(IF(ISNUMBER(FIND(CELL("contents"),$C$2:$C$4852)),ROW($C$2:$C$4852),4^8),ROW(C1860)))&amp;""</f>
        <v>#N/A</v>
      </c>
    </row>
    <row r="1861" ht="14.100000000000001" customHeight="1">
      <c r="B1861" s="20" t="s">
        <v>3869</v>
      </c>
      <c r="C1861" s="20" t="s">
        <v>3870</v>
      </c>
      <c r="D1861" s="20" t="s">
        <v>3869</v>
      </c>
      <c r="E1861" s="20" t="e">
        <f t="array" ref="E1861">INDEX(C:C,SMALL(IF(ISNUMBER(FIND(CELL("contents"),$C$2:$C$4852)),ROW($C$2:$C$4852),4^8),ROW(C1861)))&amp;""</f>
        <v>#N/A</v>
      </c>
    </row>
    <row r="1862" ht="14.100000000000001" customHeight="1">
      <c r="B1862" s="20" t="s">
        <v>3871</v>
      </c>
      <c r="C1862" s="20" t="s">
        <v>3872</v>
      </c>
      <c r="D1862" s="20" t="s">
        <v>3871</v>
      </c>
      <c r="E1862" s="20" t="e">
        <f t="array" ref="E1862">INDEX(C:C,SMALL(IF(ISNUMBER(FIND(CELL("contents"),$C$2:$C$4852)),ROW($C$2:$C$4852),4^8),ROW(C1862)))&amp;""</f>
        <v>#N/A</v>
      </c>
    </row>
    <row r="1863" ht="14.100000000000001" customHeight="1">
      <c r="B1863" s="20" t="s">
        <v>3873</v>
      </c>
      <c r="C1863" s="20" t="s">
        <v>3874</v>
      </c>
      <c r="D1863" s="20" t="s">
        <v>3873</v>
      </c>
      <c r="E1863" s="20" t="e">
        <f t="array" ref="E1863">INDEX(C:C,SMALL(IF(ISNUMBER(FIND(CELL("contents"),$C$2:$C$4852)),ROW($C$2:$C$4852),4^8),ROW(C1863)))&amp;""</f>
        <v>#N/A</v>
      </c>
    </row>
    <row r="1864" ht="14.100000000000001" customHeight="1">
      <c r="B1864" s="20" t="s">
        <v>3875</v>
      </c>
      <c r="C1864" s="20" t="s">
        <v>3876</v>
      </c>
      <c r="D1864" s="20" t="s">
        <v>3875</v>
      </c>
      <c r="E1864" s="20" t="e">
        <f t="array" ref="E1864">INDEX(C:C,SMALL(IF(ISNUMBER(FIND(CELL("contents"),$C$2:$C$4852)),ROW($C$2:$C$4852),4^8),ROW(C1864)))&amp;""</f>
        <v>#N/A</v>
      </c>
    </row>
    <row r="1865" ht="14.100000000000001" customHeight="1">
      <c r="B1865" s="20" t="s">
        <v>3877</v>
      </c>
      <c r="C1865" s="20" t="s">
        <v>3878</v>
      </c>
      <c r="D1865" s="20" t="s">
        <v>3877</v>
      </c>
      <c r="E1865" s="20" t="e">
        <f t="array" ref="E1865">INDEX(C:C,SMALL(IF(ISNUMBER(FIND(CELL("contents"),$C$2:$C$4852)),ROW($C$2:$C$4852),4^8),ROW(C1865)))&amp;""</f>
        <v>#N/A</v>
      </c>
    </row>
    <row r="1866" ht="14.100000000000001" customHeight="1">
      <c r="B1866" s="20" t="s">
        <v>3879</v>
      </c>
      <c r="C1866" s="20" t="s">
        <v>3880</v>
      </c>
      <c r="D1866" s="20" t="s">
        <v>3879</v>
      </c>
      <c r="E1866" s="20" t="e">
        <f t="array" ref="E1866">INDEX(C:C,SMALL(IF(ISNUMBER(FIND(CELL("contents"),$C$2:$C$4852)),ROW($C$2:$C$4852),4^8),ROW(C1866)))&amp;""</f>
        <v>#N/A</v>
      </c>
    </row>
    <row r="1867" ht="14.100000000000001" customHeight="1">
      <c r="B1867" s="20" t="s">
        <v>3881</v>
      </c>
      <c r="C1867" s="20" t="s">
        <v>3882</v>
      </c>
      <c r="D1867" s="20" t="s">
        <v>3881</v>
      </c>
      <c r="E1867" s="20" t="e">
        <f t="array" ref="E1867">INDEX(C:C,SMALL(IF(ISNUMBER(FIND(CELL("contents"),$C$2:$C$4852)),ROW($C$2:$C$4852),4^8),ROW(C1867)))&amp;""</f>
        <v>#N/A</v>
      </c>
    </row>
    <row r="1868" ht="14.100000000000001" customHeight="1">
      <c r="B1868" s="20" t="s">
        <v>3883</v>
      </c>
      <c r="C1868" s="20" t="s">
        <v>3884</v>
      </c>
      <c r="D1868" s="20" t="s">
        <v>3883</v>
      </c>
      <c r="E1868" s="20" t="e">
        <f t="array" ref="E1868">INDEX(C:C,SMALL(IF(ISNUMBER(FIND(CELL("contents"),$C$2:$C$4852)),ROW($C$2:$C$4852),4^8),ROW(C1868)))&amp;""</f>
        <v>#N/A</v>
      </c>
    </row>
    <row r="1869" ht="14.100000000000001" customHeight="1">
      <c r="B1869" s="20" t="s">
        <v>3885</v>
      </c>
      <c r="C1869" s="20" t="s">
        <v>3886</v>
      </c>
      <c r="D1869" s="20" t="s">
        <v>3885</v>
      </c>
      <c r="E1869" s="20" t="e">
        <f t="array" ref="E1869">INDEX(C:C,SMALL(IF(ISNUMBER(FIND(CELL("contents"),$C$2:$C$4852)),ROW($C$2:$C$4852),4^8),ROW(C1869)))&amp;""</f>
        <v>#N/A</v>
      </c>
    </row>
    <row r="1870" ht="14.100000000000001" customHeight="1">
      <c r="B1870" s="20" t="s">
        <v>3887</v>
      </c>
      <c r="C1870" s="20" t="s">
        <v>3888</v>
      </c>
      <c r="D1870" s="20" t="s">
        <v>3887</v>
      </c>
      <c r="E1870" s="20" t="e">
        <f t="array" ref="E1870">INDEX(C:C,SMALL(IF(ISNUMBER(FIND(CELL("contents"),$C$2:$C$4852)),ROW($C$2:$C$4852),4^8),ROW(C1870)))&amp;""</f>
        <v>#N/A</v>
      </c>
    </row>
    <row r="1871" ht="14.100000000000001" customHeight="1">
      <c r="B1871" s="20" t="s">
        <v>3889</v>
      </c>
      <c r="C1871" s="20" t="s">
        <v>3890</v>
      </c>
      <c r="D1871" s="20" t="s">
        <v>3889</v>
      </c>
      <c r="E1871" s="20" t="e">
        <f t="array" ref="E1871">INDEX(C:C,SMALL(IF(ISNUMBER(FIND(CELL("contents"),$C$2:$C$4852)),ROW($C$2:$C$4852),4^8),ROW(C1871)))&amp;""</f>
        <v>#N/A</v>
      </c>
    </row>
    <row r="1872" ht="14.100000000000001" customHeight="1">
      <c r="B1872" s="20" t="s">
        <v>3891</v>
      </c>
      <c r="C1872" s="20" t="s">
        <v>3892</v>
      </c>
      <c r="D1872" s="20" t="s">
        <v>3891</v>
      </c>
      <c r="E1872" s="20" t="e">
        <f t="array" ref="E1872">INDEX(C:C,SMALL(IF(ISNUMBER(FIND(CELL("contents"),$C$2:$C$4852)),ROW($C$2:$C$4852),4^8),ROW(C1872)))&amp;""</f>
        <v>#N/A</v>
      </c>
    </row>
    <row r="1873" ht="14.100000000000001" customHeight="1">
      <c r="B1873" s="20" t="s">
        <v>3893</v>
      </c>
      <c r="C1873" s="20" t="s">
        <v>3894</v>
      </c>
      <c r="D1873" s="20" t="s">
        <v>3893</v>
      </c>
      <c r="E1873" s="20" t="e">
        <f t="array" ref="E1873">INDEX(C:C,SMALL(IF(ISNUMBER(FIND(CELL("contents"),$C$2:$C$4852)),ROW($C$2:$C$4852),4^8),ROW(C1873)))&amp;""</f>
        <v>#N/A</v>
      </c>
    </row>
    <row r="1874" ht="14.100000000000001" customHeight="1">
      <c r="B1874" s="20" t="s">
        <v>3895</v>
      </c>
      <c r="C1874" s="20" t="s">
        <v>3896</v>
      </c>
      <c r="D1874" s="20" t="s">
        <v>3895</v>
      </c>
      <c r="E1874" s="20" t="e">
        <f t="array" ref="E1874">INDEX(C:C,SMALL(IF(ISNUMBER(FIND(CELL("contents"),$C$2:$C$4852)),ROW($C$2:$C$4852),4^8),ROW(C1874)))&amp;""</f>
        <v>#N/A</v>
      </c>
    </row>
    <row r="1875" ht="14.100000000000001" customHeight="1">
      <c r="B1875" s="20" t="s">
        <v>3897</v>
      </c>
      <c r="C1875" s="20" t="s">
        <v>3898</v>
      </c>
      <c r="D1875" s="20" t="s">
        <v>3897</v>
      </c>
      <c r="E1875" s="20" t="e">
        <f t="array" ref="E1875">INDEX(C:C,SMALL(IF(ISNUMBER(FIND(CELL("contents"),$C$2:$C$4852)),ROW($C$2:$C$4852),4^8),ROW(C1875)))&amp;""</f>
        <v>#N/A</v>
      </c>
    </row>
    <row r="1876" ht="14.100000000000001" customHeight="1">
      <c r="B1876" s="20" t="s">
        <v>3899</v>
      </c>
      <c r="C1876" s="20" t="s">
        <v>3900</v>
      </c>
      <c r="D1876" s="20" t="s">
        <v>3899</v>
      </c>
      <c r="E1876" s="20" t="e">
        <f t="array" ref="E1876">INDEX(C:C,SMALL(IF(ISNUMBER(FIND(CELL("contents"),$C$2:$C$4852)),ROW($C$2:$C$4852),4^8),ROW(C1876)))&amp;""</f>
        <v>#N/A</v>
      </c>
    </row>
    <row r="1877" ht="14.100000000000001" customHeight="1">
      <c r="B1877" s="20" t="s">
        <v>3901</v>
      </c>
      <c r="C1877" s="20" t="s">
        <v>3902</v>
      </c>
      <c r="D1877" s="20" t="s">
        <v>3901</v>
      </c>
      <c r="E1877" s="20" t="e">
        <f t="array" ref="E1877">INDEX(C:C,SMALL(IF(ISNUMBER(FIND(CELL("contents"),$C$2:$C$4852)),ROW($C$2:$C$4852),4^8),ROW(C1877)))&amp;""</f>
        <v>#N/A</v>
      </c>
    </row>
    <row r="1878" ht="14.100000000000001" customHeight="1">
      <c r="B1878" s="20" t="s">
        <v>3903</v>
      </c>
      <c r="C1878" s="20" t="s">
        <v>3904</v>
      </c>
      <c r="D1878" s="20" t="s">
        <v>3903</v>
      </c>
      <c r="E1878" s="20" t="e">
        <f t="array" ref="E1878">INDEX(C:C,SMALL(IF(ISNUMBER(FIND(CELL("contents"),$C$2:$C$4852)),ROW($C$2:$C$4852),4^8),ROW(C1878)))&amp;""</f>
        <v>#N/A</v>
      </c>
    </row>
    <row r="1879" ht="14.100000000000001" customHeight="1">
      <c r="B1879" s="20" t="s">
        <v>3905</v>
      </c>
      <c r="C1879" s="20" t="s">
        <v>3906</v>
      </c>
      <c r="D1879" s="20" t="s">
        <v>3905</v>
      </c>
      <c r="E1879" s="20" t="e">
        <f t="array" ref="E1879">INDEX(C:C,SMALL(IF(ISNUMBER(FIND(CELL("contents"),$C$2:$C$4852)),ROW($C$2:$C$4852),4^8),ROW(C1879)))&amp;""</f>
        <v>#N/A</v>
      </c>
    </row>
    <row r="1880" ht="14.100000000000001" customHeight="1">
      <c r="B1880" s="20" t="s">
        <v>3907</v>
      </c>
      <c r="C1880" s="20" t="s">
        <v>3908</v>
      </c>
      <c r="D1880" s="20" t="s">
        <v>3907</v>
      </c>
      <c r="E1880" s="20" t="e">
        <f t="array" ref="E1880">INDEX(C:C,SMALL(IF(ISNUMBER(FIND(CELL("contents"),$C$2:$C$4852)),ROW($C$2:$C$4852),4^8),ROW(C1880)))&amp;""</f>
        <v>#N/A</v>
      </c>
    </row>
    <row r="1881" ht="14.100000000000001" customHeight="1">
      <c r="B1881" s="20" t="s">
        <v>3909</v>
      </c>
      <c r="C1881" s="20" t="s">
        <v>3910</v>
      </c>
      <c r="D1881" s="20" t="s">
        <v>3909</v>
      </c>
      <c r="E1881" s="20" t="e">
        <f t="array" ref="E1881">INDEX(C:C,SMALL(IF(ISNUMBER(FIND(CELL("contents"),$C$2:$C$4852)),ROW($C$2:$C$4852),4^8),ROW(C1881)))&amp;""</f>
        <v>#N/A</v>
      </c>
    </row>
    <row r="1882" ht="14.100000000000001" customHeight="1">
      <c r="B1882" s="20" t="s">
        <v>3911</v>
      </c>
      <c r="C1882" s="20" t="s">
        <v>3912</v>
      </c>
      <c r="D1882" s="20" t="s">
        <v>3911</v>
      </c>
      <c r="E1882" s="20" t="e">
        <f t="array" ref="E1882">INDEX(C:C,SMALL(IF(ISNUMBER(FIND(CELL("contents"),$C$2:$C$4852)),ROW($C$2:$C$4852),4^8),ROW(C1882)))&amp;""</f>
        <v>#N/A</v>
      </c>
    </row>
    <row r="1883" ht="14.100000000000001" customHeight="1">
      <c r="B1883" s="20" t="s">
        <v>3913</v>
      </c>
      <c r="C1883" s="20" t="s">
        <v>3914</v>
      </c>
      <c r="D1883" s="20" t="s">
        <v>3913</v>
      </c>
      <c r="E1883" s="20" t="e">
        <f t="array" ref="E1883">INDEX(C:C,SMALL(IF(ISNUMBER(FIND(CELL("contents"),$C$2:$C$4852)),ROW($C$2:$C$4852),4^8),ROW(C1883)))&amp;""</f>
        <v>#N/A</v>
      </c>
    </row>
    <row r="1884" ht="14.100000000000001" customHeight="1">
      <c r="B1884" s="20" t="s">
        <v>3915</v>
      </c>
      <c r="C1884" s="20" t="s">
        <v>3916</v>
      </c>
      <c r="D1884" s="20" t="s">
        <v>3915</v>
      </c>
      <c r="E1884" s="20" t="e">
        <f t="array" ref="E1884">INDEX(C:C,SMALL(IF(ISNUMBER(FIND(CELL("contents"),$C$2:$C$4852)),ROW($C$2:$C$4852),4^8),ROW(C1884)))&amp;""</f>
        <v>#N/A</v>
      </c>
    </row>
    <row r="1885" ht="14.100000000000001" customHeight="1">
      <c r="B1885" s="20" t="s">
        <v>3917</v>
      </c>
      <c r="C1885" s="20" t="s">
        <v>3918</v>
      </c>
      <c r="D1885" s="20" t="s">
        <v>3917</v>
      </c>
      <c r="E1885" s="20" t="e">
        <f t="array" ref="E1885">INDEX(C:C,SMALL(IF(ISNUMBER(FIND(CELL("contents"),$C$2:$C$4852)),ROW($C$2:$C$4852),4^8),ROW(C1885)))&amp;""</f>
        <v>#N/A</v>
      </c>
    </row>
    <row r="1886" ht="14.100000000000001" customHeight="1">
      <c r="B1886" s="20" t="s">
        <v>3919</v>
      </c>
      <c r="C1886" s="20" t="s">
        <v>3920</v>
      </c>
      <c r="D1886" s="20" t="s">
        <v>3919</v>
      </c>
      <c r="E1886" s="20" t="e">
        <f t="array" ref="E1886">INDEX(C:C,SMALL(IF(ISNUMBER(FIND(CELL("contents"),$C$2:$C$4852)),ROW($C$2:$C$4852),4^8),ROW(C1886)))&amp;""</f>
        <v>#N/A</v>
      </c>
    </row>
    <row r="1887" ht="14.100000000000001" customHeight="1">
      <c r="B1887" s="20" t="s">
        <v>3921</v>
      </c>
      <c r="C1887" s="20" t="s">
        <v>3922</v>
      </c>
      <c r="D1887" s="20" t="s">
        <v>3921</v>
      </c>
      <c r="E1887" s="20" t="e">
        <f t="array" ref="E1887">INDEX(C:C,SMALL(IF(ISNUMBER(FIND(CELL("contents"),$C$2:$C$4852)),ROW($C$2:$C$4852),4^8),ROW(C1887)))&amp;""</f>
        <v>#N/A</v>
      </c>
    </row>
    <row r="1888" ht="14.100000000000001" customHeight="1">
      <c r="B1888" s="20" t="s">
        <v>3923</v>
      </c>
      <c r="C1888" s="20" t="s">
        <v>3924</v>
      </c>
      <c r="D1888" s="20" t="s">
        <v>3923</v>
      </c>
      <c r="E1888" s="20" t="e">
        <f t="array" ref="E1888">INDEX(C:C,SMALL(IF(ISNUMBER(FIND(CELL("contents"),$C$2:$C$4852)),ROW($C$2:$C$4852),4^8),ROW(C1888)))&amp;""</f>
        <v>#N/A</v>
      </c>
    </row>
    <row r="1889" ht="14.100000000000001" customHeight="1">
      <c r="B1889" s="20" t="s">
        <v>3925</v>
      </c>
      <c r="C1889" s="20" t="s">
        <v>3926</v>
      </c>
      <c r="D1889" s="20" t="s">
        <v>3925</v>
      </c>
      <c r="E1889" s="20" t="e">
        <f t="array" ref="E1889">INDEX(C:C,SMALL(IF(ISNUMBER(FIND(CELL("contents"),$C$2:$C$4852)),ROW($C$2:$C$4852),4^8),ROW(C1889)))&amp;""</f>
        <v>#N/A</v>
      </c>
    </row>
    <row r="1890" ht="14.100000000000001" customHeight="1">
      <c r="B1890" s="20" t="s">
        <v>3927</v>
      </c>
      <c r="C1890" s="20" t="s">
        <v>3928</v>
      </c>
      <c r="D1890" s="20" t="s">
        <v>3927</v>
      </c>
      <c r="E1890" s="20" t="e">
        <f t="array" ref="E1890">INDEX(C:C,SMALL(IF(ISNUMBER(FIND(CELL("contents"),$C$2:$C$4852)),ROW($C$2:$C$4852),4^8),ROW(C1890)))&amp;""</f>
        <v>#N/A</v>
      </c>
    </row>
    <row r="1891" ht="14.100000000000001" customHeight="1">
      <c r="B1891" s="20" t="s">
        <v>3929</v>
      </c>
      <c r="C1891" s="20" t="s">
        <v>3930</v>
      </c>
      <c r="D1891" s="20" t="s">
        <v>3929</v>
      </c>
      <c r="E1891" s="20" t="e">
        <f t="array" ref="E1891">INDEX(C:C,SMALL(IF(ISNUMBER(FIND(CELL("contents"),$C$2:$C$4852)),ROW($C$2:$C$4852),4^8),ROW(C1891)))&amp;""</f>
        <v>#N/A</v>
      </c>
    </row>
    <row r="1892" ht="14.100000000000001" customHeight="1">
      <c r="B1892" s="20" t="s">
        <v>3931</v>
      </c>
      <c r="C1892" s="20" t="s">
        <v>3932</v>
      </c>
      <c r="D1892" s="20" t="s">
        <v>3931</v>
      </c>
      <c r="E1892" s="20" t="e">
        <f t="array" ref="E1892">INDEX(C:C,SMALL(IF(ISNUMBER(FIND(CELL("contents"),$C$2:$C$4852)),ROW($C$2:$C$4852),4^8),ROW(C1892)))&amp;""</f>
        <v>#N/A</v>
      </c>
    </row>
    <row r="1893" ht="14.100000000000001" customHeight="1">
      <c r="B1893" s="20" t="s">
        <v>3933</v>
      </c>
      <c r="C1893" s="20" t="s">
        <v>3934</v>
      </c>
      <c r="D1893" s="20" t="s">
        <v>3933</v>
      </c>
      <c r="E1893" s="20" t="e">
        <f t="array" ref="E1893">INDEX(C:C,SMALL(IF(ISNUMBER(FIND(CELL("contents"),$C$2:$C$4852)),ROW($C$2:$C$4852),4^8),ROW(C1893)))&amp;""</f>
        <v>#N/A</v>
      </c>
    </row>
    <row r="1894" ht="14.100000000000001" customHeight="1">
      <c r="B1894" s="20" t="s">
        <v>3935</v>
      </c>
      <c r="C1894" s="20" t="s">
        <v>3936</v>
      </c>
      <c r="D1894" s="20" t="s">
        <v>3935</v>
      </c>
      <c r="E1894" s="20" t="e">
        <f t="array" ref="E1894">INDEX(C:C,SMALL(IF(ISNUMBER(FIND(CELL("contents"),$C$2:$C$4852)),ROW($C$2:$C$4852),4^8),ROW(C1894)))&amp;""</f>
        <v>#N/A</v>
      </c>
    </row>
    <row r="1895" ht="14.100000000000001" customHeight="1">
      <c r="B1895" s="20" t="s">
        <v>3937</v>
      </c>
      <c r="C1895" s="20" t="s">
        <v>3938</v>
      </c>
      <c r="D1895" s="20" t="s">
        <v>3937</v>
      </c>
      <c r="E1895" s="20" t="e">
        <f t="array" ref="E1895">INDEX(C:C,SMALL(IF(ISNUMBER(FIND(CELL("contents"),$C$2:$C$4852)),ROW($C$2:$C$4852),4^8),ROW(C1895)))&amp;""</f>
        <v>#N/A</v>
      </c>
    </row>
    <row r="1896" ht="14.100000000000001" customHeight="1">
      <c r="B1896" s="20" t="s">
        <v>3939</v>
      </c>
      <c r="C1896" s="20" t="s">
        <v>3940</v>
      </c>
      <c r="D1896" s="20" t="s">
        <v>3939</v>
      </c>
      <c r="E1896" s="20" t="e">
        <f t="array" ref="E1896">INDEX(C:C,SMALL(IF(ISNUMBER(FIND(CELL("contents"),$C$2:$C$4852)),ROW($C$2:$C$4852),4^8),ROW(C1896)))&amp;""</f>
        <v>#N/A</v>
      </c>
    </row>
    <row r="1897" ht="14.100000000000001" customHeight="1">
      <c r="B1897" s="20" t="s">
        <v>3941</v>
      </c>
      <c r="C1897" s="20" t="s">
        <v>3942</v>
      </c>
      <c r="D1897" s="20" t="s">
        <v>3941</v>
      </c>
      <c r="E1897" s="20" t="e">
        <f t="array" ref="E1897">INDEX(C:C,SMALL(IF(ISNUMBER(FIND(CELL("contents"),$C$2:$C$4852)),ROW($C$2:$C$4852),4^8),ROW(C1897)))&amp;""</f>
        <v>#N/A</v>
      </c>
    </row>
    <row r="1898" ht="14.100000000000001" customHeight="1">
      <c r="B1898" s="20" t="s">
        <v>3943</v>
      </c>
      <c r="C1898" s="20" t="s">
        <v>3944</v>
      </c>
      <c r="D1898" s="20" t="s">
        <v>3943</v>
      </c>
      <c r="E1898" s="20" t="e">
        <f t="array" ref="E1898">INDEX(C:C,SMALL(IF(ISNUMBER(FIND(CELL("contents"),$C$2:$C$4852)),ROW($C$2:$C$4852),4^8),ROW(C1898)))&amp;""</f>
        <v>#N/A</v>
      </c>
    </row>
    <row r="1899" ht="14.100000000000001" customHeight="1">
      <c r="B1899" s="20" t="s">
        <v>3945</v>
      </c>
      <c r="C1899" s="20" t="s">
        <v>3946</v>
      </c>
      <c r="D1899" s="20" t="s">
        <v>3945</v>
      </c>
      <c r="E1899" s="20" t="e">
        <f t="array" ref="E1899">INDEX(C:C,SMALL(IF(ISNUMBER(FIND(CELL("contents"),$C$2:$C$4852)),ROW($C$2:$C$4852),4^8),ROW(C1899)))&amp;""</f>
        <v>#N/A</v>
      </c>
    </row>
    <row r="1900" ht="14.100000000000001" customHeight="1">
      <c r="B1900" s="20" t="s">
        <v>3947</v>
      </c>
      <c r="C1900" s="20" t="s">
        <v>3948</v>
      </c>
      <c r="D1900" s="20" t="s">
        <v>3947</v>
      </c>
      <c r="E1900" s="20" t="e">
        <f t="array" ref="E1900">INDEX(C:C,SMALL(IF(ISNUMBER(FIND(CELL("contents"),$C$2:$C$4852)),ROW($C$2:$C$4852),4^8),ROW(C1900)))&amp;""</f>
        <v>#N/A</v>
      </c>
    </row>
    <row r="1901" ht="14.100000000000001" customHeight="1">
      <c r="B1901" s="20" t="s">
        <v>3949</v>
      </c>
      <c r="C1901" s="20" t="s">
        <v>3950</v>
      </c>
      <c r="D1901" s="20" t="s">
        <v>3949</v>
      </c>
      <c r="E1901" s="20" t="e">
        <f t="array" ref="E1901">INDEX(C:C,SMALL(IF(ISNUMBER(FIND(CELL("contents"),$C$2:$C$4852)),ROW($C$2:$C$4852),4^8),ROW(C1901)))&amp;""</f>
        <v>#N/A</v>
      </c>
    </row>
    <row r="1902" ht="14.100000000000001" customHeight="1">
      <c r="B1902" s="20" t="s">
        <v>3951</v>
      </c>
      <c r="C1902" s="20" t="s">
        <v>3952</v>
      </c>
      <c r="D1902" s="20" t="s">
        <v>3951</v>
      </c>
      <c r="E1902" s="20" t="e">
        <f t="array" ref="E1902">INDEX(C:C,SMALL(IF(ISNUMBER(FIND(CELL("contents"),$C$2:$C$4852)),ROW($C$2:$C$4852),4^8),ROW(C1902)))&amp;""</f>
        <v>#N/A</v>
      </c>
    </row>
    <row r="1903" ht="14.100000000000001" customHeight="1">
      <c r="B1903" s="20" t="s">
        <v>3953</v>
      </c>
      <c r="C1903" s="20" t="s">
        <v>3954</v>
      </c>
      <c r="D1903" s="20" t="s">
        <v>3953</v>
      </c>
      <c r="E1903" s="20" t="e">
        <f t="array" ref="E1903">INDEX(C:C,SMALL(IF(ISNUMBER(FIND(CELL("contents"),$C$2:$C$4852)),ROW($C$2:$C$4852),4^8),ROW(C1903)))&amp;""</f>
        <v>#N/A</v>
      </c>
    </row>
    <row r="1904" ht="14.100000000000001" customHeight="1">
      <c r="B1904" s="20" t="s">
        <v>3955</v>
      </c>
      <c r="C1904" s="20" t="s">
        <v>3956</v>
      </c>
      <c r="D1904" s="20" t="s">
        <v>3955</v>
      </c>
      <c r="E1904" s="20" t="e">
        <f t="array" ref="E1904">INDEX(C:C,SMALL(IF(ISNUMBER(FIND(CELL("contents"),$C$2:$C$4852)),ROW($C$2:$C$4852),4^8),ROW(C1904)))&amp;""</f>
        <v>#N/A</v>
      </c>
    </row>
    <row r="1905" ht="14.100000000000001" customHeight="1">
      <c r="B1905" s="20" t="s">
        <v>3957</v>
      </c>
      <c r="C1905" s="20" t="s">
        <v>3958</v>
      </c>
      <c r="D1905" s="20" t="s">
        <v>3957</v>
      </c>
      <c r="E1905" s="20" t="e">
        <f t="array" ref="E1905">INDEX(C:C,SMALL(IF(ISNUMBER(FIND(CELL("contents"),$C$2:$C$4852)),ROW($C$2:$C$4852),4^8),ROW(C1905)))&amp;""</f>
        <v>#N/A</v>
      </c>
    </row>
    <row r="1906" ht="14.100000000000001" customHeight="1">
      <c r="B1906" s="20" t="s">
        <v>3959</v>
      </c>
      <c r="C1906" s="20" t="s">
        <v>3960</v>
      </c>
      <c r="D1906" s="20" t="s">
        <v>3959</v>
      </c>
      <c r="E1906" s="20" t="e">
        <f t="array" ref="E1906">INDEX(C:C,SMALL(IF(ISNUMBER(FIND(CELL("contents"),$C$2:$C$4852)),ROW($C$2:$C$4852),4^8),ROW(C1906)))&amp;""</f>
        <v>#N/A</v>
      </c>
    </row>
    <row r="1907" ht="14.100000000000001" customHeight="1">
      <c r="B1907" s="20" t="s">
        <v>3961</v>
      </c>
      <c r="C1907" s="20" t="s">
        <v>3962</v>
      </c>
      <c r="D1907" s="20" t="s">
        <v>3961</v>
      </c>
      <c r="E1907" s="20" t="e">
        <f t="array" ref="E1907">INDEX(C:C,SMALL(IF(ISNUMBER(FIND(CELL("contents"),$C$2:$C$4852)),ROW($C$2:$C$4852),4^8),ROW(C1907)))&amp;""</f>
        <v>#N/A</v>
      </c>
    </row>
    <row r="1908" ht="14.100000000000001" customHeight="1">
      <c r="B1908" s="20" t="s">
        <v>3963</v>
      </c>
      <c r="C1908" s="20" t="s">
        <v>3964</v>
      </c>
      <c r="D1908" s="20" t="s">
        <v>3963</v>
      </c>
      <c r="E1908" s="20" t="e">
        <f t="array" ref="E1908">INDEX(C:C,SMALL(IF(ISNUMBER(FIND(CELL("contents"),$C$2:$C$4852)),ROW($C$2:$C$4852),4^8),ROW(C1908)))&amp;""</f>
        <v>#N/A</v>
      </c>
    </row>
    <row r="1909" ht="14.100000000000001" customHeight="1">
      <c r="B1909" s="20" t="s">
        <v>3965</v>
      </c>
      <c r="C1909" s="20" t="s">
        <v>3966</v>
      </c>
      <c r="D1909" s="20" t="s">
        <v>3965</v>
      </c>
      <c r="E1909" s="20" t="e">
        <f t="array" ref="E1909">INDEX(C:C,SMALL(IF(ISNUMBER(FIND(CELL("contents"),$C$2:$C$4852)),ROW($C$2:$C$4852),4^8),ROW(C1909)))&amp;""</f>
        <v>#N/A</v>
      </c>
    </row>
    <row r="1910" ht="14.100000000000001" customHeight="1">
      <c r="B1910" s="20" t="s">
        <v>3967</v>
      </c>
      <c r="C1910" s="20" t="s">
        <v>3968</v>
      </c>
      <c r="D1910" s="20" t="s">
        <v>3967</v>
      </c>
      <c r="E1910" s="20" t="e">
        <f t="array" ref="E1910">INDEX(C:C,SMALL(IF(ISNUMBER(FIND(CELL("contents"),$C$2:$C$4852)),ROW($C$2:$C$4852),4^8),ROW(C1910)))&amp;""</f>
        <v>#N/A</v>
      </c>
    </row>
    <row r="1911" ht="14.100000000000001" customHeight="1">
      <c r="B1911" s="20" t="s">
        <v>3969</v>
      </c>
      <c r="C1911" s="20" t="s">
        <v>3970</v>
      </c>
      <c r="D1911" s="20" t="s">
        <v>3969</v>
      </c>
      <c r="E1911" s="20" t="e">
        <f t="array" ref="E1911">INDEX(C:C,SMALL(IF(ISNUMBER(FIND(CELL("contents"),$C$2:$C$4852)),ROW($C$2:$C$4852),4^8),ROW(C1911)))&amp;""</f>
        <v>#N/A</v>
      </c>
    </row>
    <row r="1912" ht="14.100000000000001" customHeight="1">
      <c r="B1912" s="20" t="s">
        <v>3971</v>
      </c>
      <c r="C1912" s="20" t="s">
        <v>3972</v>
      </c>
      <c r="D1912" s="20" t="s">
        <v>3971</v>
      </c>
      <c r="E1912" s="20" t="e">
        <f t="array" ref="E1912">INDEX(C:C,SMALL(IF(ISNUMBER(FIND(CELL("contents"),$C$2:$C$4852)),ROW($C$2:$C$4852),4^8),ROW(C1912)))&amp;""</f>
        <v>#N/A</v>
      </c>
    </row>
    <row r="1913" ht="14.100000000000001" customHeight="1">
      <c r="B1913" s="20" t="s">
        <v>3973</v>
      </c>
      <c r="C1913" s="20" t="s">
        <v>3974</v>
      </c>
      <c r="D1913" s="20" t="s">
        <v>3973</v>
      </c>
      <c r="E1913" s="20" t="e">
        <f t="array" ref="E1913">INDEX(C:C,SMALL(IF(ISNUMBER(FIND(CELL("contents"),$C$2:$C$4852)),ROW($C$2:$C$4852),4^8),ROW(C1913)))&amp;""</f>
        <v>#N/A</v>
      </c>
    </row>
    <row r="1914" ht="14.100000000000001" customHeight="1">
      <c r="B1914" s="20" t="s">
        <v>3975</v>
      </c>
      <c r="C1914" s="20" t="s">
        <v>3976</v>
      </c>
      <c r="D1914" s="20" t="s">
        <v>3975</v>
      </c>
      <c r="E1914" s="20" t="e">
        <f t="array" ref="E1914">INDEX(C:C,SMALL(IF(ISNUMBER(FIND(CELL("contents"),$C$2:$C$4852)),ROW($C$2:$C$4852),4^8),ROW(C1914)))&amp;""</f>
        <v>#N/A</v>
      </c>
    </row>
    <row r="1915" ht="14.100000000000001" customHeight="1">
      <c r="B1915" s="20" t="s">
        <v>3977</v>
      </c>
      <c r="C1915" s="20" t="s">
        <v>3978</v>
      </c>
      <c r="D1915" s="20" t="s">
        <v>3977</v>
      </c>
      <c r="E1915" s="20" t="e">
        <f t="array" ref="E1915">INDEX(C:C,SMALL(IF(ISNUMBER(FIND(CELL("contents"),$C$2:$C$4852)),ROW($C$2:$C$4852),4^8),ROW(C1915)))&amp;""</f>
        <v>#N/A</v>
      </c>
    </row>
    <row r="1916" ht="14.100000000000001" customHeight="1">
      <c r="B1916" s="20" t="s">
        <v>3979</v>
      </c>
      <c r="C1916" s="20" t="s">
        <v>3980</v>
      </c>
      <c r="D1916" s="20" t="s">
        <v>3979</v>
      </c>
      <c r="E1916" s="20" t="e">
        <f t="array" ref="E1916">INDEX(C:C,SMALL(IF(ISNUMBER(FIND(CELL("contents"),$C$2:$C$4852)),ROW($C$2:$C$4852),4^8),ROW(C1916)))&amp;""</f>
        <v>#N/A</v>
      </c>
    </row>
    <row r="1917" ht="14.100000000000001" customHeight="1">
      <c r="B1917" s="20" t="s">
        <v>3981</v>
      </c>
      <c r="C1917" s="20" t="s">
        <v>3982</v>
      </c>
      <c r="D1917" s="20" t="s">
        <v>3981</v>
      </c>
      <c r="E1917" s="20" t="e">
        <f t="array" ref="E1917">INDEX(C:C,SMALL(IF(ISNUMBER(FIND(CELL("contents"),$C$2:$C$4852)),ROW($C$2:$C$4852),4^8),ROW(C1917)))&amp;""</f>
        <v>#N/A</v>
      </c>
    </row>
    <row r="1918" ht="14.100000000000001" customHeight="1">
      <c r="B1918" s="20" t="s">
        <v>3983</v>
      </c>
      <c r="C1918" s="20" t="s">
        <v>3984</v>
      </c>
      <c r="D1918" s="20" t="s">
        <v>3983</v>
      </c>
      <c r="E1918" s="20" t="e">
        <f t="array" ref="E1918">INDEX(C:C,SMALL(IF(ISNUMBER(FIND(CELL("contents"),$C$2:$C$4852)),ROW($C$2:$C$4852),4^8),ROW(C1918)))&amp;""</f>
        <v>#N/A</v>
      </c>
    </row>
    <row r="1919" ht="14.100000000000001" customHeight="1">
      <c r="B1919" s="20" t="s">
        <v>3985</v>
      </c>
      <c r="C1919" s="20" t="s">
        <v>3986</v>
      </c>
      <c r="D1919" s="20" t="s">
        <v>3985</v>
      </c>
      <c r="E1919" s="20" t="e">
        <f t="array" ref="E1919">INDEX(C:C,SMALL(IF(ISNUMBER(FIND(CELL("contents"),$C$2:$C$4852)),ROW($C$2:$C$4852),4^8),ROW(C1919)))&amp;""</f>
        <v>#N/A</v>
      </c>
    </row>
    <row r="1920" ht="14.100000000000001" customHeight="1">
      <c r="B1920" s="20" t="s">
        <v>3987</v>
      </c>
      <c r="C1920" s="20" t="s">
        <v>3988</v>
      </c>
      <c r="D1920" s="20" t="s">
        <v>3987</v>
      </c>
      <c r="E1920" s="20" t="e">
        <f t="array" ref="E1920">INDEX(C:C,SMALL(IF(ISNUMBER(FIND(CELL("contents"),$C$2:$C$4852)),ROW($C$2:$C$4852),4^8),ROW(C1920)))&amp;""</f>
        <v>#N/A</v>
      </c>
    </row>
    <row r="1921" ht="14.100000000000001" customHeight="1">
      <c r="B1921" s="20" t="s">
        <v>3989</v>
      </c>
      <c r="C1921" s="20" t="s">
        <v>3990</v>
      </c>
      <c r="D1921" s="20" t="s">
        <v>3989</v>
      </c>
      <c r="E1921" s="20" t="e">
        <f t="array" ref="E1921">INDEX(C:C,SMALL(IF(ISNUMBER(FIND(CELL("contents"),$C$2:$C$4852)),ROW($C$2:$C$4852),4^8),ROW(C1921)))&amp;""</f>
        <v>#N/A</v>
      </c>
    </row>
    <row r="1922" ht="14.100000000000001" customHeight="1">
      <c r="B1922" s="20" t="s">
        <v>3991</v>
      </c>
      <c r="C1922" s="20" t="s">
        <v>3992</v>
      </c>
      <c r="D1922" s="20" t="s">
        <v>3991</v>
      </c>
      <c r="E1922" s="20" t="e">
        <f t="array" ref="E1922">INDEX(C:C,SMALL(IF(ISNUMBER(FIND(CELL("contents"),$C$2:$C$4852)),ROW($C$2:$C$4852),4^8),ROW(C1922)))&amp;""</f>
        <v>#N/A</v>
      </c>
    </row>
    <row r="1923" ht="14.100000000000001" customHeight="1">
      <c r="B1923" s="20" t="s">
        <v>3993</v>
      </c>
      <c r="C1923" s="20" t="s">
        <v>3994</v>
      </c>
      <c r="D1923" s="20" t="s">
        <v>3993</v>
      </c>
      <c r="E1923" s="20" t="e">
        <f t="array" ref="E1923">INDEX(C:C,SMALL(IF(ISNUMBER(FIND(CELL("contents"),$C$2:$C$4852)),ROW($C$2:$C$4852),4^8),ROW(C1923)))&amp;""</f>
        <v>#N/A</v>
      </c>
    </row>
    <row r="1924" ht="14.100000000000001" customHeight="1">
      <c r="B1924" s="20" t="s">
        <v>3995</v>
      </c>
      <c r="C1924" s="20" t="s">
        <v>3996</v>
      </c>
      <c r="D1924" s="20" t="s">
        <v>3995</v>
      </c>
      <c r="E1924" s="20" t="e">
        <f t="array" ref="E1924">INDEX(C:C,SMALL(IF(ISNUMBER(FIND(CELL("contents"),$C$2:$C$4852)),ROW($C$2:$C$4852),4^8),ROW(C1924)))&amp;""</f>
        <v>#N/A</v>
      </c>
    </row>
    <row r="1925" ht="14.100000000000001" customHeight="1">
      <c r="B1925" s="20" t="s">
        <v>3997</v>
      </c>
      <c r="C1925" s="20" t="s">
        <v>3998</v>
      </c>
      <c r="D1925" s="20" t="s">
        <v>3997</v>
      </c>
      <c r="E1925" s="20" t="e">
        <f t="array" ref="E1925">INDEX(C:C,SMALL(IF(ISNUMBER(FIND(CELL("contents"),$C$2:$C$4852)),ROW($C$2:$C$4852),4^8),ROW(C1925)))&amp;""</f>
        <v>#N/A</v>
      </c>
    </row>
    <row r="1926" ht="14.100000000000001" customHeight="1">
      <c r="B1926" s="20" t="s">
        <v>3999</v>
      </c>
      <c r="C1926" s="20" t="s">
        <v>4000</v>
      </c>
      <c r="D1926" s="20" t="s">
        <v>3999</v>
      </c>
      <c r="E1926" s="20" t="e">
        <f t="array" ref="E1926">INDEX(C:C,SMALL(IF(ISNUMBER(FIND(CELL("contents"),$C$2:$C$4852)),ROW($C$2:$C$4852),4^8),ROW(C1926)))&amp;""</f>
        <v>#N/A</v>
      </c>
    </row>
    <row r="1927" ht="14.100000000000001" customHeight="1">
      <c r="B1927" s="20" t="s">
        <v>4001</v>
      </c>
      <c r="C1927" s="20" t="s">
        <v>4002</v>
      </c>
      <c r="D1927" s="20" t="s">
        <v>4001</v>
      </c>
      <c r="E1927" s="20" t="e">
        <f t="array" ref="E1927">INDEX(C:C,SMALL(IF(ISNUMBER(FIND(CELL("contents"),$C$2:$C$4852)),ROW($C$2:$C$4852),4^8),ROW(C1927)))&amp;""</f>
        <v>#N/A</v>
      </c>
    </row>
    <row r="1928" ht="14.100000000000001" customHeight="1">
      <c r="B1928" s="20" t="s">
        <v>4003</v>
      </c>
      <c r="C1928" s="20" t="s">
        <v>4004</v>
      </c>
      <c r="D1928" s="20" t="s">
        <v>4003</v>
      </c>
      <c r="E1928" s="20" t="e">
        <f t="array" ref="E1928">INDEX(C:C,SMALL(IF(ISNUMBER(FIND(CELL("contents"),$C$2:$C$4852)),ROW($C$2:$C$4852),4^8),ROW(C1928)))&amp;""</f>
        <v>#N/A</v>
      </c>
    </row>
    <row r="1929" ht="14.100000000000001" customHeight="1">
      <c r="B1929" s="20" t="s">
        <v>4005</v>
      </c>
      <c r="C1929" s="20" t="s">
        <v>4006</v>
      </c>
      <c r="D1929" s="20" t="s">
        <v>4005</v>
      </c>
      <c r="E1929" s="20" t="e">
        <f t="array" ref="E1929">INDEX(C:C,SMALL(IF(ISNUMBER(FIND(CELL("contents"),$C$2:$C$4852)),ROW($C$2:$C$4852),4^8),ROW(C1929)))&amp;""</f>
        <v>#N/A</v>
      </c>
    </row>
    <row r="1930" ht="14.100000000000001" customHeight="1">
      <c r="B1930" s="20" t="s">
        <v>4007</v>
      </c>
      <c r="C1930" s="20" t="s">
        <v>4008</v>
      </c>
      <c r="D1930" s="20" t="s">
        <v>4007</v>
      </c>
      <c r="E1930" s="20" t="e">
        <f t="array" ref="E1930">INDEX(C:C,SMALL(IF(ISNUMBER(FIND(CELL("contents"),$C$2:$C$4852)),ROW($C$2:$C$4852),4^8),ROW(C1930)))&amp;""</f>
        <v>#N/A</v>
      </c>
    </row>
    <row r="1931" ht="14.100000000000001" customHeight="1">
      <c r="B1931" s="20" t="s">
        <v>4009</v>
      </c>
      <c r="C1931" s="20" t="s">
        <v>4010</v>
      </c>
      <c r="D1931" s="20" t="s">
        <v>4009</v>
      </c>
      <c r="E1931" s="20" t="e">
        <f t="array" ref="E1931">INDEX(C:C,SMALL(IF(ISNUMBER(FIND(CELL("contents"),$C$2:$C$4852)),ROW($C$2:$C$4852),4^8),ROW(C1931)))&amp;""</f>
        <v>#N/A</v>
      </c>
    </row>
    <row r="1932" ht="14.100000000000001" customHeight="1">
      <c r="B1932" s="20" t="s">
        <v>4011</v>
      </c>
      <c r="C1932" s="20" t="s">
        <v>4012</v>
      </c>
      <c r="D1932" s="20" t="s">
        <v>4011</v>
      </c>
      <c r="E1932" s="20" t="e">
        <f t="array" ref="E1932">INDEX(C:C,SMALL(IF(ISNUMBER(FIND(CELL("contents"),$C$2:$C$4852)),ROW($C$2:$C$4852),4^8),ROW(C1932)))&amp;""</f>
        <v>#N/A</v>
      </c>
    </row>
    <row r="1933" ht="14.100000000000001" customHeight="1">
      <c r="B1933" s="20" t="s">
        <v>4013</v>
      </c>
      <c r="C1933" s="20" t="s">
        <v>4014</v>
      </c>
      <c r="D1933" s="20" t="s">
        <v>4013</v>
      </c>
      <c r="E1933" s="20" t="e">
        <f t="array" ref="E1933">INDEX(C:C,SMALL(IF(ISNUMBER(FIND(CELL("contents"),$C$2:$C$4852)),ROW($C$2:$C$4852),4^8),ROW(C1933)))&amp;""</f>
        <v>#N/A</v>
      </c>
    </row>
    <row r="1934" ht="14.100000000000001" customHeight="1">
      <c r="B1934" s="20" t="s">
        <v>4015</v>
      </c>
      <c r="C1934" s="20" t="s">
        <v>4016</v>
      </c>
      <c r="D1934" s="20" t="s">
        <v>4015</v>
      </c>
      <c r="E1934" s="20" t="e">
        <f t="array" ref="E1934">INDEX(C:C,SMALL(IF(ISNUMBER(FIND(CELL("contents"),$C$2:$C$4852)),ROW($C$2:$C$4852),4^8),ROW(C1934)))&amp;""</f>
        <v>#N/A</v>
      </c>
    </row>
    <row r="1935" ht="14.100000000000001" customHeight="1">
      <c r="B1935" s="20" t="s">
        <v>4017</v>
      </c>
      <c r="C1935" s="20" t="s">
        <v>4018</v>
      </c>
      <c r="D1935" s="20" t="s">
        <v>4017</v>
      </c>
      <c r="E1935" s="20" t="e">
        <f t="array" ref="E1935">INDEX(C:C,SMALL(IF(ISNUMBER(FIND(CELL("contents"),$C$2:$C$4852)),ROW($C$2:$C$4852),4^8),ROW(C1935)))&amp;""</f>
        <v>#N/A</v>
      </c>
    </row>
    <row r="1936" ht="14.100000000000001" customHeight="1">
      <c r="B1936" s="20" t="s">
        <v>4019</v>
      </c>
      <c r="C1936" s="20" t="s">
        <v>4020</v>
      </c>
      <c r="D1936" s="20" t="s">
        <v>4019</v>
      </c>
      <c r="E1936" s="20" t="e">
        <f t="array" ref="E1936">INDEX(C:C,SMALL(IF(ISNUMBER(FIND(CELL("contents"),$C$2:$C$4852)),ROW($C$2:$C$4852),4^8),ROW(C1936)))&amp;""</f>
        <v>#N/A</v>
      </c>
    </row>
    <row r="1937" ht="14.100000000000001" customHeight="1">
      <c r="B1937" s="20" t="s">
        <v>4021</v>
      </c>
      <c r="C1937" s="20" t="s">
        <v>4022</v>
      </c>
      <c r="D1937" s="20" t="s">
        <v>4021</v>
      </c>
      <c r="E1937" s="20" t="e">
        <f t="array" ref="E1937">INDEX(C:C,SMALL(IF(ISNUMBER(FIND(CELL("contents"),$C$2:$C$4852)),ROW($C$2:$C$4852),4^8),ROW(C1937)))&amp;""</f>
        <v>#N/A</v>
      </c>
    </row>
    <row r="1938" ht="14.100000000000001" customHeight="1">
      <c r="B1938" s="20" t="s">
        <v>4023</v>
      </c>
      <c r="C1938" s="20" t="s">
        <v>4024</v>
      </c>
      <c r="D1938" s="20" t="s">
        <v>4023</v>
      </c>
      <c r="E1938" s="20" t="e">
        <f t="array" ref="E1938">INDEX(C:C,SMALL(IF(ISNUMBER(FIND(CELL("contents"),$C$2:$C$4852)),ROW($C$2:$C$4852),4^8),ROW(C1938)))&amp;""</f>
        <v>#N/A</v>
      </c>
    </row>
    <row r="1939" ht="14.100000000000001" customHeight="1">
      <c r="B1939" s="20" t="s">
        <v>4025</v>
      </c>
      <c r="C1939" s="20" t="s">
        <v>4026</v>
      </c>
      <c r="D1939" s="20" t="s">
        <v>4025</v>
      </c>
      <c r="E1939" s="20" t="e">
        <f t="array" ref="E1939">INDEX(C:C,SMALL(IF(ISNUMBER(FIND(CELL("contents"),$C$2:$C$4852)),ROW($C$2:$C$4852),4^8),ROW(C1939)))&amp;""</f>
        <v>#N/A</v>
      </c>
    </row>
    <row r="1940" ht="14.100000000000001" customHeight="1">
      <c r="B1940" s="20" t="s">
        <v>4027</v>
      </c>
      <c r="C1940" s="20" t="s">
        <v>4028</v>
      </c>
      <c r="D1940" s="20" t="s">
        <v>4027</v>
      </c>
      <c r="E1940" s="20" t="e">
        <f t="array" ref="E1940">INDEX(C:C,SMALL(IF(ISNUMBER(FIND(CELL("contents"),$C$2:$C$4852)),ROW($C$2:$C$4852),4^8),ROW(C1940)))&amp;""</f>
        <v>#N/A</v>
      </c>
    </row>
    <row r="1941" ht="14.100000000000001" customHeight="1">
      <c r="B1941" s="20" t="s">
        <v>4029</v>
      </c>
      <c r="C1941" s="20" t="s">
        <v>4030</v>
      </c>
      <c r="D1941" s="20" t="s">
        <v>4029</v>
      </c>
      <c r="E1941" s="20" t="e">
        <f t="array" ref="E1941">INDEX(C:C,SMALL(IF(ISNUMBER(FIND(CELL("contents"),$C$2:$C$4852)),ROW($C$2:$C$4852),4^8),ROW(C1941)))&amp;""</f>
        <v>#N/A</v>
      </c>
    </row>
    <row r="1942" ht="14.100000000000001" customHeight="1">
      <c r="B1942" s="20" t="s">
        <v>4031</v>
      </c>
      <c r="C1942" s="20" t="s">
        <v>4032</v>
      </c>
      <c r="D1942" s="20" t="s">
        <v>4031</v>
      </c>
      <c r="E1942" s="20" t="e">
        <f t="array" ref="E1942">INDEX(C:C,SMALL(IF(ISNUMBER(FIND(CELL("contents"),$C$2:$C$4852)),ROW($C$2:$C$4852),4^8),ROW(C1942)))&amp;""</f>
        <v>#N/A</v>
      </c>
    </row>
    <row r="1943" ht="14.100000000000001" customHeight="1">
      <c r="B1943" s="20" t="s">
        <v>4033</v>
      </c>
      <c r="C1943" s="20" t="s">
        <v>4034</v>
      </c>
      <c r="D1943" s="20" t="s">
        <v>4033</v>
      </c>
      <c r="E1943" s="20" t="e">
        <f t="array" ref="E1943">INDEX(C:C,SMALL(IF(ISNUMBER(FIND(CELL("contents"),$C$2:$C$4852)),ROW($C$2:$C$4852),4^8),ROW(C1943)))&amp;""</f>
        <v>#N/A</v>
      </c>
    </row>
    <row r="1944" ht="14.100000000000001" customHeight="1">
      <c r="B1944" s="20" t="s">
        <v>4035</v>
      </c>
      <c r="C1944" s="20" t="s">
        <v>4036</v>
      </c>
      <c r="D1944" s="20" t="s">
        <v>4035</v>
      </c>
      <c r="E1944" s="20" t="e">
        <f t="array" ref="E1944">INDEX(C:C,SMALL(IF(ISNUMBER(FIND(CELL("contents"),$C$2:$C$4852)),ROW($C$2:$C$4852),4^8),ROW(C1944)))&amp;""</f>
        <v>#N/A</v>
      </c>
    </row>
    <row r="1945" ht="14.100000000000001" customHeight="1">
      <c r="B1945" s="20" t="s">
        <v>4037</v>
      </c>
      <c r="C1945" s="20" t="s">
        <v>4038</v>
      </c>
      <c r="D1945" s="20" t="s">
        <v>4037</v>
      </c>
      <c r="E1945" s="20" t="e">
        <f t="array" ref="E1945">INDEX(C:C,SMALL(IF(ISNUMBER(FIND(CELL("contents"),$C$2:$C$4852)),ROW($C$2:$C$4852),4^8),ROW(C1945)))&amp;""</f>
        <v>#N/A</v>
      </c>
    </row>
    <row r="1946" ht="14.100000000000001" customHeight="1">
      <c r="B1946" s="20" t="s">
        <v>4039</v>
      </c>
      <c r="C1946" s="20" t="s">
        <v>4040</v>
      </c>
      <c r="D1946" s="20" t="s">
        <v>4039</v>
      </c>
      <c r="E1946" s="20" t="e">
        <f t="array" ref="E1946">INDEX(C:C,SMALL(IF(ISNUMBER(FIND(CELL("contents"),$C$2:$C$4852)),ROW($C$2:$C$4852),4^8),ROW(C1946)))&amp;""</f>
        <v>#N/A</v>
      </c>
    </row>
    <row r="1947" ht="14.100000000000001" customHeight="1">
      <c r="B1947" s="20" t="s">
        <v>4041</v>
      </c>
      <c r="C1947" s="20" t="s">
        <v>4042</v>
      </c>
      <c r="D1947" s="20" t="s">
        <v>4041</v>
      </c>
      <c r="E1947" s="20" t="e">
        <f t="array" ref="E1947">INDEX(C:C,SMALL(IF(ISNUMBER(FIND(CELL("contents"),$C$2:$C$4852)),ROW($C$2:$C$4852),4^8),ROW(C1947)))&amp;""</f>
        <v>#N/A</v>
      </c>
    </row>
    <row r="1948" ht="14.100000000000001" customHeight="1">
      <c r="B1948" s="20" t="s">
        <v>4043</v>
      </c>
      <c r="C1948" s="20" t="s">
        <v>4044</v>
      </c>
      <c r="D1948" s="20" t="s">
        <v>4043</v>
      </c>
      <c r="E1948" s="20" t="e">
        <f t="array" ref="E1948">INDEX(C:C,SMALL(IF(ISNUMBER(FIND(CELL("contents"),$C$2:$C$4852)),ROW($C$2:$C$4852),4^8),ROW(C1948)))&amp;""</f>
        <v>#N/A</v>
      </c>
    </row>
    <row r="1949" ht="14.100000000000001" customHeight="1">
      <c r="B1949" s="20" t="s">
        <v>4045</v>
      </c>
      <c r="C1949" s="20" t="s">
        <v>4046</v>
      </c>
      <c r="D1949" s="20" t="s">
        <v>4045</v>
      </c>
      <c r="E1949" s="20" t="e">
        <f t="array" ref="E1949">INDEX(C:C,SMALL(IF(ISNUMBER(FIND(CELL("contents"),$C$2:$C$4852)),ROW($C$2:$C$4852),4^8),ROW(C1949)))&amp;""</f>
        <v>#N/A</v>
      </c>
    </row>
    <row r="1950" ht="14.100000000000001" customHeight="1">
      <c r="B1950" s="20" t="s">
        <v>4047</v>
      </c>
      <c r="C1950" s="20" t="s">
        <v>4048</v>
      </c>
      <c r="D1950" s="20" t="s">
        <v>4047</v>
      </c>
      <c r="E1950" s="20" t="e">
        <f t="array" ref="E1950">INDEX(C:C,SMALL(IF(ISNUMBER(FIND(CELL("contents"),$C$2:$C$4852)),ROW($C$2:$C$4852),4^8),ROW(C1950)))&amp;""</f>
        <v>#N/A</v>
      </c>
    </row>
    <row r="1951" ht="14.100000000000001" customHeight="1">
      <c r="B1951" s="20" t="s">
        <v>4049</v>
      </c>
      <c r="C1951" s="20" t="s">
        <v>4050</v>
      </c>
      <c r="D1951" s="20" t="s">
        <v>4049</v>
      </c>
      <c r="E1951" s="20" t="e">
        <f t="array" ref="E1951">INDEX(C:C,SMALL(IF(ISNUMBER(FIND(CELL("contents"),$C$2:$C$4852)),ROW($C$2:$C$4852),4^8),ROW(C1951)))&amp;""</f>
        <v>#N/A</v>
      </c>
    </row>
    <row r="1952" ht="14.100000000000001" customHeight="1">
      <c r="B1952" s="20" t="s">
        <v>4051</v>
      </c>
      <c r="C1952" s="20" t="s">
        <v>4052</v>
      </c>
      <c r="D1952" s="20" t="s">
        <v>4051</v>
      </c>
      <c r="E1952" s="20" t="e">
        <f t="array" ref="E1952">INDEX(C:C,SMALL(IF(ISNUMBER(FIND(CELL("contents"),$C$2:$C$4852)),ROW($C$2:$C$4852),4^8),ROW(C1952)))&amp;""</f>
        <v>#N/A</v>
      </c>
    </row>
    <row r="1953" ht="14.100000000000001" customHeight="1">
      <c r="B1953" s="20" t="s">
        <v>4053</v>
      </c>
      <c r="C1953" s="20" t="s">
        <v>4054</v>
      </c>
      <c r="D1953" s="20" t="s">
        <v>4053</v>
      </c>
      <c r="E1953" s="20" t="e">
        <f t="array" ref="E1953">INDEX(C:C,SMALL(IF(ISNUMBER(FIND(CELL("contents"),$C$2:$C$4852)),ROW($C$2:$C$4852),4^8),ROW(C1953)))&amp;""</f>
        <v>#N/A</v>
      </c>
    </row>
    <row r="1954" ht="14.100000000000001" customHeight="1">
      <c r="B1954" s="20" t="s">
        <v>4055</v>
      </c>
      <c r="C1954" s="20" t="s">
        <v>4056</v>
      </c>
      <c r="D1954" s="20" t="s">
        <v>4055</v>
      </c>
      <c r="E1954" s="20" t="e">
        <f t="array" ref="E1954">INDEX(C:C,SMALL(IF(ISNUMBER(FIND(CELL("contents"),$C$2:$C$4852)),ROW($C$2:$C$4852),4^8),ROW(C1954)))&amp;""</f>
        <v>#N/A</v>
      </c>
    </row>
    <row r="1955" ht="14.100000000000001" customHeight="1">
      <c r="B1955" s="20" t="s">
        <v>4057</v>
      </c>
      <c r="C1955" s="20" t="s">
        <v>4058</v>
      </c>
      <c r="D1955" s="20" t="s">
        <v>4057</v>
      </c>
      <c r="E1955" s="20" t="e">
        <f t="array" ref="E1955">INDEX(C:C,SMALL(IF(ISNUMBER(FIND(CELL("contents"),$C$2:$C$4852)),ROW($C$2:$C$4852),4^8),ROW(C1955)))&amp;""</f>
        <v>#N/A</v>
      </c>
    </row>
    <row r="1956" ht="14.100000000000001" customHeight="1">
      <c r="B1956" s="20" t="s">
        <v>4059</v>
      </c>
      <c r="C1956" s="20" t="s">
        <v>4060</v>
      </c>
      <c r="D1956" s="20" t="s">
        <v>4059</v>
      </c>
      <c r="E1956" s="20" t="e">
        <f t="array" ref="E1956">INDEX(C:C,SMALL(IF(ISNUMBER(FIND(CELL("contents"),$C$2:$C$4852)),ROW($C$2:$C$4852),4^8),ROW(C1956)))&amp;""</f>
        <v>#N/A</v>
      </c>
    </row>
    <row r="1957" ht="14.100000000000001" customHeight="1">
      <c r="B1957" s="20" t="s">
        <v>4061</v>
      </c>
      <c r="C1957" s="20" t="s">
        <v>4062</v>
      </c>
      <c r="D1957" s="20" t="s">
        <v>4061</v>
      </c>
      <c r="E1957" s="20" t="e">
        <f t="array" ref="E1957">INDEX(C:C,SMALL(IF(ISNUMBER(FIND(CELL("contents"),$C$2:$C$4852)),ROW($C$2:$C$4852),4^8),ROW(C1957)))&amp;""</f>
        <v>#N/A</v>
      </c>
    </row>
    <row r="1958" ht="14.100000000000001" customHeight="1">
      <c r="B1958" s="20" t="s">
        <v>4063</v>
      </c>
      <c r="C1958" s="20" t="s">
        <v>4064</v>
      </c>
      <c r="D1958" s="20" t="s">
        <v>4063</v>
      </c>
      <c r="E1958" s="20" t="e">
        <f t="array" ref="E1958">INDEX(C:C,SMALL(IF(ISNUMBER(FIND(CELL("contents"),$C$2:$C$4852)),ROW($C$2:$C$4852),4^8),ROW(C1958)))&amp;""</f>
        <v>#N/A</v>
      </c>
    </row>
    <row r="1959" ht="14.100000000000001" customHeight="1">
      <c r="B1959" s="20" t="s">
        <v>4065</v>
      </c>
      <c r="C1959" s="20" t="s">
        <v>4066</v>
      </c>
      <c r="D1959" s="20" t="s">
        <v>4065</v>
      </c>
      <c r="E1959" s="20" t="e">
        <f t="array" ref="E1959">INDEX(C:C,SMALL(IF(ISNUMBER(FIND(CELL("contents"),$C$2:$C$4852)),ROW($C$2:$C$4852),4^8),ROW(C1959)))&amp;""</f>
        <v>#N/A</v>
      </c>
    </row>
    <row r="1960" ht="14.100000000000001" customHeight="1">
      <c r="B1960" s="20" t="s">
        <v>4067</v>
      </c>
      <c r="C1960" s="20" t="s">
        <v>4068</v>
      </c>
      <c r="D1960" s="20" t="s">
        <v>4067</v>
      </c>
      <c r="E1960" s="20" t="e">
        <f t="array" ref="E1960">INDEX(C:C,SMALL(IF(ISNUMBER(FIND(CELL("contents"),$C$2:$C$4852)),ROW($C$2:$C$4852),4^8),ROW(C1960)))&amp;""</f>
        <v>#N/A</v>
      </c>
    </row>
    <row r="1961" ht="14.100000000000001" customHeight="1">
      <c r="B1961" s="20" t="s">
        <v>4069</v>
      </c>
      <c r="C1961" s="20" t="s">
        <v>4070</v>
      </c>
      <c r="D1961" s="20" t="s">
        <v>4069</v>
      </c>
      <c r="E1961" s="20" t="e">
        <f t="array" ref="E1961">INDEX(C:C,SMALL(IF(ISNUMBER(FIND(CELL("contents"),$C$2:$C$4852)),ROW($C$2:$C$4852),4^8),ROW(C1961)))&amp;""</f>
        <v>#N/A</v>
      </c>
    </row>
    <row r="1962" ht="14.100000000000001" customHeight="1">
      <c r="B1962" s="20" t="s">
        <v>4071</v>
      </c>
      <c r="C1962" s="20" t="s">
        <v>4072</v>
      </c>
      <c r="D1962" s="20" t="s">
        <v>4071</v>
      </c>
      <c r="E1962" s="20" t="e">
        <f t="array" ref="E1962">INDEX(C:C,SMALL(IF(ISNUMBER(FIND(CELL("contents"),$C$2:$C$4852)),ROW($C$2:$C$4852),4^8),ROW(C1962)))&amp;""</f>
        <v>#N/A</v>
      </c>
    </row>
    <row r="1963" ht="14.100000000000001" customHeight="1">
      <c r="B1963" s="20" t="s">
        <v>4073</v>
      </c>
      <c r="C1963" s="20" t="s">
        <v>4074</v>
      </c>
      <c r="D1963" s="20" t="s">
        <v>4073</v>
      </c>
      <c r="E1963" s="20" t="e">
        <f t="array" ref="E1963">INDEX(C:C,SMALL(IF(ISNUMBER(FIND(CELL("contents"),$C$2:$C$4852)),ROW($C$2:$C$4852),4^8),ROW(C1963)))&amp;""</f>
        <v>#N/A</v>
      </c>
    </row>
    <row r="1964" ht="14.100000000000001" customHeight="1">
      <c r="B1964" s="20" t="s">
        <v>4075</v>
      </c>
      <c r="C1964" s="20" t="s">
        <v>4076</v>
      </c>
      <c r="D1964" s="20" t="s">
        <v>4075</v>
      </c>
      <c r="E1964" s="20" t="e">
        <f t="array" ref="E1964">INDEX(C:C,SMALL(IF(ISNUMBER(FIND(CELL("contents"),$C$2:$C$4852)),ROW($C$2:$C$4852),4^8),ROW(C1964)))&amp;""</f>
        <v>#N/A</v>
      </c>
    </row>
    <row r="1965" ht="14.100000000000001" customHeight="1">
      <c r="B1965" s="20" t="s">
        <v>4077</v>
      </c>
      <c r="C1965" s="20" t="s">
        <v>4078</v>
      </c>
      <c r="D1965" s="20" t="s">
        <v>4077</v>
      </c>
      <c r="E1965" s="20" t="e">
        <f t="array" ref="E1965">INDEX(C:C,SMALL(IF(ISNUMBER(FIND(CELL("contents"),$C$2:$C$4852)),ROW($C$2:$C$4852),4^8),ROW(C1965)))&amp;""</f>
        <v>#N/A</v>
      </c>
    </row>
    <row r="1966" ht="14.100000000000001" customHeight="1">
      <c r="B1966" s="20" t="s">
        <v>4079</v>
      </c>
      <c r="C1966" s="20" t="s">
        <v>4080</v>
      </c>
      <c r="D1966" s="20" t="s">
        <v>4079</v>
      </c>
      <c r="E1966" s="20" t="e">
        <f t="array" ref="E1966">INDEX(C:C,SMALL(IF(ISNUMBER(FIND(CELL("contents"),$C$2:$C$4852)),ROW($C$2:$C$4852),4^8),ROW(C1966)))&amp;""</f>
        <v>#N/A</v>
      </c>
    </row>
    <row r="1967" ht="14.100000000000001" customHeight="1">
      <c r="B1967" s="20" t="s">
        <v>4081</v>
      </c>
      <c r="C1967" s="20" t="s">
        <v>4082</v>
      </c>
      <c r="D1967" s="20" t="s">
        <v>4081</v>
      </c>
      <c r="E1967" s="20" t="e">
        <f t="array" ref="E1967">INDEX(C:C,SMALL(IF(ISNUMBER(FIND(CELL("contents"),$C$2:$C$4852)),ROW($C$2:$C$4852),4^8),ROW(C1967)))&amp;""</f>
        <v>#N/A</v>
      </c>
    </row>
    <row r="1968" ht="14.100000000000001" customHeight="1">
      <c r="B1968" s="20" t="s">
        <v>4083</v>
      </c>
      <c r="C1968" s="20" t="s">
        <v>4084</v>
      </c>
      <c r="D1968" s="20" t="s">
        <v>4083</v>
      </c>
      <c r="E1968" s="20" t="e">
        <f t="array" ref="E1968">INDEX(C:C,SMALL(IF(ISNUMBER(FIND(CELL("contents"),$C$2:$C$4852)),ROW($C$2:$C$4852),4^8),ROW(C1968)))&amp;""</f>
        <v>#N/A</v>
      </c>
    </row>
    <row r="1969" ht="14.100000000000001" customHeight="1">
      <c r="B1969" s="20" t="s">
        <v>4085</v>
      </c>
      <c r="C1969" s="20" t="s">
        <v>4086</v>
      </c>
      <c r="D1969" s="20" t="s">
        <v>4085</v>
      </c>
      <c r="E1969" s="20" t="e">
        <f t="array" ref="E1969">INDEX(C:C,SMALL(IF(ISNUMBER(FIND(CELL("contents"),$C$2:$C$4852)),ROW($C$2:$C$4852),4^8),ROW(C1969)))&amp;""</f>
        <v>#N/A</v>
      </c>
    </row>
    <row r="1970" ht="14.100000000000001" customHeight="1">
      <c r="B1970" s="20" t="s">
        <v>4087</v>
      </c>
      <c r="C1970" s="20" t="s">
        <v>4088</v>
      </c>
      <c r="D1970" s="20" t="s">
        <v>4087</v>
      </c>
      <c r="E1970" s="20" t="e">
        <f t="array" ref="E1970">INDEX(C:C,SMALL(IF(ISNUMBER(FIND(CELL("contents"),$C$2:$C$4852)),ROW($C$2:$C$4852),4^8),ROW(C1970)))&amp;""</f>
        <v>#N/A</v>
      </c>
    </row>
    <row r="1971" ht="14.100000000000001" customHeight="1">
      <c r="B1971" s="20" t="s">
        <v>4089</v>
      </c>
      <c r="C1971" s="20" t="s">
        <v>4090</v>
      </c>
      <c r="D1971" s="20" t="s">
        <v>4089</v>
      </c>
      <c r="E1971" s="20" t="e">
        <f t="array" ref="E1971">INDEX(C:C,SMALL(IF(ISNUMBER(FIND(CELL("contents"),$C$2:$C$4852)),ROW($C$2:$C$4852),4^8),ROW(C1971)))&amp;""</f>
        <v>#N/A</v>
      </c>
    </row>
    <row r="1972" ht="14.100000000000001" customHeight="1">
      <c r="B1972" s="20" t="s">
        <v>4091</v>
      </c>
      <c r="C1972" s="20" t="s">
        <v>4092</v>
      </c>
      <c r="D1972" s="20" t="s">
        <v>4091</v>
      </c>
      <c r="E1972" s="20" t="e">
        <f t="array" ref="E1972">INDEX(C:C,SMALL(IF(ISNUMBER(FIND(CELL("contents"),$C$2:$C$4852)),ROW($C$2:$C$4852),4^8),ROW(C1972)))&amp;""</f>
        <v>#N/A</v>
      </c>
    </row>
    <row r="1973" ht="14.100000000000001" customHeight="1">
      <c r="B1973" s="20" t="s">
        <v>4093</v>
      </c>
      <c r="C1973" s="20" t="s">
        <v>4094</v>
      </c>
      <c r="D1973" s="20" t="s">
        <v>4093</v>
      </c>
      <c r="E1973" s="20" t="e">
        <f t="array" ref="E1973">INDEX(C:C,SMALL(IF(ISNUMBER(FIND(CELL("contents"),$C$2:$C$4852)),ROW($C$2:$C$4852),4^8),ROW(C1973)))&amp;""</f>
        <v>#N/A</v>
      </c>
    </row>
    <row r="1974" ht="14.100000000000001" customHeight="1">
      <c r="B1974" s="20" t="s">
        <v>4095</v>
      </c>
      <c r="C1974" s="20" t="s">
        <v>4096</v>
      </c>
      <c r="D1974" s="20" t="s">
        <v>4095</v>
      </c>
      <c r="E1974" s="20" t="e">
        <f t="array" ref="E1974">INDEX(C:C,SMALL(IF(ISNUMBER(FIND(CELL("contents"),$C$2:$C$4852)),ROW($C$2:$C$4852),4^8),ROW(C1974)))&amp;""</f>
        <v>#N/A</v>
      </c>
    </row>
    <row r="1975" ht="14.100000000000001" customHeight="1">
      <c r="B1975" s="20" t="s">
        <v>4097</v>
      </c>
      <c r="C1975" s="20" t="s">
        <v>4098</v>
      </c>
      <c r="D1975" s="20" t="s">
        <v>4097</v>
      </c>
      <c r="E1975" s="20" t="e">
        <f t="array" ref="E1975">INDEX(C:C,SMALL(IF(ISNUMBER(FIND(CELL("contents"),$C$2:$C$4852)),ROW($C$2:$C$4852),4^8),ROW(C1975)))&amp;""</f>
        <v>#N/A</v>
      </c>
    </row>
    <row r="1976" ht="14.100000000000001" customHeight="1">
      <c r="B1976" s="20" t="s">
        <v>4099</v>
      </c>
      <c r="C1976" s="20" t="s">
        <v>4100</v>
      </c>
      <c r="D1976" s="20" t="s">
        <v>4099</v>
      </c>
      <c r="E1976" s="20" t="e">
        <f t="array" ref="E1976">INDEX(C:C,SMALL(IF(ISNUMBER(FIND(CELL("contents"),$C$2:$C$4852)),ROW($C$2:$C$4852),4^8),ROW(C1976)))&amp;""</f>
        <v>#N/A</v>
      </c>
    </row>
    <row r="1977" ht="14.100000000000001" customHeight="1">
      <c r="B1977" s="20" t="s">
        <v>4101</v>
      </c>
      <c r="C1977" s="20" t="s">
        <v>4102</v>
      </c>
      <c r="D1977" s="20" t="s">
        <v>4101</v>
      </c>
      <c r="E1977" s="20" t="e">
        <f t="array" ref="E1977">INDEX(C:C,SMALL(IF(ISNUMBER(FIND(CELL("contents"),$C$2:$C$4852)),ROW($C$2:$C$4852),4^8),ROW(C1977)))&amp;""</f>
        <v>#N/A</v>
      </c>
    </row>
    <row r="1978" ht="14.100000000000001" customHeight="1">
      <c r="B1978" s="20" t="s">
        <v>4103</v>
      </c>
      <c r="C1978" s="20" t="s">
        <v>4104</v>
      </c>
      <c r="D1978" s="20" t="s">
        <v>4103</v>
      </c>
      <c r="E1978" s="20" t="e">
        <f t="array" ref="E1978">INDEX(C:C,SMALL(IF(ISNUMBER(FIND(CELL("contents"),$C$2:$C$4852)),ROW($C$2:$C$4852),4^8),ROW(C1978)))&amp;""</f>
        <v>#N/A</v>
      </c>
    </row>
    <row r="1979" ht="14.100000000000001" customHeight="1">
      <c r="B1979" s="20" t="s">
        <v>4105</v>
      </c>
      <c r="C1979" s="20" t="s">
        <v>4106</v>
      </c>
      <c r="D1979" s="20" t="s">
        <v>4105</v>
      </c>
      <c r="E1979" s="20" t="e">
        <f t="array" ref="E1979">INDEX(C:C,SMALL(IF(ISNUMBER(FIND(CELL("contents"),$C$2:$C$4852)),ROW($C$2:$C$4852),4^8),ROW(C1979)))&amp;""</f>
        <v>#N/A</v>
      </c>
    </row>
    <row r="1980" ht="14.100000000000001" customHeight="1">
      <c r="B1980" s="20" t="s">
        <v>4107</v>
      </c>
      <c r="C1980" s="20" t="s">
        <v>4108</v>
      </c>
      <c r="D1980" s="20" t="s">
        <v>4107</v>
      </c>
      <c r="E1980" s="20" t="e">
        <f t="array" ref="E1980">INDEX(C:C,SMALL(IF(ISNUMBER(FIND(CELL("contents"),$C$2:$C$4852)),ROW($C$2:$C$4852),4^8),ROW(C1980)))&amp;""</f>
        <v>#N/A</v>
      </c>
    </row>
    <row r="1981" ht="14.100000000000001" customHeight="1">
      <c r="B1981" s="20" t="s">
        <v>4109</v>
      </c>
      <c r="C1981" s="20" t="s">
        <v>4110</v>
      </c>
      <c r="D1981" s="20" t="s">
        <v>4109</v>
      </c>
      <c r="E1981" s="20" t="e">
        <f t="array" ref="E1981">INDEX(C:C,SMALL(IF(ISNUMBER(FIND(CELL("contents"),$C$2:$C$4852)),ROW($C$2:$C$4852),4^8),ROW(C1981)))&amp;""</f>
        <v>#N/A</v>
      </c>
    </row>
    <row r="1982" ht="14.100000000000001" customHeight="1">
      <c r="B1982" s="20" t="s">
        <v>4111</v>
      </c>
      <c r="C1982" s="20" t="s">
        <v>4112</v>
      </c>
      <c r="D1982" s="20" t="s">
        <v>4111</v>
      </c>
      <c r="E1982" s="20" t="e">
        <f t="array" ref="E1982">INDEX(C:C,SMALL(IF(ISNUMBER(FIND(CELL("contents"),$C$2:$C$4852)),ROW($C$2:$C$4852),4^8),ROW(C1982)))&amp;""</f>
        <v>#N/A</v>
      </c>
    </row>
    <row r="1983" ht="14.100000000000001" customHeight="1">
      <c r="B1983" s="20" t="s">
        <v>4113</v>
      </c>
      <c r="C1983" s="20" t="s">
        <v>4114</v>
      </c>
      <c r="D1983" s="20" t="s">
        <v>4113</v>
      </c>
      <c r="E1983" s="20" t="e">
        <f t="array" ref="E1983">INDEX(C:C,SMALL(IF(ISNUMBER(FIND(CELL("contents"),$C$2:$C$4852)),ROW($C$2:$C$4852),4^8),ROW(C1983)))&amp;""</f>
        <v>#N/A</v>
      </c>
    </row>
    <row r="1984" ht="14.100000000000001" customHeight="1">
      <c r="B1984" s="20" t="s">
        <v>4115</v>
      </c>
      <c r="C1984" s="20" t="s">
        <v>4116</v>
      </c>
      <c r="D1984" s="20" t="s">
        <v>4115</v>
      </c>
      <c r="E1984" s="20" t="e">
        <f t="array" ref="E1984">INDEX(C:C,SMALL(IF(ISNUMBER(FIND(CELL("contents"),$C$2:$C$4852)),ROW($C$2:$C$4852),4^8),ROW(C1984)))&amp;""</f>
        <v>#N/A</v>
      </c>
    </row>
    <row r="1985" ht="14.100000000000001" customHeight="1">
      <c r="B1985" s="20" t="s">
        <v>4117</v>
      </c>
      <c r="C1985" s="20" t="s">
        <v>4118</v>
      </c>
      <c r="D1985" s="20" t="s">
        <v>4117</v>
      </c>
      <c r="E1985" s="20" t="e">
        <f t="array" ref="E1985">INDEX(C:C,SMALL(IF(ISNUMBER(FIND(CELL("contents"),$C$2:$C$4852)),ROW($C$2:$C$4852),4^8),ROW(C1985)))&amp;""</f>
        <v>#N/A</v>
      </c>
    </row>
    <row r="1986" ht="14.100000000000001" customHeight="1">
      <c r="B1986" s="20" t="s">
        <v>4119</v>
      </c>
      <c r="C1986" s="20" t="s">
        <v>4120</v>
      </c>
      <c r="D1986" s="20" t="s">
        <v>4119</v>
      </c>
      <c r="E1986" s="20" t="e">
        <f t="array" ref="E1986">INDEX(C:C,SMALL(IF(ISNUMBER(FIND(CELL("contents"),$C$2:$C$4852)),ROW($C$2:$C$4852),4^8),ROW(C1986)))&amp;""</f>
        <v>#N/A</v>
      </c>
    </row>
    <row r="1987" ht="14.100000000000001" customHeight="1">
      <c r="B1987" s="20" t="s">
        <v>4121</v>
      </c>
      <c r="C1987" s="20" t="s">
        <v>4122</v>
      </c>
      <c r="D1987" s="20" t="s">
        <v>4121</v>
      </c>
      <c r="E1987" s="20" t="e">
        <f t="array" ref="E1987">INDEX(C:C,SMALL(IF(ISNUMBER(FIND(CELL("contents"),$C$2:$C$4852)),ROW($C$2:$C$4852),4^8),ROW(C1987)))&amp;""</f>
        <v>#N/A</v>
      </c>
    </row>
    <row r="1988" ht="14.100000000000001" customHeight="1">
      <c r="B1988" s="20" t="s">
        <v>4123</v>
      </c>
      <c r="C1988" s="20" t="s">
        <v>4124</v>
      </c>
      <c r="D1988" s="20" t="s">
        <v>4123</v>
      </c>
      <c r="E1988" s="20" t="e">
        <f t="array" ref="E1988">INDEX(C:C,SMALL(IF(ISNUMBER(FIND(CELL("contents"),$C$2:$C$4852)),ROW($C$2:$C$4852),4^8),ROW(C1988)))&amp;""</f>
        <v>#N/A</v>
      </c>
    </row>
    <row r="1989" ht="14.100000000000001" customHeight="1">
      <c r="B1989" s="20" t="s">
        <v>4125</v>
      </c>
      <c r="C1989" s="20" t="s">
        <v>4126</v>
      </c>
      <c r="D1989" s="20" t="s">
        <v>4125</v>
      </c>
      <c r="E1989" s="20" t="e">
        <f t="array" ref="E1989">INDEX(C:C,SMALL(IF(ISNUMBER(FIND(CELL("contents"),$C$2:$C$4852)),ROW($C$2:$C$4852),4^8),ROW(C1989)))&amp;""</f>
        <v>#N/A</v>
      </c>
    </row>
    <row r="1990" ht="14.100000000000001" customHeight="1">
      <c r="B1990" s="20" t="s">
        <v>4127</v>
      </c>
      <c r="C1990" s="20" t="s">
        <v>4128</v>
      </c>
      <c r="D1990" s="20" t="s">
        <v>4127</v>
      </c>
      <c r="E1990" s="20" t="e">
        <f t="array" ref="E1990">INDEX(C:C,SMALL(IF(ISNUMBER(FIND(CELL("contents"),$C$2:$C$4852)),ROW($C$2:$C$4852),4^8),ROW(C1990)))&amp;""</f>
        <v>#N/A</v>
      </c>
    </row>
    <row r="1991" ht="14.100000000000001" customHeight="1">
      <c r="B1991" s="20" t="s">
        <v>4129</v>
      </c>
      <c r="C1991" s="20" t="s">
        <v>4130</v>
      </c>
      <c r="D1991" s="20" t="s">
        <v>4129</v>
      </c>
      <c r="E1991" s="20" t="e">
        <f t="array" ref="E1991">INDEX(C:C,SMALL(IF(ISNUMBER(FIND(CELL("contents"),$C$2:$C$4852)),ROW($C$2:$C$4852),4^8),ROW(C1991)))&amp;""</f>
        <v>#N/A</v>
      </c>
    </row>
    <row r="1992" ht="14.100000000000001" customHeight="1">
      <c r="B1992" s="20" t="s">
        <v>4131</v>
      </c>
      <c r="C1992" s="20" t="s">
        <v>4132</v>
      </c>
      <c r="D1992" s="20" t="s">
        <v>4131</v>
      </c>
      <c r="E1992" s="20" t="e">
        <f t="array" ref="E1992">INDEX(C:C,SMALL(IF(ISNUMBER(FIND(CELL("contents"),$C$2:$C$4852)),ROW($C$2:$C$4852),4^8),ROW(C1992)))&amp;""</f>
        <v>#N/A</v>
      </c>
    </row>
    <row r="1993" ht="14.100000000000001" customHeight="1">
      <c r="B1993" s="20" t="s">
        <v>4133</v>
      </c>
      <c r="C1993" s="20" t="s">
        <v>4134</v>
      </c>
      <c r="D1993" s="20" t="s">
        <v>4133</v>
      </c>
      <c r="E1993" s="20" t="e">
        <f t="array" ref="E1993">INDEX(C:C,SMALL(IF(ISNUMBER(FIND(CELL("contents"),$C$2:$C$4852)),ROW($C$2:$C$4852),4^8),ROW(C1993)))&amp;""</f>
        <v>#N/A</v>
      </c>
    </row>
    <row r="1994" ht="14.100000000000001" customHeight="1">
      <c r="B1994" s="20" t="s">
        <v>4135</v>
      </c>
      <c r="C1994" s="20" t="s">
        <v>4136</v>
      </c>
      <c r="D1994" s="20" t="s">
        <v>4135</v>
      </c>
      <c r="E1994" s="20" t="e">
        <f t="array" ref="E1994">INDEX(C:C,SMALL(IF(ISNUMBER(FIND(CELL("contents"),$C$2:$C$4852)),ROW($C$2:$C$4852),4^8),ROW(C1994)))&amp;""</f>
        <v>#N/A</v>
      </c>
    </row>
    <row r="1995" ht="14.100000000000001" customHeight="1">
      <c r="B1995" s="20" t="s">
        <v>4137</v>
      </c>
      <c r="C1995" s="20" t="s">
        <v>4138</v>
      </c>
      <c r="D1995" s="20" t="s">
        <v>4137</v>
      </c>
      <c r="E1995" s="20" t="e">
        <f t="array" ref="E1995">INDEX(C:C,SMALL(IF(ISNUMBER(FIND(CELL("contents"),$C$2:$C$4852)),ROW($C$2:$C$4852),4^8),ROW(C1995)))&amp;""</f>
        <v>#N/A</v>
      </c>
    </row>
    <row r="1996" ht="14.100000000000001" customHeight="1">
      <c r="B1996" s="20" t="s">
        <v>4139</v>
      </c>
      <c r="C1996" s="20" t="s">
        <v>4140</v>
      </c>
      <c r="D1996" s="20" t="s">
        <v>4139</v>
      </c>
      <c r="E1996" s="20" t="e">
        <f t="array" ref="E1996">INDEX(C:C,SMALL(IF(ISNUMBER(FIND(CELL("contents"),$C$2:$C$4852)),ROW($C$2:$C$4852),4^8),ROW(C1996)))&amp;""</f>
        <v>#N/A</v>
      </c>
    </row>
    <row r="1997" ht="14.100000000000001" customHeight="1">
      <c r="B1997" s="20" t="s">
        <v>4141</v>
      </c>
      <c r="C1997" s="20" t="s">
        <v>4142</v>
      </c>
      <c r="D1997" s="20" t="s">
        <v>4141</v>
      </c>
      <c r="E1997" s="20" t="e">
        <f t="array" ref="E1997">INDEX(C:C,SMALL(IF(ISNUMBER(FIND(CELL("contents"),$C$2:$C$4852)),ROW($C$2:$C$4852),4^8),ROW(C1997)))&amp;""</f>
        <v>#N/A</v>
      </c>
    </row>
    <row r="1998" ht="14.100000000000001" customHeight="1">
      <c r="B1998" s="20" t="s">
        <v>4143</v>
      </c>
      <c r="C1998" s="20" t="s">
        <v>4144</v>
      </c>
      <c r="D1998" s="20" t="s">
        <v>4143</v>
      </c>
      <c r="E1998" s="20" t="e">
        <f t="array" ref="E1998">INDEX(C:C,SMALL(IF(ISNUMBER(FIND(CELL("contents"),$C$2:$C$4852)),ROW($C$2:$C$4852),4^8),ROW(C1998)))&amp;""</f>
        <v>#N/A</v>
      </c>
    </row>
    <row r="1999" ht="14.100000000000001" customHeight="1">
      <c r="B1999" s="20" t="s">
        <v>4145</v>
      </c>
      <c r="C1999" s="20" t="s">
        <v>4146</v>
      </c>
      <c r="D1999" s="20" t="s">
        <v>4145</v>
      </c>
      <c r="E1999" s="20" t="e">
        <f t="array" ref="E1999">INDEX(C:C,SMALL(IF(ISNUMBER(FIND(CELL("contents"),$C$2:$C$4852)),ROW($C$2:$C$4852),4^8),ROW(C1999)))&amp;""</f>
        <v>#N/A</v>
      </c>
    </row>
    <row r="2000" ht="14.100000000000001" customHeight="1">
      <c r="B2000" s="20" t="s">
        <v>4147</v>
      </c>
      <c r="C2000" s="20" t="s">
        <v>4148</v>
      </c>
      <c r="D2000" s="20" t="s">
        <v>4147</v>
      </c>
      <c r="E2000" s="20" t="e">
        <f t="array" ref="E2000">INDEX(C:C,SMALL(IF(ISNUMBER(FIND(CELL("contents"),$C$2:$C$4852)),ROW($C$2:$C$4852),4^8),ROW(C2000)))&amp;""</f>
        <v>#N/A</v>
      </c>
    </row>
    <row r="2001" ht="14.100000000000001" customHeight="1">
      <c r="B2001" s="20" t="s">
        <v>4149</v>
      </c>
      <c r="C2001" s="20" t="s">
        <v>4150</v>
      </c>
      <c r="D2001" s="20" t="s">
        <v>4149</v>
      </c>
      <c r="E2001" s="20" t="e">
        <f t="array" ref="E2001">INDEX(C:C,SMALL(IF(ISNUMBER(FIND(CELL("contents"),$C$2:$C$4852)),ROW($C$2:$C$4852),4^8),ROW(C2001)))&amp;""</f>
        <v>#N/A</v>
      </c>
    </row>
    <row r="2002" ht="14.100000000000001" customHeight="1">
      <c r="B2002" s="20" t="s">
        <v>4151</v>
      </c>
      <c r="C2002" s="20" t="s">
        <v>4152</v>
      </c>
      <c r="D2002" s="20" t="s">
        <v>4151</v>
      </c>
      <c r="E2002" s="20" t="e">
        <f t="array" ref="E2002">INDEX(C:C,SMALL(IF(ISNUMBER(FIND(CELL("contents"),$C$2:$C$4852)),ROW($C$2:$C$4852),4^8),ROW(C2002)))&amp;""</f>
        <v>#N/A</v>
      </c>
    </row>
    <row r="2003" ht="14.100000000000001" customHeight="1">
      <c r="B2003" s="20" t="s">
        <v>4153</v>
      </c>
      <c r="C2003" s="20" t="s">
        <v>4154</v>
      </c>
      <c r="D2003" s="20" t="s">
        <v>4153</v>
      </c>
      <c r="E2003" s="20" t="e">
        <f t="array" ref="E2003">INDEX(C:C,SMALL(IF(ISNUMBER(FIND(CELL("contents"),$C$2:$C$4852)),ROW($C$2:$C$4852),4^8),ROW(C2003)))&amp;""</f>
        <v>#N/A</v>
      </c>
    </row>
    <row r="2004" ht="14.100000000000001" customHeight="1">
      <c r="B2004" s="20" t="s">
        <v>4155</v>
      </c>
      <c r="C2004" s="20" t="s">
        <v>4156</v>
      </c>
      <c r="D2004" s="20" t="s">
        <v>4155</v>
      </c>
      <c r="E2004" s="20" t="e">
        <f t="array" ref="E2004">INDEX(C:C,SMALL(IF(ISNUMBER(FIND(CELL("contents"),$C$2:$C$4852)),ROW($C$2:$C$4852),4^8),ROW(C2004)))&amp;""</f>
        <v>#N/A</v>
      </c>
    </row>
    <row r="2005" ht="14.100000000000001" customHeight="1">
      <c r="B2005" s="20" t="s">
        <v>4157</v>
      </c>
      <c r="C2005" s="20" t="s">
        <v>4158</v>
      </c>
      <c r="D2005" s="20" t="s">
        <v>4157</v>
      </c>
      <c r="E2005" s="20" t="e">
        <f t="array" ref="E2005">INDEX(C:C,SMALL(IF(ISNUMBER(FIND(CELL("contents"),$C$2:$C$4852)),ROW($C$2:$C$4852),4^8),ROW(C2005)))&amp;""</f>
        <v>#N/A</v>
      </c>
    </row>
    <row r="2006" ht="14.100000000000001" customHeight="1">
      <c r="B2006" s="20" t="s">
        <v>4159</v>
      </c>
      <c r="C2006" s="20" t="s">
        <v>4160</v>
      </c>
      <c r="D2006" s="20" t="s">
        <v>4159</v>
      </c>
      <c r="E2006" s="20" t="e">
        <f t="array" ref="E2006">INDEX(C:C,SMALL(IF(ISNUMBER(FIND(CELL("contents"),$C$2:$C$4852)),ROW($C$2:$C$4852),4^8),ROW(C2006)))&amp;""</f>
        <v>#N/A</v>
      </c>
    </row>
    <row r="2007" ht="14.100000000000001" customHeight="1">
      <c r="B2007" s="20" t="s">
        <v>4161</v>
      </c>
      <c r="C2007" s="20" t="s">
        <v>4162</v>
      </c>
      <c r="D2007" s="20" t="s">
        <v>4161</v>
      </c>
      <c r="E2007" s="20" t="e">
        <f t="array" ref="E2007">INDEX(C:C,SMALL(IF(ISNUMBER(FIND(CELL("contents"),$C$2:$C$4852)),ROW($C$2:$C$4852),4^8),ROW(C2007)))&amp;""</f>
        <v>#N/A</v>
      </c>
    </row>
    <row r="2008" ht="14.100000000000001" customHeight="1">
      <c r="B2008" s="20" t="s">
        <v>4163</v>
      </c>
      <c r="C2008" s="20" t="s">
        <v>4164</v>
      </c>
      <c r="D2008" s="20" t="s">
        <v>4163</v>
      </c>
      <c r="E2008" s="20" t="e">
        <f t="array" ref="E2008">INDEX(C:C,SMALL(IF(ISNUMBER(FIND(CELL("contents"),$C$2:$C$4852)),ROW($C$2:$C$4852),4^8),ROW(C2008)))&amp;""</f>
        <v>#N/A</v>
      </c>
    </row>
    <row r="2009" ht="14.100000000000001" customHeight="1">
      <c r="B2009" s="20" t="s">
        <v>4165</v>
      </c>
      <c r="C2009" s="20" t="s">
        <v>4166</v>
      </c>
      <c r="D2009" s="20" t="s">
        <v>4165</v>
      </c>
      <c r="E2009" s="20" t="e">
        <f t="array" ref="E2009">INDEX(C:C,SMALL(IF(ISNUMBER(FIND(CELL("contents"),$C$2:$C$4852)),ROW($C$2:$C$4852),4^8),ROW(C2009)))&amp;""</f>
        <v>#N/A</v>
      </c>
    </row>
    <row r="2010" ht="14.100000000000001" customHeight="1">
      <c r="B2010" s="20" t="s">
        <v>4167</v>
      </c>
      <c r="C2010" s="20" t="s">
        <v>4168</v>
      </c>
      <c r="D2010" s="20" t="s">
        <v>4167</v>
      </c>
      <c r="E2010" s="20" t="e">
        <f t="array" ref="E2010">INDEX(C:C,SMALL(IF(ISNUMBER(FIND(CELL("contents"),$C$2:$C$4852)),ROW($C$2:$C$4852),4^8),ROW(C2010)))&amp;""</f>
        <v>#N/A</v>
      </c>
    </row>
    <row r="2011" ht="14.100000000000001" customHeight="1">
      <c r="B2011" s="20" t="s">
        <v>4169</v>
      </c>
      <c r="C2011" s="20" t="s">
        <v>4170</v>
      </c>
      <c r="D2011" s="20" t="s">
        <v>4169</v>
      </c>
      <c r="E2011" s="20" t="e">
        <f t="array" ref="E2011">INDEX(C:C,SMALL(IF(ISNUMBER(FIND(CELL("contents"),$C$2:$C$4852)),ROW($C$2:$C$4852),4^8),ROW(C2011)))&amp;""</f>
        <v>#N/A</v>
      </c>
    </row>
    <row r="2012" ht="14.100000000000001" customHeight="1">
      <c r="B2012" s="20" t="s">
        <v>4171</v>
      </c>
      <c r="C2012" s="20" t="s">
        <v>4172</v>
      </c>
      <c r="D2012" s="20" t="s">
        <v>4171</v>
      </c>
      <c r="E2012" s="20" t="e">
        <f t="array" ref="E2012">INDEX(C:C,SMALL(IF(ISNUMBER(FIND(CELL("contents"),$C$2:$C$4852)),ROW($C$2:$C$4852),4^8),ROW(C2012)))&amp;""</f>
        <v>#N/A</v>
      </c>
    </row>
    <row r="2013" ht="14.100000000000001" customHeight="1">
      <c r="B2013" s="20" t="s">
        <v>4173</v>
      </c>
      <c r="C2013" s="20" t="s">
        <v>4174</v>
      </c>
      <c r="D2013" s="20" t="s">
        <v>4173</v>
      </c>
      <c r="E2013" s="20" t="e">
        <f t="array" ref="E2013">INDEX(C:C,SMALL(IF(ISNUMBER(FIND(CELL("contents"),$C$2:$C$4852)),ROW($C$2:$C$4852),4^8),ROW(C2013)))&amp;""</f>
        <v>#N/A</v>
      </c>
    </row>
    <row r="2014" ht="14.100000000000001" customHeight="1">
      <c r="B2014" s="20" t="s">
        <v>4175</v>
      </c>
      <c r="C2014" s="20" t="s">
        <v>4176</v>
      </c>
      <c r="D2014" s="20" t="s">
        <v>4175</v>
      </c>
      <c r="E2014" s="20" t="e">
        <f t="array" ref="E2014">INDEX(C:C,SMALL(IF(ISNUMBER(FIND(CELL("contents"),$C$2:$C$4852)),ROW($C$2:$C$4852),4^8),ROW(C2014)))&amp;""</f>
        <v>#N/A</v>
      </c>
    </row>
    <row r="2015" ht="14.100000000000001" customHeight="1">
      <c r="B2015" s="20" t="s">
        <v>4177</v>
      </c>
      <c r="C2015" s="20" t="s">
        <v>4178</v>
      </c>
      <c r="D2015" s="20" t="s">
        <v>4177</v>
      </c>
      <c r="E2015" s="20" t="e">
        <f t="array" ref="E2015">INDEX(C:C,SMALL(IF(ISNUMBER(FIND(CELL("contents"),$C$2:$C$4852)),ROW($C$2:$C$4852),4^8),ROW(C2015)))&amp;""</f>
        <v>#N/A</v>
      </c>
    </row>
    <row r="2016" ht="14.100000000000001" customHeight="1">
      <c r="B2016" s="20" t="s">
        <v>4179</v>
      </c>
      <c r="C2016" s="20" t="s">
        <v>4180</v>
      </c>
      <c r="D2016" s="20" t="s">
        <v>4179</v>
      </c>
      <c r="E2016" s="20" t="e">
        <f t="array" ref="E2016">INDEX(C:C,SMALL(IF(ISNUMBER(FIND(CELL("contents"),$C$2:$C$4852)),ROW($C$2:$C$4852),4^8),ROW(C2016)))&amp;""</f>
        <v>#N/A</v>
      </c>
    </row>
    <row r="2017" ht="14.100000000000001" customHeight="1">
      <c r="B2017" s="20" t="s">
        <v>4181</v>
      </c>
      <c r="C2017" s="20" t="s">
        <v>4182</v>
      </c>
      <c r="D2017" s="20" t="s">
        <v>4181</v>
      </c>
      <c r="E2017" s="20" t="e">
        <f t="array" ref="E2017">INDEX(C:C,SMALL(IF(ISNUMBER(FIND(CELL("contents"),$C$2:$C$4852)),ROW($C$2:$C$4852),4^8),ROW(C2017)))&amp;""</f>
        <v>#N/A</v>
      </c>
    </row>
    <row r="2018" ht="14.100000000000001" customHeight="1">
      <c r="B2018" s="20" t="s">
        <v>4183</v>
      </c>
      <c r="C2018" s="20" t="s">
        <v>4184</v>
      </c>
      <c r="D2018" s="20" t="s">
        <v>4183</v>
      </c>
      <c r="E2018" s="20" t="e">
        <f t="array" ref="E2018">INDEX(C:C,SMALL(IF(ISNUMBER(FIND(CELL("contents"),$C$2:$C$4852)),ROW($C$2:$C$4852),4^8),ROW(C2018)))&amp;""</f>
        <v>#N/A</v>
      </c>
    </row>
    <row r="2019" ht="14.100000000000001" customHeight="1">
      <c r="B2019" s="20" t="s">
        <v>4185</v>
      </c>
      <c r="C2019" s="20" t="s">
        <v>4186</v>
      </c>
      <c r="D2019" s="20" t="s">
        <v>4185</v>
      </c>
      <c r="E2019" s="20" t="e">
        <f t="array" ref="E2019">INDEX(C:C,SMALL(IF(ISNUMBER(FIND(CELL("contents"),$C$2:$C$4852)),ROW($C$2:$C$4852),4^8),ROW(C2019)))&amp;""</f>
        <v>#N/A</v>
      </c>
    </row>
    <row r="2020" ht="14.100000000000001" customHeight="1">
      <c r="B2020" s="20" t="s">
        <v>4187</v>
      </c>
      <c r="C2020" s="20" t="s">
        <v>4188</v>
      </c>
      <c r="D2020" s="20" t="s">
        <v>4187</v>
      </c>
      <c r="E2020" s="20" t="e">
        <f t="array" ref="E2020">INDEX(C:C,SMALL(IF(ISNUMBER(FIND(CELL("contents"),$C$2:$C$4852)),ROW($C$2:$C$4852),4^8),ROW(C2020)))&amp;""</f>
        <v>#N/A</v>
      </c>
    </row>
    <row r="2021" ht="14.100000000000001" customHeight="1">
      <c r="B2021" s="20" t="s">
        <v>4189</v>
      </c>
      <c r="C2021" s="20" t="s">
        <v>4190</v>
      </c>
      <c r="D2021" s="20" t="s">
        <v>4189</v>
      </c>
      <c r="E2021" s="20" t="e">
        <f t="array" ref="E2021">INDEX(C:C,SMALL(IF(ISNUMBER(FIND(CELL("contents"),$C$2:$C$4852)),ROW($C$2:$C$4852),4^8),ROW(C2021)))&amp;""</f>
        <v>#N/A</v>
      </c>
    </row>
    <row r="2022" ht="14.100000000000001" customHeight="1">
      <c r="B2022" s="20" t="s">
        <v>4191</v>
      </c>
      <c r="C2022" s="20" t="s">
        <v>4192</v>
      </c>
      <c r="D2022" s="20" t="s">
        <v>4191</v>
      </c>
      <c r="E2022" s="20" t="e">
        <f t="array" ref="E2022">INDEX(C:C,SMALL(IF(ISNUMBER(FIND(CELL("contents"),$C$2:$C$4852)),ROW($C$2:$C$4852),4^8),ROW(C2022)))&amp;""</f>
        <v>#N/A</v>
      </c>
    </row>
    <row r="2023" ht="14.100000000000001" customHeight="1">
      <c r="B2023" s="20" t="s">
        <v>4193</v>
      </c>
      <c r="C2023" s="20" t="s">
        <v>4194</v>
      </c>
      <c r="D2023" s="20" t="s">
        <v>4193</v>
      </c>
      <c r="E2023" s="20" t="e">
        <f t="array" ref="E2023">INDEX(C:C,SMALL(IF(ISNUMBER(FIND(CELL("contents"),$C$2:$C$4852)),ROW($C$2:$C$4852),4^8),ROW(C2023)))&amp;""</f>
        <v>#N/A</v>
      </c>
    </row>
    <row r="2024" ht="14.100000000000001" customHeight="1">
      <c r="B2024" s="20" t="s">
        <v>4195</v>
      </c>
      <c r="C2024" s="20" t="s">
        <v>4196</v>
      </c>
      <c r="D2024" s="20" t="s">
        <v>4195</v>
      </c>
      <c r="E2024" s="20" t="e">
        <f t="array" ref="E2024">INDEX(C:C,SMALL(IF(ISNUMBER(FIND(CELL("contents"),$C$2:$C$4852)),ROW($C$2:$C$4852),4^8),ROW(C2024)))&amp;""</f>
        <v>#N/A</v>
      </c>
    </row>
    <row r="2025" ht="14.100000000000001" customHeight="1">
      <c r="B2025" s="20" t="s">
        <v>4197</v>
      </c>
      <c r="C2025" s="20" t="s">
        <v>4198</v>
      </c>
      <c r="D2025" s="20" t="s">
        <v>4197</v>
      </c>
      <c r="E2025" s="20" t="e">
        <f t="array" ref="E2025">INDEX(C:C,SMALL(IF(ISNUMBER(FIND(CELL("contents"),$C$2:$C$4852)),ROW($C$2:$C$4852),4^8),ROW(C2025)))&amp;""</f>
        <v>#N/A</v>
      </c>
    </row>
    <row r="2026" ht="14.100000000000001" customHeight="1">
      <c r="B2026" s="20" t="s">
        <v>4199</v>
      </c>
      <c r="C2026" s="20" t="s">
        <v>4200</v>
      </c>
      <c r="D2026" s="20" t="s">
        <v>4199</v>
      </c>
      <c r="E2026" s="20" t="e">
        <f t="array" ref="E2026">INDEX(C:C,SMALL(IF(ISNUMBER(FIND(CELL("contents"),$C$2:$C$4852)),ROW($C$2:$C$4852),4^8),ROW(C2026)))&amp;""</f>
        <v>#N/A</v>
      </c>
    </row>
    <row r="2027" ht="14.100000000000001" customHeight="1">
      <c r="B2027" s="20" t="s">
        <v>4201</v>
      </c>
      <c r="C2027" s="20" t="s">
        <v>4202</v>
      </c>
      <c r="D2027" s="20" t="s">
        <v>4201</v>
      </c>
      <c r="E2027" s="20" t="e">
        <f t="array" ref="E2027">INDEX(C:C,SMALL(IF(ISNUMBER(FIND(CELL("contents"),$C$2:$C$4852)),ROW($C$2:$C$4852),4^8),ROW(C2027)))&amp;""</f>
        <v>#N/A</v>
      </c>
    </row>
    <row r="2028" ht="14.100000000000001" customHeight="1">
      <c r="B2028" s="20" t="s">
        <v>4203</v>
      </c>
      <c r="C2028" s="20" t="s">
        <v>4204</v>
      </c>
      <c r="D2028" s="20" t="s">
        <v>4203</v>
      </c>
      <c r="E2028" s="20" t="e">
        <f t="array" ref="E2028">INDEX(C:C,SMALL(IF(ISNUMBER(FIND(CELL("contents"),$C$2:$C$4852)),ROW($C$2:$C$4852),4^8),ROW(C2028)))&amp;""</f>
        <v>#N/A</v>
      </c>
    </row>
    <row r="2029" ht="14.100000000000001" customHeight="1">
      <c r="B2029" s="20" t="s">
        <v>4205</v>
      </c>
      <c r="C2029" s="20" t="s">
        <v>4206</v>
      </c>
      <c r="D2029" s="20" t="s">
        <v>4205</v>
      </c>
      <c r="E2029" s="20" t="e">
        <f t="array" ref="E2029">INDEX(C:C,SMALL(IF(ISNUMBER(FIND(CELL("contents"),$C$2:$C$4852)),ROW($C$2:$C$4852),4^8),ROW(C2029)))&amp;""</f>
        <v>#N/A</v>
      </c>
    </row>
    <row r="2030" ht="14.100000000000001" customHeight="1">
      <c r="B2030" s="20" t="s">
        <v>4207</v>
      </c>
      <c r="C2030" s="20" t="s">
        <v>4208</v>
      </c>
      <c r="D2030" s="20" t="s">
        <v>4207</v>
      </c>
      <c r="E2030" s="20" t="e">
        <f t="array" ref="E2030">INDEX(C:C,SMALL(IF(ISNUMBER(FIND(CELL("contents"),$C$2:$C$4852)),ROW($C$2:$C$4852),4^8),ROW(C2030)))&amp;""</f>
        <v>#N/A</v>
      </c>
    </row>
    <row r="2031" ht="14.100000000000001" customHeight="1">
      <c r="B2031" s="20" t="s">
        <v>4209</v>
      </c>
      <c r="C2031" s="20" t="s">
        <v>4210</v>
      </c>
      <c r="D2031" s="20" t="s">
        <v>4209</v>
      </c>
      <c r="E2031" s="20" t="e">
        <f t="array" ref="E2031">INDEX(C:C,SMALL(IF(ISNUMBER(FIND(CELL("contents"),$C$2:$C$4852)),ROW($C$2:$C$4852),4^8),ROW(C2031)))&amp;""</f>
        <v>#N/A</v>
      </c>
    </row>
    <row r="2032" ht="14.100000000000001" customHeight="1">
      <c r="B2032" s="20" t="s">
        <v>4211</v>
      </c>
      <c r="C2032" s="20" t="s">
        <v>4212</v>
      </c>
      <c r="D2032" s="20" t="s">
        <v>4211</v>
      </c>
      <c r="E2032" s="20" t="e">
        <f t="array" ref="E2032">INDEX(C:C,SMALL(IF(ISNUMBER(FIND(CELL("contents"),$C$2:$C$4852)),ROW($C$2:$C$4852),4^8),ROW(C2032)))&amp;""</f>
        <v>#N/A</v>
      </c>
    </row>
    <row r="2033" ht="14.100000000000001" customHeight="1">
      <c r="B2033" s="20" t="s">
        <v>4213</v>
      </c>
      <c r="C2033" s="20" t="s">
        <v>4214</v>
      </c>
      <c r="D2033" s="20" t="s">
        <v>4213</v>
      </c>
      <c r="E2033" s="20" t="e">
        <f t="array" ref="E2033">INDEX(C:C,SMALL(IF(ISNUMBER(FIND(CELL("contents"),$C$2:$C$4852)),ROW($C$2:$C$4852),4^8),ROW(C2033)))&amp;""</f>
        <v>#N/A</v>
      </c>
    </row>
    <row r="2034" ht="14.100000000000001" customHeight="1">
      <c r="B2034" s="20" t="s">
        <v>4215</v>
      </c>
      <c r="C2034" s="20" t="s">
        <v>4216</v>
      </c>
      <c r="D2034" s="20" t="s">
        <v>4215</v>
      </c>
      <c r="E2034" s="20" t="e">
        <f t="array" ref="E2034">INDEX(C:C,SMALL(IF(ISNUMBER(FIND(CELL("contents"),$C$2:$C$4852)),ROW($C$2:$C$4852),4^8),ROW(C2034)))&amp;""</f>
        <v>#N/A</v>
      </c>
    </row>
    <row r="2035" ht="14.100000000000001" customHeight="1">
      <c r="B2035" s="20" t="s">
        <v>4217</v>
      </c>
      <c r="C2035" s="20" t="s">
        <v>4218</v>
      </c>
      <c r="D2035" s="20" t="s">
        <v>4217</v>
      </c>
      <c r="E2035" s="20" t="e">
        <f t="array" ref="E2035">INDEX(C:C,SMALL(IF(ISNUMBER(FIND(CELL("contents"),$C$2:$C$4852)),ROW($C$2:$C$4852),4^8),ROW(C2035)))&amp;""</f>
        <v>#N/A</v>
      </c>
    </row>
    <row r="2036" ht="14.100000000000001" customHeight="1">
      <c r="B2036" s="20" t="s">
        <v>4219</v>
      </c>
      <c r="C2036" s="20" t="s">
        <v>4220</v>
      </c>
      <c r="D2036" s="20" t="s">
        <v>4219</v>
      </c>
      <c r="E2036" s="20" t="e">
        <f t="array" ref="E2036">INDEX(C:C,SMALL(IF(ISNUMBER(FIND(CELL("contents"),$C$2:$C$4852)),ROW($C$2:$C$4852),4^8),ROW(C2036)))&amp;""</f>
        <v>#N/A</v>
      </c>
    </row>
    <row r="2037" ht="14.100000000000001" customHeight="1">
      <c r="B2037" s="20" t="s">
        <v>4221</v>
      </c>
      <c r="C2037" s="20" t="s">
        <v>4222</v>
      </c>
      <c r="D2037" s="20" t="s">
        <v>4221</v>
      </c>
      <c r="E2037" s="20" t="e">
        <f t="array" ref="E2037">INDEX(C:C,SMALL(IF(ISNUMBER(FIND(CELL("contents"),$C$2:$C$4852)),ROW($C$2:$C$4852),4^8),ROW(C2037)))&amp;""</f>
        <v>#N/A</v>
      </c>
    </row>
    <row r="2038" ht="14.100000000000001" customHeight="1">
      <c r="B2038" s="20" t="s">
        <v>4223</v>
      </c>
      <c r="C2038" s="20" t="s">
        <v>4224</v>
      </c>
      <c r="D2038" s="20" t="s">
        <v>4223</v>
      </c>
      <c r="E2038" s="20" t="e">
        <f t="array" ref="E2038">INDEX(C:C,SMALL(IF(ISNUMBER(FIND(CELL("contents"),$C$2:$C$4852)),ROW($C$2:$C$4852),4^8),ROW(C2038)))&amp;""</f>
        <v>#N/A</v>
      </c>
    </row>
    <row r="2039" ht="14.100000000000001" customHeight="1">
      <c r="B2039" s="20" t="s">
        <v>4225</v>
      </c>
      <c r="C2039" s="20" t="s">
        <v>4226</v>
      </c>
      <c r="D2039" s="20" t="s">
        <v>4225</v>
      </c>
      <c r="E2039" s="20" t="e">
        <f t="array" ref="E2039">INDEX(C:C,SMALL(IF(ISNUMBER(FIND(CELL("contents"),$C$2:$C$4852)),ROW($C$2:$C$4852),4^8),ROW(C2039)))&amp;""</f>
        <v>#N/A</v>
      </c>
    </row>
    <row r="2040" ht="14.100000000000001" customHeight="1">
      <c r="B2040" s="20" t="s">
        <v>4227</v>
      </c>
      <c r="C2040" s="20" t="s">
        <v>4228</v>
      </c>
      <c r="D2040" s="20" t="s">
        <v>4227</v>
      </c>
      <c r="E2040" s="20" t="e">
        <f t="array" ref="E2040">INDEX(C:C,SMALL(IF(ISNUMBER(FIND(CELL("contents"),$C$2:$C$4852)),ROW($C$2:$C$4852),4^8),ROW(C2040)))&amp;""</f>
        <v>#N/A</v>
      </c>
    </row>
    <row r="2041" ht="14.100000000000001" customHeight="1">
      <c r="B2041" s="20" t="s">
        <v>4229</v>
      </c>
      <c r="C2041" s="20" t="s">
        <v>4230</v>
      </c>
      <c r="D2041" s="20" t="s">
        <v>4229</v>
      </c>
      <c r="E2041" s="20" t="e">
        <f t="array" ref="E2041">INDEX(C:C,SMALL(IF(ISNUMBER(FIND(CELL("contents"),$C$2:$C$4852)),ROW($C$2:$C$4852),4^8),ROW(C2041)))&amp;""</f>
        <v>#N/A</v>
      </c>
    </row>
    <row r="2042" ht="14.100000000000001" customHeight="1">
      <c r="B2042" s="20" t="s">
        <v>4231</v>
      </c>
      <c r="C2042" s="20" t="s">
        <v>4232</v>
      </c>
      <c r="D2042" s="20" t="s">
        <v>4231</v>
      </c>
      <c r="E2042" s="20" t="e">
        <f t="array" ref="E2042">INDEX(C:C,SMALL(IF(ISNUMBER(FIND(CELL("contents"),$C$2:$C$4852)),ROW($C$2:$C$4852),4^8),ROW(C2042)))&amp;""</f>
        <v>#N/A</v>
      </c>
    </row>
    <row r="2043" ht="14.100000000000001" customHeight="1">
      <c r="B2043" s="20" t="s">
        <v>4233</v>
      </c>
      <c r="C2043" s="20" t="s">
        <v>4234</v>
      </c>
      <c r="D2043" s="20" t="s">
        <v>4233</v>
      </c>
      <c r="E2043" s="20" t="e">
        <f t="array" ref="E2043">INDEX(C:C,SMALL(IF(ISNUMBER(FIND(CELL("contents"),$C$2:$C$4852)),ROW($C$2:$C$4852),4^8),ROW(C2043)))&amp;""</f>
        <v>#N/A</v>
      </c>
    </row>
    <row r="2044" ht="14.100000000000001" customHeight="1">
      <c r="B2044" s="20" t="s">
        <v>4235</v>
      </c>
      <c r="C2044" s="20" t="s">
        <v>4236</v>
      </c>
      <c r="D2044" s="20" t="s">
        <v>4235</v>
      </c>
      <c r="E2044" s="20" t="e">
        <f t="array" ref="E2044">INDEX(C:C,SMALL(IF(ISNUMBER(FIND(CELL("contents"),$C$2:$C$4852)),ROW($C$2:$C$4852),4^8),ROW(C2044)))&amp;""</f>
        <v>#N/A</v>
      </c>
    </row>
    <row r="2045" ht="14.100000000000001" customHeight="1">
      <c r="B2045" s="20" t="s">
        <v>4237</v>
      </c>
      <c r="C2045" s="20" t="s">
        <v>4238</v>
      </c>
      <c r="D2045" s="20" t="s">
        <v>4237</v>
      </c>
      <c r="E2045" s="20" t="e">
        <f t="array" ref="E2045">INDEX(C:C,SMALL(IF(ISNUMBER(FIND(CELL("contents"),$C$2:$C$4852)),ROW($C$2:$C$4852),4^8),ROW(C2045)))&amp;""</f>
        <v>#N/A</v>
      </c>
    </row>
    <row r="2046" ht="14.100000000000001" customHeight="1">
      <c r="B2046" s="20" t="s">
        <v>4239</v>
      </c>
      <c r="C2046" s="20" t="s">
        <v>4240</v>
      </c>
      <c r="D2046" s="20" t="s">
        <v>4239</v>
      </c>
      <c r="E2046" s="20" t="e">
        <f t="array" ref="E2046">INDEX(C:C,SMALL(IF(ISNUMBER(FIND(CELL("contents"),$C$2:$C$4852)),ROW($C$2:$C$4852),4^8),ROW(C2046)))&amp;""</f>
        <v>#N/A</v>
      </c>
    </row>
    <row r="2047" ht="14.100000000000001" customHeight="1">
      <c r="B2047" s="20" t="s">
        <v>4241</v>
      </c>
      <c r="C2047" s="20" t="s">
        <v>4242</v>
      </c>
      <c r="D2047" s="20" t="s">
        <v>4241</v>
      </c>
      <c r="E2047" s="20" t="e">
        <f t="array" ref="E2047">INDEX(C:C,SMALL(IF(ISNUMBER(FIND(CELL("contents"),$C$2:$C$4852)),ROW($C$2:$C$4852),4^8),ROW(C2047)))&amp;""</f>
        <v>#N/A</v>
      </c>
    </row>
    <row r="2048" ht="14.100000000000001" customHeight="1">
      <c r="B2048" s="20" t="s">
        <v>4243</v>
      </c>
      <c r="C2048" s="20" t="s">
        <v>4244</v>
      </c>
      <c r="D2048" s="20" t="s">
        <v>4243</v>
      </c>
      <c r="E2048" s="20" t="e">
        <f t="array" ref="E2048">INDEX(C:C,SMALL(IF(ISNUMBER(FIND(CELL("contents"),$C$2:$C$4852)),ROW($C$2:$C$4852),4^8),ROW(C2048)))&amp;""</f>
        <v>#N/A</v>
      </c>
    </row>
    <row r="2049" ht="14.100000000000001" customHeight="1">
      <c r="B2049" s="20" t="s">
        <v>4245</v>
      </c>
      <c r="C2049" s="20" t="s">
        <v>4246</v>
      </c>
      <c r="D2049" s="20" t="s">
        <v>4245</v>
      </c>
      <c r="E2049" s="20" t="e">
        <f t="array" ref="E2049">INDEX(C:C,SMALL(IF(ISNUMBER(FIND(CELL("contents"),$C$2:$C$4852)),ROW($C$2:$C$4852),4^8),ROW(C2049)))&amp;""</f>
        <v>#N/A</v>
      </c>
    </row>
    <row r="2050" ht="14.100000000000001" customHeight="1">
      <c r="B2050" s="20" t="s">
        <v>4247</v>
      </c>
      <c r="C2050" s="20" t="s">
        <v>4248</v>
      </c>
      <c r="D2050" s="20" t="s">
        <v>4247</v>
      </c>
      <c r="E2050" s="20" t="e">
        <f t="array" ref="E2050">INDEX(C:C,SMALL(IF(ISNUMBER(FIND(CELL("contents"),$C$2:$C$4852)),ROW($C$2:$C$4852),4^8),ROW(C2050)))&amp;""</f>
        <v>#N/A</v>
      </c>
    </row>
    <row r="2051" ht="14.100000000000001" customHeight="1">
      <c r="B2051" s="20" t="s">
        <v>4249</v>
      </c>
      <c r="C2051" s="20" t="s">
        <v>4250</v>
      </c>
      <c r="D2051" s="20" t="s">
        <v>4249</v>
      </c>
      <c r="E2051" s="20" t="e">
        <f t="array" ref="E2051">INDEX(C:C,SMALL(IF(ISNUMBER(FIND(CELL("contents"),$C$2:$C$4852)),ROW($C$2:$C$4852),4^8),ROW(C2051)))&amp;""</f>
        <v>#N/A</v>
      </c>
    </row>
    <row r="2052" ht="14.100000000000001" customHeight="1">
      <c r="B2052" s="20" t="s">
        <v>4251</v>
      </c>
      <c r="C2052" s="20" t="s">
        <v>4252</v>
      </c>
      <c r="D2052" s="20" t="s">
        <v>4251</v>
      </c>
      <c r="E2052" s="20" t="e">
        <f t="array" ref="E2052">INDEX(C:C,SMALL(IF(ISNUMBER(FIND(CELL("contents"),$C$2:$C$4852)),ROW($C$2:$C$4852),4^8),ROW(C2052)))&amp;""</f>
        <v>#N/A</v>
      </c>
    </row>
    <row r="2053" ht="14.100000000000001" customHeight="1">
      <c r="B2053" s="20" t="s">
        <v>4253</v>
      </c>
      <c r="C2053" s="20" t="s">
        <v>4254</v>
      </c>
      <c r="D2053" s="20" t="s">
        <v>4253</v>
      </c>
      <c r="E2053" s="20" t="e">
        <f t="array" ref="E2053">INDEX(C:C,SMALL(IF(ISNUMBER(FIND(CELL("contents"),$C$2:$C$4852)),ROW($C$2:$C$4852),4^8),ROW(C2053)))&amp;""</f>
        <v>#N/A</v>
      </c>
    </row>
    <row r="2054" ht="14.100000000000001" customHeight="1">
      <c r="B2054" s="20" t="s">
        <v>4255</v>
      </c>
      <c r="C2054" s="20" t="s">
        <v>4256</v>
      </c>
      <c r="D2054" s="20" t="s">
        <v>4255</v>
      </c>
      <c r="E2054" s="20" t="e">
        <f t="array" ref="E2054">INDEX(C:C,SMALL(IF(ISNUMBER(FIND(CELL("contents"),$C$2:$C$4852)),ROW($C$2:$C$4852),4^8),ROW(C2054)))&amp;""</f>
        <v>#N/A</v>
      </c>
    </row>
    <row r="2055" ht="14.100000000000001" customHeight="1">
      <c r="B2055" s="20" t="s">
        <v>4257</v>
      </c>
      <c r="C2055" s="20" t="s">
        <v>4258</v>
      </c>
      <c r="D2055" s="20" t="s">
        <v>4257</v>
      </c>
      <c r="E2055" s="20" t="e">
        <f t="array" ref="E2055">INDEX(C:C,SMALL(IF(ISNUMBER(FIND(CELL("contents"),$C$2:$C$4852)),ROW($C$2:$C$4852),4^8),ROW(C2055)))&amp;""</f>
        <v>#N/A</v>
      </c>
    </row>
    <row r="2056" ht="14.100000000000001" customHeight="1">
      <c r="B2056" s="20" t="s">
        <v>4259</v>
      </c>
      <c r="C2056" s="20" t="s">
        <v>4260</v>
      </c>
      <c r="D2056" s="20" t="s">
        <v>4259</v>
      </c>
      <c r="E2056" s="20" t="e">
        <f t="array" ref="E2056">INDEX(C:C,SMALL(IF(ISNUMBER(FIND(CELL("contents"),$C$2:$C$4852)),ROW($C$2:$C$4852),4^8),ROW(C2056)))&amp;""</f>
        <v>#N/A</v>
      </c>
    </row>
    <row r="2057" ht="14.100000000000001" customHeight="1">
      <c r="B2057" s="20" t="s">
        <v>4261</v>
      </c>
      <c r="C2057" s="20" t="s">
        <v>4262</v>
      </c>
      <c r="D2057" s="20" t="s">
        <v>4261</v>
      </c>
      <c r="E2057" s="20" t="e">
        <f t="array" ref="E2057">INDEX(C:C,SMALL(IF(ISNUMBER(FIND(CELL("contents"),$C$2:$C$4852)),ROW($C$2:$C$4852),4^8),ROW(C2057)))&amp;""</f>
        <v>#N/A</v>
      </c>
    </row>
    <row r="2058" ht="14.100000000000001" customHeight="1">
      <c r="B2058" s="20" t="s">
        <v>4263</v>
      </c>
      <c r="C2058" s="20" t="s">
        <v>4264</v>
      </c>
      <c r="D2058" s="20" t="s">
        <v>4263</v>
      </c>
      <c r="E2058" s="20" t="e">
        <f t="array" ref="E2058">INDEX(C:C,SMALL(IF(ISNUMBER(FIND(CELL("contents"),$C$2:$C$4852)),ROW($C$2:$C$4852),4^8),ROW(C2058)))&amp;""</f>
        <v>#N/A</v>
      </c>
    </row>
    <row r="2059" ht="14.100000000000001" customHeight="1">
      <c r="B2059" s="20" t="s">
        <v>4265</v>
      </c>
      <c r="C2059" s="20" t="s">
        <v>4266</v>
      </c>
      <c r="D2059" s="20" t="s">
        <v>4265</v>
      </c>
      <c r="E2059" s="20" t="e">
        <f t="array" ref="E2059">INDEX(C:C,SMALL(IF(ISNUMBER(FIND(CELL("contents"),$C$2:$C$4852)),ROW($C$2:$C$4852),4^8),ROW(C2059)))&amp;""</f>
        <v>#N/A</v>
      </c>
    </row>
    <row r="2060" ht="14.100000000000001" customHeight="1">
      <c r="B2060" s="20" t="s">
        <v>4267</v>
      </c>
      <c r="C2060" s="20" t="s">
        <v>4268</v>
      </c>
      <c r="D2060" s="20" t="s">
        <v>4267</v>
      </c>
      <c r="E2060" s="20" t="e">
        <f t="array" ref="E2060">INDEX(C:C,SMALL(IF(ISNUMBER(FIND(CELL("contents"),$C$2:$C$4852)),ROW($C$2:$C$4852),4^8),ROW(C2060)))&amp;""</f>
        <v>#N/A</v>
      </c>
    </row>
    <row r="2061" ht="14.100000000000001" customHeight="1">
      <c r="B2061" s="20" t="s">
        <v>4269</v>
      </c>
      <c r="C2061" s="20" t="s">
        <v>4270</v>
      </c>
      <c r="D2061" s="20" t="s">
        <v>4269</v>
      </c>
      <c r="E2061" s="20" t="e">
        <f t="array" ref="E2061">INDEX(C:C,SMALL(IF(ISNUMBER(FIND(CELL("contents"),$C$2:$C$4852)),ROW($C$2:$C$4852),4^8),ROW(C2061)))&amp;""</f>
        <v>#N/A</v>
      </c>
    </row>
    <row r="2062" ht="14.100000000000001" customHeight="1">
      <c r="B2062" s="20" t="s">
        <v>4271</v>
      </c>
      <c r="C2062" s="20" t="s">
        <v>4272</v>
      </c>
      <c r="D2062" s="20" t="s">
        <v>4271</v>
      </c>
      <c r="E2062" s="20" t="e">
        <f t="array" ref="E2062">INDEX(C:C,SMALL(IF(ISNUMBER(FIND(CELL("contents"),$C$2:$C$4852)),ROW($C$2:$C$4852),4^8),ROW(C2062)))&amp;""</f>
        <v>#N/A</v>
      </c>
    </row>
    <row r="2063" ht="14.100000000000001" customHeight="1">
      <c r="B2063" s="20" t="s">
        <v>4273</v>
      </c>
      <c r="C2063" s="20" t="s">
        <v>4274</v>
      </c>
      <c r="D2063" s="20" t="s">
        <v>4273</v>
      </c>
      <c r="E2063" s="20" t="e">
        <f t="array" ref="E2063">INDEX(C:C,SMALL(IF(ISNUMBER(FIND(CELL("contents"),$C$2:$C$4852)),ROW($C$2:$C$4852),4^8),ROW(C2063)))&amp;""</f>
        <v>#N/A</v>
      </c>
    </row>
    <row r="2064" ht="14.100000000000001" customHeight="1">
      <c r="B2064" s="20" t="s">
        <v>4275</v>
      </c>
      <c r="C2064" s="20" t="s">
        <v>4276</v>
      </c>
      <c r="D2064" s="20" t="s">
        <v>4275</v>
      </c>
      <c r="E2064" s="20" t="e">
        <f t="array" ref="E2064">INDEX(C:C,SMALL(IF(ISNUMBER(FIND(CELL("contents"),$C$2:$C$4852)),ROW($C$2:$C$4852),4^8),ROW(C2064)))&amp;""</f>
        <v>#N/A</v>
      </c>
    </row>
    <row r="2065" ht="14.100000000000001" customHeight="1">
      <c r="B2065" s="20" t="s">
        <v>4277</v>
      </c>
      <c r="C2065" s="20" t="s">
        <v>4278</v>
      </c>
      <c r="D2065" s="20" t="s">
        <v>4277</v>
      </c>
      <c r="E2065" s="20" t="e">
        <f t="array" ref="E2065">INDEX(C:C,SMALL(IF(ISNUMBER(FIND(CELL("contents"),$C$2:$C$4852)),ROW($C$2:$C$4852),4^8),ROW(C2065)))&amp;""</f>
        <v>#N/A</v>
      </c>
    </row>
    <row r="2066" ht="14.100000000000001" customHeight="1">
      <c r="B2066" s="20" t="s">
        <v>4279</v>
      </c>
      <c r="C2066" s="20" t="s">
        <v>4280</v>
      </c>
      <c r="D2066" s="20" t="s">
        <v>4279</v>
      </c>
      <c r="E2066" s="20" t="e">
        <f t="array" ref="E2066">INDEX(C:C,SMALL(IF(ISNUMBER(FIND(CELL("contents"),$C$2:$C$4852)),ROW($C$2:$C$4852),4^8),ROW(C2066)))&amp;""</f>
        <v>#N/A</v>
      </c>
    </row>
    <row r="2067" ht="14.100000000000001" customHeight="1">
      <c r="B2067" s="20" t="s">
        <v>4281</v>
      </c>
      <c r="C2067" s="20" t="s">
        <v>4282</v>
      </c>
      <c r="D2067" s="20" t="s">
        <v>4281</v>
      </c>
      <c r="E2067" s="20" t="e">
        <f t="array" ref="E2067">INDEX(C:C,SMALL(IF(ISNUMBER(FIND(CELL("contents"),$C$2:$C$4852)),ROW($C$2:$C$4852),4^8),ROW(C2067)))&amp;""</f>
        <v>#N/A</v>
      </c>
    </row>
    <row r="2068" ht="14.100000000000001" customHeight="1">
      <c r="B2068" s="20" t="s">
        <v>4283</v>
      </c>
      <c r="C2068" s="20" t="s">
        <v>4284</v>
      </c>
      <c r="D2068" s="20" t="s">
        <v>4283</v>
      </c>
      <c r="E2068" s="20" t="e">
        <f t="array" ref="E2068">INDEX(C:C,SMALL(IF(ISNUMBER(FIND(CELL("contents"),$C$2:$C$4852)),ROW($C$2:$C$4852),4^8),ROW(C2068)))&amp;""</f>
        <v>#N/A</v>
      </c>
    </row>
    <row r="2069" ht="14.100000000000001" customHeight="1">
      <c r="B2069" s="20" t="s">
        <v>4285</v>
      </c>
      <c r="C2069" s="20" t="s">
        <v>4286</v>
      </c>
      <c r="D2069" s="20" t="s">
        <v>4285</v>
      </c>
      <c r="E2069" s="20" t="e">
        <f t="array" ref="E2069">INDEX(C:C,SMALL(IF(ISNUMBER(FIND(CELL("contents"),$C$2:$C$4852)),ROW($C$2:$C$4852),4^8),ROW(C2069)))&amp;""</f>
        <v>#N/A</v>
      </c>
    </row>
    <row r="2070" ht="14.100000000000001" customHeight="1">
      <c r="B2070" s="20" t="s">
        <v>4287</v>
      </c>
      <c r="C2070" s="20" t="s">
        <v>4288</v>
      </c>
      <c r="D2070" s="20" t="s">
        <v>4287</v>
      </c>
      <c r="E2070" s="20" t="e">
        <f t="array" ref="E2070">INDEX(C:C,SMALL(IF(ISNUMBER(FIND(CELL("contents"),$C$2:$C$4852)),ROW($C$2:$C$4852),4^8),ROW(C2070)))&amp;""</f>
        <v>#N/A</v>
      </c>
    </row>
    <row r="2071" ht="14.100000000000001" customHeight="1">
      <c r="B2071" s="20" t="s">
        <v>4289</v>
      </c>
      <c r="C2071" s="20" t="s">
        <v>4290</v>
      </c>
      <c r="D2071" s="20" t="s">
        <v>4289</v>
      </c>
      <c r="E2071" s="20" t="e">
        <f t="array" ref="E2071">INDEX(C:C,SMALL(IF(ISNUMBER(FIND(CELL("contents"),$C$2:$C$4852)),ROW($C$2:$C$4852),4^8),ROW(C2071)))&amp;""</f>
        <v>#N/A</v>
      </c>
    </row>
    <row r="2072" ht="14.100000000000001" customHeight="1">
      <c r="B2072" s="20" t="s">
        <v>4291</v>
      </c>
      <c r="C2072" s="20" t="s">
        <v>4292</v>
      </c>
      <c r="D2072" s="20" t="s">
        <v>4291</v>
      </c>
      <c r="E2072" s="20" t="e">
        <f t="array" ref="E2072">INDEX(C:C,SMALL(IF(ISNUMBER(FIND(CELL("contents"),$C$2:$C$4852)),ROW($C$2:$C$4852),4^8),ROW(C2072)))&amp;""</f>
        <v>#N/A</v>
      </c>
    </row>
    <row r="2073" ht="14.100000000000001" customHeight="1">
      <c r="B2073" s="20" t="s">
        <v>4293</v>
      </c>
      <c r="C2073" s="20" t="s">
        <v>4294</v>
      </c>
      <c r="D2073" s="20" t="s">
        <v>4293</v>
      </c>
      <c r="E2073" s="20" t="e">
        <f t="array" ref="E2073">INDEX(C:C,SMALL(IF(ISNUMBER(FIND(CELL("contents"),$C$2:$C$4852)),ROW($C$2:$C$4852),4^8),ROW(C2073)))&amp;""</f>
        <v>#N/A</v>
      </c>
    </row>
    <row r="2074" ht="14.100000000000001" customHeight="1">
      <c r="B2074" s="20" t="s">
        <v>4295</v>
      </c>
      <c r="C2074" s="20" t="s">
        <v>4296</v>
      </c>
      <c r="D2074" s="20" t="s">
        <v>4295</v>
      </c>
      <c r="E2074" s="20" t="e">
        <f t="array" ref="E2074">INDEX(C:C,SMALL(IF(ISNUMBER(FIND(CELL("contents"),$C$2:$C$4852)),ROW($C$2:$C$4852),4^8),ROW(C2074)))&amp;""</f>
        <v>#N/A</v>
      </c>
    </row>
    <row r="2075" ht="14.100000000000001" customHeight="1">
      <c r="B2075" s="20" t="s">
        <v>4297</v>
      </c>
      <c r="C2075" s="20" t="s">
        <v>4298</v>
      </c>
      <c r="D2075" s="20" t="s">
        <v>4297</v>
      </c>
      <c r="E2075" s="20" t="e">
        <f t="array" ref="E2075">INDEX(C:C,SMALL(IF(ISNUMBER(FIND(CELL("contents"),$C$2:$C$4852)),ROW($C$2:$C$4852),4^8),ROW(C2075)))&amp;""</f>
        <v>#N/A</v>
      </c>
    </row>
    <row r="2076" ht="14.100000000000001" customHeight="1">
      <c r="B2076" s="20" t="s">
        <v>4299</v>
      </c>
      <c r="C2076" s="20" t="s">
        <v>4300</v>
      </c>
      <c r="D2076" s="20" t="s">
        <v>4299</v>
      </c>
      <c r="E2076" s="20" t="e">
        <f t="array" ref="E2076">INDEX(C:C,SMALL(IF(ISNUMBER(FIND(CELL("contents"),$C$2:$C$4852)),ROW($C$2:$C$4852),4^8),ROW(C2076)))&amp;""</f>
        <v>#N/A</v>
      </c>
    </row>
    <row r="2077" ht="14.100000000000001" customHeight="1">
      <c r="B2077" s="20" t="s">
        <v>4301</v>
      </c>
      <c r="C2077" s="20" t="s">
        <v>4302</v>
      </c>
      <c r="D2077" s="20" t="s">
        <v>4301</v>
      </c>
      <c r="E2077" s="20" t="e">
        <f t="array" ref="E2077">INDEX(C:C,SMALL(IF(ISNUMBER(FIND(CELL("contents"),$C$2:$C$4852)),ROW($C$2:$C$4852),4^8),ROW(C2077)))&amp;""</f>
        <v>#N/A</v>
      </c>
    </row>
    <row r="2078" ht="14.100000000000001" customHeight="1">
      <c r="B2078" s="20" t="s">
        <v>4303</v>
      </c>
      <c r="C2078" s="20" t="s">
        <v>4304</v>
      </c>
      <c r="D2078" s="20" t="s">
        <v>4303</v>
      </c>
      <c r="E2078" s="20" t="e">
        <f t="array" ref="E2078">INDEX(C:C,SMALL(IF(ISNUMBER(FIND(CELL("contents"),$C$2:$C$4852)),ROW($C$2:$C$4852),4^8),ROW(C2078)))&amp;""</f>
        <v>#N/A</v>
      </c>
    </row>
    <row r="2079" ht="14.100000000000001" customHeight="1">
      <c r="B2079" s="20" t="s">
        <v>4305</v>
      </c>
      <c r="C2079" s="20" t="s">
        <v>4306</v>
      </c>
      <c r="D2079" s="20" t="s">
        <v>4305</v>
      </c>
      <c r="E2079" s="20" t="e">
        <f t="array" ref="E2079">INDEX(C:C,SMALL(IF(ISNUMBER(FIND(CELL("contents"),$C$2:$C$4852)),ROW($C$2:$C$4852),4^8),ROW(C2079)))&amp;""</f>
        <v>#N/A</v>
      </c>
    </row>
    <row r="2080" ht="14.100000000000001" customHeight="1">
      <c r="B2080" s="20" t="s">
        <v>4307</v>
      </c>
      <c r="C2080" s="20" t="s">
        <v>4308</v>
      </c>
      <c r="D2080" s="20" t="s">
        <v>4307</v>
      </c>
      <c r="E2080" s="20" t="e">
        <f t="array" ref="E2080">INDEX(C:C,SMALL(IF(ISNUMBER(FIND(CELL("contents"),$C$2:$C$4852)),ROW($C$2:$C$4852),4^8),ROW(C2080)))&amp;""</f>
        <v>#N/A</v>
      </c>
    </row>
    <row r="2081" ht="14.100000000000001" customHeight="1">
      <c r="B2081" s="20" t="s">
        <v>4309</v>
      </c>
      <c r="C2081" s="20" t="s">
        <v>4310</v>
      </c>
      <c r="D2081" s="20" t="s">
        <v>4309</v>
      </c>
      <c r="E2081" s="20" t="e">
        <f t="array" ref="E2081">INDEX(C:C,SMALL(IF(ISNUMBER(FIND(CELL("contents"),$C$2:$C$4852)),ROW($C$2:$C$4852),4^8),ROW(C2081)))&amp;""</f>
        <v>#N/A</v>
      </c>
    </row>
    <row r="2082" ht="14.100000000000001" customHeight="1">
      <c r="B2082" s="20" t="s">
        <v>4311</v>
      </c>
      <c r="C2082" s="20" t="s">
        <v>4312</v>
      </c>
      <c r="D2082" s="20" t="s">
        <v>4311</v>
      </c>
      <c r="E2082" s="20" t="e">
        <f t="array" ref="E2082">INDEX(C:C,SMALL(IF(ISNUMBER(FIND(CELL("contents"),$C$2:$C$4852)),ROW($C$2:$C$4852),4^8),ROW(C2082)))&amp;""</f>
        <v>#N/A</v>
      </c>
    </row>
    <row r="2083" ht="14.100000000000001" customHeight="1">
      <c r="B2083" s="20" t="s">
        <v>4313</v>
      </c>
      <c r="C2083" s="20" t="s">
        <v>4314</v>
      </c>
      <c r="D2083" s="20" t="s">
        <v>4313</v>
      </c>
      <c r="E2083" s="20" t="e">
        <f t="array" ref="E2083">INDEX(C:C,SMALL(IF(ISNUMBER(FIND(CELL("contents"),$C$2:$C$4852)),ROW($C$2:$C$4852),4^8),ROW(C2083)))&amp;""</f>
        <v>#N/A</v>
      </c>
    </row>
    <row r="2084" ht="14.100000000000001" customHeight="1">
      <c r="B2084" s="20" t="s">
        <v>4315</v>
      </c>
      <c r="C2084" s="20" t="s">
        <v>4316</v>
      </c>
      <c r="D2084" s="20" t="s">
        <v>4315</v>
      </c>
      <c r="E2084" s="20" t="e">
        <f t="array" ref="E2084">INDEX(C:C,SMALL(IF(ISNUMBER(FIND(CELL("contents"),$C$2:$C$4852)),ROW($C$2:$C$4852),4^8),ROW(C2084)))&amp;""</f>
        <v>#N/A</v>
      </c>
    </row>
    <row r="2085" ht="14.100000000000001" customHeight="1">
      <c r="B2085" s="20" t="s">
        <v>4317</v>
      </c>
      <c r="C2085" s="20" t="s">
        <v>4318</v>
      </c>
      <c r="D2085" s="20" t="s">
        <v>4317</v>
      </c>
      <c r="E2085" s="20" t="e">
        <f t="array" ref="E2085">INDEX(C:C,SMALL(IF(ISNUMBER(FIND(CELL("contents"),$C$2:$C$4852)),ROW($C$2:$C$4852),4^8),ROW(C2085)))&amp;""</f>
        <v>#N/A</v>
      </c>
    </row>
    <row r="2086" ht="14.100000000000001" customHeight="1">
      <c r="B2086" s="20" t="s">
        <v>4319</v>
      </c>
      <c r="C2086" s="20" t="s">
        <v>4320</v>
      </c>
      <c r="D2086" s="20" t="s">
        <v>4319</v>
      </c>
      <c r="E2086" s="20" t="e">
        <f t="array" ref="E2086">INDEX(C:C,SMALL(IF(ISNUMBER(FIND(CELL("contents"),$C$2:$C$4852)),ROW($C$2:$C$4852),4^8),ROW(C2086)))&amp;""</f>
        <v>#N/A</v>
      </c>
    </row>
    <row r="2087" ht="14.100000000000001" customHeight="1">
      <c r="B2087" s="20" t="s">
        <v>4321</v>
      </c>
      <c r="C2087" s="20" t="s">
        <v>4322</v>
      </c>
      <c r="D2087" s="20" t="s">
        <v>4321</v>
      </c>
      <c r="E2087" s="20" t="e">
        <f t="array" ref="E2087">INDEX(C:C,SMALL(IF(ISNUMBER(FIND(CELL("contents"),$C$2:$C$4852)),ROW($C$2:$C$4852),4^8),ROW(C2087)))&amp;""</f>
        <v>#N/A</v>
      </c>
    </row>
    <row r="2088" ht="14.100000000000001" customHeight="1">
      <c r="B2088" s="20" t="s">
        <v>4323</v>
      </c>
      <c r="C2088" s="20" t="s">
        <v>4324</v>
      </c>
      <c r="D2088" s="20" t="s">
        <v>4323</v>
      </c>
      <c r="E2088" s="20" t="e">
        <f t="array" ref="E2088">INDEX(C:C,SMALL(IF(ISNUMBER(FIND(CELL("contents"),$C$2:$C$4852)),ROW($C$2:$C$4852),4^8),ROW(C2088)))&amp;""</f>
        <v>#N/A</v>
      </c>
    </row>
    <row r="2089" ht="14.100000000000001" customHeight="1">
      <c r="B2089" s="20" t="s">
        <v>4325</v>
      </c>
      <c r="C2089" s="20" t="s">
        <v>4326</v>
      </c>
      <c r="D2089" s="20" t="s">
        <v>4325</v>
      </c>
      <c r="E2089" s="20" t="e">
        <f t="array" ref="E2089">INDEX(C:C,SMALL(IF(ISNUMBER(FIND(CELL("contents"),$C$2:$C$4852)),ROW($C$2:$C$4852),4^8),ROW(C2089)))&amp;""</f>
        <v>#N/A</v>
      </c>
    </row>
    <row r="2090" ht="14.100000000000001" customHeight="1">
      <c r="B2090" s="20" t="s">
        <v>4327</v>
      </c>
      <c r="C2090" s="20" t="s">
        <v>4328</v>
      </c>
      <c r="D2090" s="20" t="s">
        <v>4327</v>
      </c>
      <c r="E2090" s="20" t="e">
        <f t="array" ref="E2090">INDEX(C:C,SMALL(IF(ISNUMBER(FIND(CELL("contents"),$C$2:$C$4852)),ROW($C$2:$C$4852),4^8),ROW(C2090)))&amp;""</f>
        <v>#N/A</v>
      </c>
    </row>
    <row r="2091" ht="14.100000000000001" customHeight="1">
      <c r="B2091" s="20" t="s">
        <v>4329</v>
      </c>
      <c r="C2091" s="20" t="s">
        <v>4330</v>
      </c>
      <c r="D2091" s="20" t="s">
        <v>4329</v>
      </c>
      <c r="E2091" s="20" t="e">
        <f t="array" ref="E2091">INDEX(C:C,SMALL(IF(ISNUMBER(FIND(CELL("contents"),$C$2:$C$4852)),ROW($C$2:$C$4852),4^8),ROW(C2091)))&amp;""</f>
        <v>#N/A</v>
      </c>
    </row>
    <row r="2092" ht="14.100000000000001" customHeight="1">
      <c r="B2092" s="20" t="s">
        <v>4331</v>
      </c>
      <c r="C2092" s="20" t="s">
        <v>4332</v>
      </c>
      <c r="D2092" s="20" t="s">
        <v>4331</v>
      </c>
      <c r="E2092" s="20" t="e">
        <f t="array" ref="E2092">INDEX(C:C,SMALL(IF(ISNUMBER(FIND(CELL("contents"),$C$2:$C$4852)),ROW($C$2:$C$4852),4^8),ROW(C2092)))&amp;""</f>
        <v>#N/A</v>
      </c>
    </row>
    <row r="2093" ht="14.100000000000001" customHeight="1">
      <c r="B2093" s="20" t="s">
        <v>4333</v>
      </c>
      <c r="C2093" s="20" t="s">
        <v>4334</v>
      </c>
      <c r="D2093" s="20" t="s">
        <v>4333</v>
      </c>
      <c r="E2093" s="20" t="e">
        <f t="array" ref="E2093">INDEX(C:C,SMALL(IF(ISNUMBER(FIND(CELL("contents"),$C$2:$C$4852)),ROW($C$2:$C$4852),4^8),ROW(C2093)))&amp;""</f>
        <v>#N/A</v>
      </c>
    </row>
    <row r="2094" ht="14.100000000000001" customHeight="1">
      <c r="B2094" s="20" t="s">
        <v>4335</v>
      </c>
      <c r="C2094" s="20" t="s">
        <v>4336</v>
      </c>
      <c r="D2094" s="20" t="s">
        <v>4335</v>
      </c>
      <c r="E2094" s="20" t="e">
        <f t="array" ref="E2094">INDEX(C:C,SMALL(IF(ISNUMBER(FIND(CELL("contents"),$C$2:$C$4852)),ROW($C$2:$C$4852),4^8),ROW(C2094)))&amp;""</f>
        <v>#N/A</v>
      </c>
    </row>
    <row r="2095" ht="14.100000000000001" customHeight="1">
      <c r="B2095" s="20" t="s">
        <v>4337</v>
      </c>
      <c r="C2095" s="20" t="s">
        <v>4338</v>
      </c>
      <c r="D2095" s="20" t="s">
        <v>4337</v>
      </c>
      <c r="E2095" s="20" t="e">
        <f t="array" ref="E2095">INDEX(C:C,SMALL(IF(ISNUMBER(FIND(CELL("contents"),$C$2:$C$4852)),ROW($C$2:$C$4852),4^8),ROW(C2095)))&amp;""</f>
        <v>#N/A</v>
      </c>
    </row>
    <row r="2096" ht="14.100000000000001" customHeight="1">
      <c r="B2096" s="20" t="s">
        <v>4339</v>
      </c>
      <c r="C2096" s="20" t="s">
        <v>4340</v>
      </c>
      <c r="D2096" s="20" t="s">
        <v>4339</v>
      </c>
      <c r="E2096" s="20" t="e">
        <f t="array" ref="E2096">INDEX(C:C,SMALL(IF(ISNUMBER(FIND(CELL("contents"),$C$2:$C$4852)),ROW($C$2:$C$4852),4^8),ROW(C2096)))&amp;""</f>
        <v>#N/A</v>
      </c>
    </row>
    <row r="2097" ht="14.100000000000001" customHeight="1">
      <c r="B2097" s="20" t="s">
        <v>4341</v>
      </c>
      <c r="C2097" s="20" t="s">
        <v>4342</v>
      </c>
      <c r="D2097" s="20" t="s">
        <v>4341</v>
      </c>
      <c r="E2097" s="20" t="e">
        <f t="array" ref="E2097">INDEX(C:C,SMALL(IF(ISNUMBER(FIND(CELL("contents"),$C$2:$C$4852)),ROW($C$2:$C$4852),4^8),ROW(C2097)))&amp;""</f>
        <v>#N/A</v>
      </c>
    </row>
    <row r="2098" ht="14.100000000000001" customHeight="1">
      <c r="B2098" s="20" t="s">
        <v>4343</v>
      </c>
      <c r="C2098" s="20" t="s">
        <v>4344</v>
      </c>
      <c r="D2098" s="20" t="s">
        <v>4343</v>
      </c>
      <c r="E2098" s="20" t="e">
        <f t="array" ref="E2098">INDEX(C:C,SMALL(IF(ISNUMBER(FIND(CELL("contents"),$C$2:$C$4852)),ROW($C$2:$C$4852),4^8),ROW(C2098)))&amp;""</f>
        <v>#N/A</v>
      </c>
    </row>
    <row r="2099" ht="14.100000000000001" customHeight="1">
      <c r="B2099" s="20" t="s">
        <v>4345</v>
      </c>
      <c r="C2099" s="20" t="s">
        <v>4346</v>
      </c>
      <c r="D2099" s="20" t="s">
        <v>4345</v>
      </c>
      <c r="E2099" s="20" t="e">
        <f t="array" ref="E2099">INDEX(C:C,SMALL(IF(ISNUMBER(FIND(CELL("contents"),$C$2:$C$4852)),ROW($C$2:$C$4852),4^8),ROW(C2099)))&amp;""</f>
        <v>#N/A</v>
      </c>
    </row>
    <row r="2100" ht="14.100000000000001" customHeight="1">
      <c r="B2100" s="20" t="s">
        <v>4347</v>
      </c>
      <c r="C2100" s="20" t="s">
        <v>4348</v>
      </c>
      <c r="D2100" s="20" t="s">
        <v>4347</v>
      </c>
      <c r="E2100" s="20" t="e">
        <f t="array" ref="E2100">INDEX(C:C,SMALL(IF(ISNUMBER(FIND(CELL("contents"),$C$2:$C$4852)),ROW($C$2:$C$4852),4^8),ROW(C2100)))&amp;""</f>
        <v>#N/A</v>
      </c>
    </row>
    <row r="2101" ht="14.100000000000001" customHeight="1">
      <c r="B2101" s="20" t="s">
        <v>4349</v>
      </c>
      <c r="C2101" s="20" t="s">
        <v>4350</v>
      </c>
      <c r="D2101" s="20" t="s">
        <v>4349</v>
      </c>
      <c r="E2101" s="20" t="e">
        <f t="array" ref="E2101">INDEX(C:C,SMALL(IF(ISNUMBER(FIND(CELL("contents"),$C$2:$C$4852)),ROW($C$2:$C$4852),4^8),ROW(C2101)))&amp;""</f>
        <v>#N/A</v>
      </c>
    </row>
    <row r="2102" ht="14.100000000000001" customHeight="1">
      <c r="B2102" s="20" t="s">
        <v>4351</v>
      </c>
      <c r="C2102" s="20" t="s">
        <v>4352</v>
      </c>
      <c r="D2102" s="20" t="s">
        <v>4351</v>
      </c>
      <c r="E2102" s="20" t="e">
        <f t="array" ref="E2102">INDEX(C:C,SMALL(IF(ISNUMBER(FIND(CELL("contents"),$C$2:$C$4852)),ROW($C$2:$C$4852),4^8),ROW(C2102)))&amp;""</f>
        <v>#N/A</v>
      </c>
    </row>
    <row r="2103" ht="14.100000000000001" customHeight="1">
      <c r="B2103" s="20" t="s">
        <v>4353</v>
      </c>
      <c r="C2103" s="20" t="s">
        <v>4354</v>
      </c>
      <c r="D2103" s="20" t="s">
        <v>4353</v>
      </c>
      <c r="E2103" s="20" t="e">
        <f t="array" ref="E2103">INDEX(C:C,SMALL(IF(ISNUMBER(FIND(CELL("contents"),$C$2:$C$4852)),ROW($C$2:$C$4852),4^8),ROW(C2103)))&amp;""</f>
        <v>#N/A</v>
      </c>
    </row>
    <row r="2104" ht="14.100000000000001" customHeight="1">
      <c r="B2104" s="20" t="s">
        <v>4355</v>
      </c>
      <c r="C2104" s="20" t="s">
        <v>4356</v>
      </c>
      <c r="D2104" s="20" t="s">
        <v>4355</v>
      </c>
      <c r="E2104" s="20" t="e">
        <f t="array" ref="E2104">INDEX(C:C,SMALL(IF(ISNUMBER(FIND(CELL("contents"),$C$2:$C$4852)),ROW($C$2:$C$4852),4^8),ROW(C2104)))&amp;""</f>
        <v>#N/A</v>
      </c>
    </row>
    <row r="2105" ht="14.100000000000001" customHeight="1">
      <c r="B2105" s="20" t="s">
        <v>4357</v>
      </c>
      <c r="C2105" s="20" t="s">
        <v>4358</v>
      </c>
      <c r="D2105" s="20" t="s">
        <v>4357</v>
      </c>
      <c r="E2105" s="20" t="e">
        <f t="array" ref="E2105">INDEX(C:C,SMALL(IF(ISNUMBER(FIND(CELL("contents"),$C$2:$C$4852)),ROW($C$2:$C$4852),4^8),ROW(C2105)))&amp;""</f>
        <v>#N/A</v>
      </c>
    </row>
    <row r="2106" ht="14.100000000000001" customHeight="1">
      <c r="B2106" s="20" t="s">
        <v>4359</v>
      </c>
      <c r="C2106" s="20" t="s">
        <v>4360</v>
      </c>
      <c r="D2106" s="20" t="s">
        <v>4359</v>
      </c>
      <c r="E2106" s="20" t="e">
        <f t="array" ref="E2106">INDEX(C:C,SMALL(IF(ISNUMBER(FIND(CELL("contents"),$C$2:$C$4852)),ROW($C$2:$C$4852),4^8),ROW(C2106)))&amp;""</f>
        <v>#N/A</v>
      </c>
    </row>
    <row r="2107" ht="14.100000000000001" customHeight="1">
      <c r="B2107" s="20" t="s">
        <v>4361</v>
      </c>
      <c r="C2107" s="20" t="s">
        <v>4362</v>
      </c>
      <c r="D2107" s="20" t="s">
        <v>4361</v>
      </c>
      <c r="E2107" s="20" t="e">
        <f t="array" ref="E2107">INDEX(C:C,SMALL(IF(ISNUMBER(FIND(CELL("contents"),$C$2:$C$4852)),ROW($C$2:$C$4852),4^8),ROW(C2107)))&amp;""</f>
        <v>#N/A</v>
      </c>
    </row>
    <row r="2108" ht="14.100000000000001" customHeight="1">
      <c r="B2108" s="20" t="s">
        <v>4363</v>
      </c>
      <c r="C2108" s="20" t="s">
        <v>4364</v>
      </c>
      <c r="D2108" s="20" t="s">
        <v>4363</v>
      </c>
      <c r="E2108" s="20" t="e">
        <f t="array" ref="E2108">INDEX(C:C,SMALL(IF(ISNUMBER(FIND(CELL("contents"),$C$2:$C$4852)),ROW($C$2:$C$4852),4^8),ROW(C2108)))&amp;""</f>
        <v>#N/A</v>
      </c>
    </row>
    <row r="2109" ht="14.100000000000001" customHeight="1">
      <c r="B2109" s="20" t="s">
        <v>4365</v>
      </c>
      <c r="C2109" s="20" t="s">
        <v>4366</v>
      </c>
      <c r="D2109" s="20" t="s">
        <v>4365</v>
      </c>
      <c r="E2109" s="20" t="e">
        <f t="array" ref="E2109">INDEX(C:C,SMALL(IF(ISNUMBER(FIND(CELL("contents"),$C$2:$C$4852)),ROW($C$2:$C$4852),4^8),ROW(C2109)))&amp;""</f>
        <v>#N/A</v>
      </c>
    </row>
    <row r="2110" ht="14.100000000000001" customHeight="1">
      <c r="B2110" s="20" t="s">
        <v>4367</v>
      </c>
      <c r="C2110" s="20" t="s">
        <v>4368</v>
      </c>
      <c r="D2110" s="20" t="s">
        <v>4367</v>
      </c>
      <c r="E2110" s="20" t="e">
        <f t="array" ref="E2110">INDEX(C:C,SMALL(IF(ISNUMBER(FIND(CELL("contents"),$C$2:$C$4852)),ROW($C$2:$C$4852),4^8),ROW(C2110)))&amp;""</f>
        <v>#N/A</v>
      </c>
    </row>
    <row r="2111" ht="14.100000000000001" customHeight="1">
      <c r="B2111" s="20" t="s">
        <v>4369</v>
      </c>
      <c r="C2111" s="20" t="s">
        <v>4370</v>
      </c>
      <c r="D2111" s="20" t="s">
        <v>4369</v>
      </c>
      <c r="E2111" s="20" t="e">
        <f t="array" ref="E2111">INDEX(C:C,SMALL(IF(ISNUMBER(FIND(CELL("contents"),$C$2:$C$4852)),ROW($C$2:$C$4852),4^8),ROW(C2111)))&amp;""</f>
        <v>#N/A</v>
      </c>
    </row>
    <row r="2112" ht="14.100000000000001" customHeight="1">
      <c r="B2112" s="20" t="s">
        <v>4371</v>
      </c>
      <c r="C2112" s="20" t="s">
        <v>4372</v>
      </c>
      <c r="D2112" s="20" t="s">
        <v>4371</v>
      </c>
      <c r="E2112" s="20" t="e">
        <f t="array" ref="E2112">INDEX(C:C,SMALL(IF(ISNUMBER(FIND(CELL("contents"),$C$2:$C$4852)),ROW($C$2:$C$4852),4^8),ROW(C2112)))&amp;""</f>
        <v>#N/A</v>
      </c>
    </row>
    <row r="2113" ht="14.100000000000001" customHeight="1">
      <c r="B2113" s="20" t="s">
        <v>4373</v>
      </c>
      <c r="C2113" s="20" t="s">
        <v>4374</v>
      </c>
      <c r="D2113" s="20" t="s">
        <v>4373</v>
      </c>
      <c r="E2113" s="20" t="e">
        <f t="array" ref="E2113">INDEX(C:C,SMALL(IF(ISNUMBER(FIND(CELL("contents"),$C$2:$C$4852)),ROW($C$2:$C$4852),4^8),ROW(C2113)))&amp;""</f>
        <v>#N/A</v>
      </c>
    </row>
    <row r="2114" ht="14.100000000000001" customHeight="1">
      <c r="B2114" s="20" t="s">
        <v>4375</v>
      </c>
      <c r="C2114" s="20" t="s">
        <v>4376</v>
      </c>
      <c r="D2114" s="20" t="s">
        <v>4375</v>
      </c>
      <c r="E2114" s="20" t="e">
        <f t="array" ref="E2114">INDEX(C:C,SMALL(IF(ISNUMBER(FIND(CELL("contents"),$C$2:$C$4852)),ROW($C$2:$C$4852),4^8),ROW(C2114)))&amp;""</f>
        <v>#N/A</v>
      </c>
    </row>
    <row r="2115" ht="14.100000000000001" customHeight="1">
      <c r="B2115" s="20" t="s">
        <v>4377</v>
      </c>
      <c r="C2115" s="20" t="s">
        <v>4378</v>
      </c>
      <c r="D2115" s="20" t="s">
        <v>4377</v>
      </c>
      <c r="E2115" s="20" t="e">
        <f t="array" ref="E2115">INDEX(C:C,SMALL(IF(ISNUMBER(FIND(CELL("contents"),$C$2:$C$4852)),ROW($C$2:$C$4852),4^8),ROW(C2115)))&amp;""</f>
        <v>#N/A</v>
      </c>
    </row>
    <row r="2116" ht="14.100000000000001" customHeight="1">
      <c r="B2116" s="20" t="s">
        <v>4379</v>
      </c>
      <c r="C2116" s="20" t="s">
        <v>4380</v>
      </c>
      <c r="D2116" s="20" t="s">
        <v>4379</v>
      </c>
      <c r="E2116" s="20" t="e">
        <f t="array" ref="E2116">INDEX(C:C,SMALL(IF(ISNUMBER(FIND(CELL("contents"),$C$2:$C$4852)),ROW($C$2:$C$4852),4^8),ROW(C2116)))&amp;""</f>
        <v>#N/A</v>
      </c>
    </row>
    <row r="2117" ht="14.100000000000001" customHeight="1">
      <c r="B2117" s="20" t="s">
        <v>4381</v>
      </c>
      <c r="C2117" s="20" t="s">
        <v>4382</v>
      </c>
      <c r="D2117" s="20" t="s">
        <v>4381</v>
      </c>
      <c r="E2117" s="20" t="e">
        <f t="array" ref="E2117">INDEX(C:C,SMALL(IF(ISNUMBER(FIND(CELL("contents"),$C$2:$C$4852)),ROW($C$2:$C$4852),4^8),ROW(C2117)))&amp;""</f>
        <v>#N/A</v>
      </c>
    </row>
    <row r="2118" ht="14.100000000000001" customHeight="1">
      <c r="B2118" s="20" t="s">
        <v>4383</v>
      </c>
      <c r="C2118" s="20" t="s">
        <v>4384</v>
      </c>
      <c r="D2118" s="20" t="s">
        <v>4383</v>
      </c>
      <c r="E2118" s="20" t="e">
        <f t="array" ref="E2118">INDEX(C:C,SMALL(IF(ISNUMBER(FIND(CELL("contents"),$C$2:$C$4852)),ROW($C$2:$C$4852),4^8),ROW(C2118)))&amp;""</f>
        <v>#N/A</v>
      </c>
    </row>
    <row r="2119" ht="14.100000000000001" customHeight="1">
      <c r="B2119" s="20" t="s">
        <v>4385</v>
      </c>
      <c r="C2119" s="20" t="s">
        <v>4386</v>
      </c>
      <c r="D2119" s="20" t="s">
        <v>4385</v>
      </c>
      <c r="E2119" s="20" t="e">
        <f t="array" ref="E2119">INDEX(C:C,SMALL(IF(ISNUMBER(FIND(CELL("contents"),$C$2:$C$4852)),ROW($C$2:$C$4852),4^8),ROW(C2119)))&amp;""</f>
        <v>#N/A</v>
      </c>
    </row>
    <row r="2120" ht="14.100000000000001" customHeight="1">
      <c r="B2120" s="20" t="s">
        <v>4387</v>
      </c>
      <c r="C2120" s="20" t="s">
        <v>4388</v>
      </c>
      <c r="D2120" s="20" t="s">
        <v>4387</v>
      </c>
      <c r="E2120" s="20" t="e">
        <f t="array" ref="E2120">INDEX(C:C,SMALL(IF(ISNUMBER(FIND(CELL("contents"),$C$2:$C$4852)),ROW($C$2:$C$4852),4^8),ROW(C2120)))&amp;""</f>
        <v>#N/A</v>
      </c>
    </row>
    <row r="2121" ht="14.100000000000001" customHeight="1">
      <c r="B2121" s="20" t="s">
        <v>4389</v>
      </c>
      <c r="C2121" s="20" t="s">
        <v>4390</v>
      </c>
      <c r="D2121" s="20" t="s">
        <v>4389</v>
      </c>
      <c r="E2121" s="20" t="e">
        <f t="array" ref="E2121">INDEX(C:C,SMALL(IF(ISNUMBER(FIND(CELL("contents"),$C$2:$C$4852)),ROW($C$2:$C$4852),4^8),ROW(C2121)))&amp;""</f>
        <v>#N/A</v>
      </c>
    </row>
    <row r="2122" ht="14.100000000000001" customHeight="1">
      <c r="B2122" s="20" t="s">
        <v>4391</v>
      </c>
      <c r="C2122" s="20" t="s">
        <v>4392</v>
      </c>
      <c r="D2122" s="20" t="s">
        <v>4391</v>
      </c>
      <c r="E2122" s="20" t="e">
        <f t="array" ref="E2122">INDEX(C:C,SMALL(IF(ISNUMBER(FIND(CELL("contents"),$C$2:$C$4852)),ROW($C$2:$C$4852),4^8),ROW(C2122)))&amp;""</f>
        <v>#N/A</v>
      </c>
    </row>
    <row r="2123" ht="14.100000000000001" customHeight="1">
      <c r="B2123" s="20" t="s">
        <v>4393</v>
      </c>
      <c r="C2123" s="20" t="s">
        <v>4394</v>
      </c>
      <c r="D2123" s="20" t="s">
        <v>4393</v>
      </c>
      <c r="E2123" s="20" t="e">
        <f t="array" ref="E2123">INDEX(C:C,SMALL(IF(ISNUMBER(FIND(CELL("contents"),$C$2:$C$4852)),ROW($C$2:$C$4852),4^8),ROW(C2123)))&amp;""</f>
        <v>#N/A</v>
      </c>
    </row>
    <row r="2124" ht="14.100000000000001" customHeight="1">
      <c r="B2124" s="20" t="s">
        <v>4395</v>
      </c>
      <c r="C2124" s="20" t="s">
        <v>4396</v>
      </c>
      <c r="D2124" s="20" t="s">
        <v>4395</v>
      </c>
      <c r="E2124" s="20" t="e">
        <f t="array" ref="E2124">INDEX(C:C,SMALL(IF(ISNUMBER(FIND(CELL("contents"),$C$2:$C$4852)),ROW($C$2:$C$4852),4^8),ROW(C2124)))&amp;""</f>
        <v>#N/A</v>
      </c>
    </row>
    <row r="2125" ht="14.100000000000001" customHeight="1">
      <c r="B2125" s="20" t="s">
        <v>4397</v>
      </c>
      <c r="C2125" s="20" t="s">
        <v>4398</v>
      </c>
      <c r="D2125" s="20" t="s">
        <v>4397</v>
      </c>
      <c r="E2125" s="20" t="e">
        <f t="array" ref="E2125">INDEX(C:C,SMALL(IF(ISNUMBER(FIND(CELL("contents"),$C$2:$C$4852)),ROW($C$2:$C$4852),4^8),ROW(C2125)))&amp;""</f>
        <v>#N/A</v>
      </c>
    </row>
    <row r="2126" ht="14.100000000000001" customHeight="1">
      <c r="B2126" s="20" t="s">
        <v>4399</v>
      </c>
      <c r="C2126" s="20" t="s">
        <v>4400</v>
      </c>
      <c r="D2126" s="20" t="s">
        <v>4399</v>
      </c>
      <c r="E2126" s="20" t="e">
        <f t="array" ref="E2126">INDEX(C:C,SMALL(IF(ISNUMBER(FIND(CELL("contents"),$C$2:$C$4852)),ROW($C$2:$C$4852),4^8),ROW(C2126)))&amp;""</f>
        <v>#N/A</v>
      </c>
    </row>
    <row r="2127" ht="14.100000000000001" customHeight="1">
      <c r="B2127" s="20" t="s">
        <v>4401</v>
      </c>
      <c r="C2127" s="20" t="s">
        <v>4402</v>
      </c>
      <c r="D2127" s="20" t="s">
        <v>4401</v>
      </c>
      <c r="E2127" s="20" t="e">
        <f t="array" ref="E2127">INDEX(C:C,SMALL(IF(ISNUMBER(FIND(CELL("contents"),$C$2:$C$4852)),ROW($C$2:$C$4852),4^8),ROW(C2127)))&amp;""</f>
        <v>#N/A</v>
      </c>
    </row>
    <row r="2128" ht="14.100000000000001" customHeight="1">
      <c r="B2128" s="20" t="s">
        <v>4403</v>
      </c>
      <c r="C2128" s="20" t="s">
        <v>4404</v>
      </c>
      <c r="D2128" s="20" t="s">
        <v>4403</v>
      </c>
      <c r="E2128" s="20" t="e">
        <f t="array" ref="E2128">INDEX(C:C,SMALL(IF(ISNUMBER(FIND(CELL("contents"),$C$2:$C$4852)),ROW($C$2:$C$4852),4^8),ROW(C2128)))&amp;""</f>
        <v>#N/A</v>
      </c>
    </row>
    <row r="2129" ht="14.100000000000001" customHeight="1">
      <c r="B2129" s="20" t="s">
        <v>4405</v>
      </c>
      <c r="C2129" s="20" t="s">
        <v>4406</v>
      </c>
      <c r="D2129" s="20" t="s">
        <v>4405</v>
      </c>
      <c r="E2129" s="20" t="e">
        <f t="array" ref="E2129">INDEX(C:C,SMALL(IF(ISNUMBER(FIND(CELL("contents"),$C$2:$C$4852)),ROW($C$2:$C$4852),4^8),ROW(C2129)))&amp;""</f>
        <v>#N/A</v>
      </c>
    </row>
    <row r="2130" ht="14.100000000000001" customHeight="1">
      <c r="B2130" s="20" t="s">
        <v>4407</v>
      </c>
      <c r="C2130" s="20" t="s">
        <v>4408</v>
      </c>
      <c r="D2130" s="20" t="s">
        <v>4407</v>
      </c>
      <c r="E2130" s="20" t="e">
        <f t="array" ref="E2130">INDEX(C:C,SMALL(IF(ISNUMBER(FIND(CELL("contents"),$C$2:$C$4852)),ROW($C$2:$C$4852),4^8),ROW(C2130)))&amp;""</f>
        <v>#N/A</v>
      </c>
    </row>
    <row r="2131" ht="14.100000000000001" customHeight="1">
      <c r="B2131" s="20" t="s">
        <v>4409</v>
      </c>
      <c r="C2131" s="20" t="s">
        <v>4410</v>
      </c>
      <c r="D2131" s="20" t="s">
        <v>4409</v>
      </c>
      <c r="E2131" s="20" t="e">
        <f t="array" ref="E2131">INDEX(C:C,SMALL(IF(ISNUMBER(FIND(CELL("contents"),$C$2:$C$4852)),ROW($C$2:$C$4852),4^8),ROW(C2131)))&amp;""</f>
        <v>#N/A</v>
      </c>
    </row>
    <row r="2132" ht="14.100000000000001" customHeight="1">
      <c r="B2132" s="20" t="s">
        <v>4411</v>
      </c>
      <c r="C2132" s="20" t="s">
        <v>4412</v>
      </c>
      <c r="D2132" s="20" t="s">
        <v>4411</v>
      </c>
      <c r="E2132" s="20" t="e">
        <f t="array" ref="E2132">INDEX(C:C,SMALL(IF(ISNUMBER(FIND(CELL("contents"),$C$2:$C$4852)),ROW($C$2:$C$4852),4^8),ROW(C2132)))&amp;""</f>
        <v>#N/A</v>
      </c>
    </row>
    <row r="2133" ht="14.100000000000001" customHeight="1">
      <c r="B2133" s="20" t="s">
        <v>4413</v>
      </c>
      <c r="C2133" s="20" t="s">
        <v>4414</v>
      </c>
      <c r="D2133" s="20" t="s">
        <v>4413</v>
      </c>
      <c r="E2133" s="20" t="e">
        <f t="array" ref="E2133">INDEX(C:C,SMALL(IF(ISNUMBER(FIND(CELL("contents"),$C$2:$C$4852)),ROW($C$2:$C$4852),4^8),ROW(C2133)))&amp;""</f>
        <v>#N/A</v>
      </c>
    </row>
    <row r="2134" ht="14.100000000000001" customHeight="1">
      <c r="B2134" s="20" t="s">
        <v>4415</v>
      </c>
      <c r="C2134" s="20" t="s">
        <v>4416</v>
      </c>
      <c r="D2134" s="20" t="s">
        <v>4415</v>
      </c>
      <c r="E2134" s="20" t="e">
        <f t="array" ref="E2134">INDEX(C:C,SMALL(IF(ISNUMBER(FIND(CELL("contents"),$C$2:$C$4852)),ROW($C$2:$C$4852),4^8),ROW(C2134)))&amp;""</f>
        <v>#N/A</v>
      </c>
    </row>
    <row r="2135" ht="14.100000000000001" customHeight="1">
      <c r="B2135" s="20" t="s">
        <v>4417</v>
      </c>
      <c r="C2135" s="20" t="s">
        <v>4418</v>
      </c>
      <c r="D2135" s="20" t="s">
        <v>4417</v>
      </c>
      <c r="E2135" s="20" t="e">
        <f t="array" ref="E2135">INDEX(C:C,SMALL(IF(ISNUMBER(FIND(CELL("contents"),$C$2:$C$4852)),ROW($C$2:$C$4852),4^8),ROW(C2135)))&amp;""</f>
        <v>#N/A</v>
      </c>
    </row>
    <row r="2136" ht="14.100000000000001" customHeight="1">
      <c r="B2136" s="20" t="s">
        <v>4419</v>
      </c>
      <c r="C2136" s="20" t="s">
        <v>4420</v>
      </c>
      <c r="D2136" s="20" t="s">
        <v>4419</v>
      </c>
      <c r="E2136" s="20" t="e">
        <f t="array" ref="E2136">INDEX(C:C,SMALL(IF(ISNUMBER(FIND(CELL("contents"),$C$2:$C$4852)),ROW($C$2:$C$4852),4^8),ROW(C2136)))&amp;""</f>
        <v>#N/A</v>
      </c>
    </row>
    <row r="2137" ht="14.100000000000001" customHeight="1">
      <c r="B2137" s="20" t="s">
        <v>4421</v>
      </c>
      <c r="C2137" s="20" t="s">
        <v>4422</v>
      </c>
      <c r="D2137" s="20" t="s">
        <v>4421</v>
      </c>
      <c r="E2137" s="20" t="e">
        <f t="array" ref="E2137">INDEX(C:C,SMALL(IF(ISNUMBER(FIND(CELL("contents"),$C$2:$C$4852)),ROW($C$2:$C$4852),4^8),ROW(C2137)))&amp;""</f>
        <v>#N/A</v>
      </c>
    </row>
    <row r="2138" ht="14.100000000000001" customHeight="1">
      <c r="B2138" s="20" t="s">
        <v>4423</v>
      </c>
      <c r="C2138" s="20" t="s">
        <v>4424</v>
      </c>
      <c r="D2138" s="20" t="s">
        <v>4423</v>
      </c>
      <c r="E2138" s="20" t="e">
        <f t="array" ref="E2138">INDEX(C:C,SMALL(IF(ISNUMBER(FIND(CELL("contents"),$C$2:$C$4852)),ROW($C$2:$C$4852),4^8),ROW(C2138)))&amp;""</f>
        <v>#N/A</v>
      </c>
    </row>
    <row r="2139" ht="14.100000000000001" customHeight="1">
      <c r="B2139" s="20" t="s">
        <v>4425</v>
      </c>
      <c r="C2139" s="20" t="s">
        <v>4426</v>
      </c>
      <c r="D2139" s="20" t="s">
        <v>4425</v>
      </c>
      <c r="E2139" s="20" t="e">
        <f t="array" ref="E2139">INDEX(C:C,SMALL(IF(ISNUMBER(FIND(CELL("contents"),$C$2:$C$4852)),ROW($C$2:$C$4852),4^8),ROW(C2139)))&amp;""</f>
        <v>#N/A</v>
      </c>
    </row>
    <row r="2140" ht="14.100000000000001" customHeight="1">
      <c r="B2140" s="20" t="s">
        <v>4427</v>
      </c>
      <c r="C2140" s="20" t="s">
        <v>4428</v>
      </c>
      <c r="D2140" s="20" t="s">
        <v>4427</v>
      </c>
      <c r="E2140" s="20" t="e">
        <f t="array" ref="E2140">INDEX(C:C,SMALL(IF(ISNUMBER(FIND(CELL("contents"),$C$2:$C$4852)),ROW($C$2:$C$4852),4^8),ROW(C2140)))&amp;""</f>
        <v>#N/A</v>
      </c>
    </row>
    <row r="2141" ht="14.100000000000001" customHeight="1">
      <c r="B2141" s="20" t="s">
        <v>4429</v>
      </c>
      <c r="C2141" s="20" t="s">
        <v>4430</v>
      </c>
      <c r="D2141" s="20" t="s">
        <v>4429</v>
      </c>
      <c r="E2141" s="20" t="e">
        <f t="array" ref="E2141">INDEX(C:C,SMALL(IF(ISNUMBER(FIND(CELL("contents"),$C$2:$C$4852)),ROW($C$2:$C$4852),4^8),ROW(C2141)))&amp;""</f>
        <v>#N/A</v>
      </c>
    </row>
    <row r="2142" ht="14.100000000000001" customHeight="1">
      <c r="B2142" s="20" t="s">
        <v>4431</v>
      </c>
      <c r="C2142" s="20" t="s">
        <v>4432</v>
      </c>
      <c r="D2142" s="20" t="s">
        <v>4431</v>
      </c>
      <c r="E2142" s="20" t="e">
        <f t="array" ref="E2142">INDEX(C:C,SMALL(IF(ISNUMBER(FIND(CELL("contents"),$C$2:$C$4852)),ROW($C$2:$C$4852),4^8),ROW(C2142)))&amp;""</f>
        <v>#N/A</v>
      </c>
    </row>
    <row r="2143" ht="14.100000000000001" customHeight="1">
      <c r="B2143" s="20" t="s">
        <v>4433</v>
      </c>
      <c r="C2143" s="20" t="s">
        <v>4434</v>
      </c>
      <c r="D2143" s="20" t="s">
        <v>4433</v>
      </c>
      <c r="E2143" s="20" t="e">
        <f t="array" ref="E2143">INDEX(C:C,SMALL(IF(ISNUMBER(FIND(CELL("contents"),$C$2:$C$4852)),ROW($C$2:$C$4852),4^8),ROW(C2143)))&amp;""</f>
        <v>#N/A</v>
      </c>
    </row>
    <row r="2144" ht="14.100000000000001" customHeight="1">
      <c r="B2144" s="20" t="s">
        <v>4435</v>
      </c>
      <c r="C2144" s="20" t="s">
        <v>4436</v>
      </c>
      <c r="D2144" s="20" t="s">
        <v>4435</v>
      </c>
      <c r="E2144" s="20" t="e">
        <f t="array" ref="E2144">INDEX(C:C,SMALL(IF(ISNUMBER(FIND(CELL("contents"),$C$2:$C$4852)),ROW($C$2:$C$4852),4^8),ROW(C2144)))&amp;""</f>
        <v>#N/A</v>
      </c>
    </row>
    <row r="2145" ht="14.100000000000001" customHeight="1">
      <c r="B2145" s="20" t="s">
        <v>4437</v>
      </c>
      <c r="C2145" s="20" t="s">
        <v>4438</v>
      </c>
      <c r="D2145" s="20" t="s">
        <v>4437</v>
      </c>
      <c r="E2145" s="20" t="e">
        <f t="array" ref="E2145">INDEX(C:C,SMALL(IF(ISNUMBER(FIND(CELL("contents"),$C$2:$C$4852)),ROW($C$2:$C$4852),4^8),ROW(C2145)))&amp;""</f>
        <v>#N/A</v>
      </c>
    </row>
    <row r="2146" ht="14.100000000000001" customHeight="1">
      <c r="B2146" s="20" t="s">
        <v>4439</v>
      </c>
      <c r="C2146" s="20" t="s">
        <v>4440</v>
      </c>
      <c r="D2146" s="20" t="s">
        <v>4439</v>
      </c>
      <c r="E2146" s="20" t="e">
        <f t="array" ref="E2146">INDEX(C:C,SMALL(IF(ISNUMBER(FIND(CELL("contents"),$C$2:$C$4852)),ROW($C$2:$C$4852),4^8),ROW(C2146)))&amp;""</f>
        <v>#N/A</v>
      </c>
    </row>
    <row r="2147" ht="14.100000000000001" customHeight="1">
      <c r="B2147" s="20" t="s">
        <v>4441</v>
      </c>
      <c r="C2147" s="20" t="s">
        <v>4442</v>
      </c>
      <c r="D2147" s="20" t="s">
        <v>4441</v>
      </c>
      <c r="E2147" s="20" t="e">
        <f t="array" ref="E2147">INDEX(C:C,SMALL(IF(ISNUMBER(FIND(CELL("contents"),$C$2:$C$4852)),ROW($C$2:$C$4852),4^8),ROW(C2147)))&amp;""</f>
        <v>#N/A</v>
      </c>
    </row>
    <row r="2148" ht="14.100000000000001" customHeight="1">
      <c r="B2148" s="20" t="s">
        <v>4443</v>
      </c>
      <c r="C2148" s="20" t="s">
        <v>4444</v>
      </c>
      <c r="D2148" s="20" t="s">
        <v>4443</v>
      </c>
      <c r="E2148" s="20" t="e">
        <f t="array" ref="E2148">INDEX(C:C,SMALL(IF(ISNUMBER(FIND(CELL("contents"),$C$2:$C$4852)),ROW($C$2:$C$4852),4^8),ROW(C2148)))&amp;""</f>
        <v>#N/A</v>
      </c>
    </row>
    <row r="2149" ht="14.100000000000001" customHeight="1">
      <c r="B2149" s="20" t="s">
        <v>4445</v>
      </c>
      <c r="C2149" s="20" t="s">
        <v>4446</v>
      </c>
      <c r="D2149" s="20" t="s">
        <v>4445</v>
      </c>
      <c r="E2149" s="20" t="e">
        <f t="array" ref="E2149">INDEX(C:C,SMALL(IF(ISNUMBER(FIND(CELL("contents"),$C$2:$C$4852)),ROW($C$2:$C$4852),4^8),ROW(C2149)))&amp;""</f>
        <v>#N/A</v>
      </c>
    </row>
    <row r="2150" ht="14.100000000000001" customHeight="1">
      <c r="B2150" s="20" t="s">
        <v>4447</v>
      </c>
      <c r="C2150" s="20" t="s">
        <v>4448</v>
      </c>
      <c r="D2150" s="20" t="s">
        <v>4447</v>
      </c>
      <c r="E2150" s="20" t="e">
        <f t="array" ref="E2150">INDEX(C:C,SMALL(IF(ISNUMBER(FIND(CELL("contents"),$C$2:$C$4852)),ROW($C$2:$C$4852),4^8),ROW(C2150)))&amp;""</f>
        <v>#N/A</v>
      </c>
    </row>
    <row r="2151" ht="14.100000000000001" customHeight="1">
      <c r="B2151" s="20" t="s">
        <v>4449</v>
      </c>
      <c r="C2151" s="20" t="s">
        <v>4450</v>
      </c>
      <c r="D2151" s="20" t="s">
        <v>4449</v>
      </c>
      <c r="E2151" s="20" t="e">
        <f t="array" ref="E2151">INDEX(C:C,SMALL(IF(ISNUMBER(FIND(CELL("contents"),$C$2:$C$4852)),ROW($C$2:$C$4852),4^8),ROW(C2151)))&amp;""</f>
        <v>#N/A</v>
      </c>
    </row>
    <row r="2152" ht="14.100000000000001" customHeight="1">
      <c r="B2152" s="20" t="s">
        <v>4451</v>
      </c>
      <c r="C2152" s="20" t="s">
        <v>4452</v>
      </c>
      <c r="D2152" s="20" t="s">
        <v>4451</v>
      </c>
      <c r="E2152" s="20" t="e">
        <f t="array" ref="E2152">INDEX(C:C,SMALL(IF(ISNUMBER(FIND(CELL("contents"),$C$2:$C$4852)),ROW($C$2:$C$4852),4^8),ROW(C2152)))&amp;""</f>
        <v>#N/A</v>
      </c>
    </row>
    <row r="2153" ht="14.100000000000001" customHeight="1">
      <c r="B2153" s="20" t="s">
        <v>4453</v>
      </c>
      <c r="C2153" s="20" t="s">
        <v>4454</v>
      </c>
      <c r="D2153" s="20" t="s">
        <v>4453</v>
      </c>
      <c r="E2153" s="20" t="e">
        <f t="array" ref="E2153">INDEX(C:C,SMALL(IF(ISNUMBER(FIND(CELL("contents"),$C$2:$C$4852)),ROW($C$2:$C$4852),4^8),ROW(C2153)))&amp;""</f>
        <v>#N/A</v>
      </c>
    </row>
    <row r="2154" ht="14.100000000000001" customHeight="1">
      <c r="B2154" s="20" t="s">
        <v>4455</v>
      </c>
      <c r="C2154" s="20" t="s">
        <v>4456</v>
      </c>
      <c r="D2154" s="20" t="s">
        <v>4455</v>
      </c>
      <c r="E2154" s="20" t="e">
        <f t="array" ref="E2154">INDEX(C:C,SMALL(IF(ISNUMBER(FIND(CELL("contents"),$C$2:$C$4852)),ROW($C$2:$C$4852),4^8),ROW(C2154)))&amp;""</f>
        <v>#N/A</v>
      </c>
    </row>
    <row r="2155" ht="14.100000000000001" customHeight="1">
      <c r="B2155" s="20" t="s">
        <v>4457</v>
      </c>
      <c r="C2155" s="20" t="s">
        <v>4458</v>
      </c>
      <c r="D2155" s="20" t="s">
        <v>4457</v>
      </c>
      <c r="E2155" s="20" t="e">
        <f t="array" ref="E2155">INDEX(C:C,SMALL(IF(ISNUMBER(FIND(CELL("contents"),$C$2:$C$4852)),ROW($C$2:$C$4852),4^8),ROW(C2155)))&amp;""</f>
        <v>#N/A</v>
      </c>
    </row>
    <row r="2156" ht="14.100000000000001" customHeight="1">
      <c r="B2156" s="20" t="s">
        <v>4459</v>
      </c>
      <c r="C2156" s="20" t="s">
        <v>4460</v>
      </c>
      <c r="D2156" s="20" t="s">
        <v>4459</v>
      </c>
      <c r="E2156" s="20" t="e">
        <f t="array" ref="E2156">INDEX(C:C,SMALL(IF(ISNUMBER(FIND(CELL("contents"),$C$2:$C$4852)),ROW($C$2:$C$4852),4^8),ROW(C2156)))&amp;""</f>
        <v>#N/A</v>
      </c>
    </row>
    <row r="2157" ht="14.100000000000001" customHeight="1">
      <c r="B2157" s="20" t="s">
        <v>4461</v>
      </c>
      <c r="C2157" s="20" t="s">
        <v>4462</v>
      </c>
      <c r="D2157" s="20" t="s">
        <v>4461</v>
      </c>
      <c r="E2157" s="20" t="e">
        <f t="array" ref="E2157">INDEX(C:C,SMALL(IF(ISNUMBER(FIND(CELL("contents"),$C$2:$C$4852)),ROW($C$2:$C$4852),4^8),ROW(C2157)))&amp;""</f>
        <v>#N/A</v>
      </c>
    </row>
    <row r="2158" ht="14.100000000000001" customHeight="1">
      <c r="B2158" s="20" t="s">
        <v>4463</v>
      </c>
      <c r="C2158" s="20" t="s">
        <v>4464</v>
      </c>
      <c r="D2158" s="20" t="s">
        <v>4463</v>
      </c>
      <c r="E2158" s="20" t="e">
        <f t="array" ref="E2158">INDEX(C:C,SMALL(IF(ISNUMBER(FIND(CELL("contents"),$C$2:$C$4852)),ROW($C$2:$C$4852),4^8),ROW(C2158)))&amp;""</f>
        <v>#N/A</v>
      </c>
    </row>
    <row r="2159" ht="14.100000000000001" customHeight="1">
      <c r="B2159" s="20" t="s">
        <v>4465</v>
      </c>
      <c r="C2159" s="20" t="s">
        <v>4466</v>
      </c>
      <c r="D2159" s="20" t="s">
        <v>4465</v>
      </c>
      <c r="E2159" s="20" t="e">
        <f t="array" ref="E2159">INDEX(C:C,SMALL(IF(ISNUMBER(FIND(CELL("contents"),$C$2:$C$4852)),ROW($C$2:$C$4852),4^8),ROW(C2159)))&amp;""</f>
        <v>#N/A</v>
      </c>
    </row>
    <row r="2160" ht="14.100000000000001" customHeight="1">
      <c r="B2160" s="20" t="s">
        <v>4467</v>
      </c>
      <c r="C2160" s="20" t="s">
        <v>4468</v>
      </c>
      <c r="D2160" s="20" t="s">
        <v>4467</v>
      </c>
      <c r="E2160" s="20" t="e">
        <f t="array" ref="E2160">INDEX(C:C,SMALL(IF(ISNUMBER(FIND(CELL("contents"),$C$2:$C$4852)),ROW($C$2:$C$4852),4^8),ROW(C2160)))&amp;""</f>
        <v>#N/A</v>
      </c>
    </row>
    <row r="2161" ht="14.100000000000001" customHeight="1">
      <c r="B2161" s="20" t="s">
        <v>4469</v>
      </c>
      <c r="C2161" s="20" t="s">
        <v>4470</v>
      </c>
      <c r="D2161" s="20" t="s">
        <v>4469</v>
      </c>
      <c r="E2161" s="20" t="e">
        <f t="array" ref="E2161">INDEX(C:C,SMALL(IF(ISNUMBER(FIND(CELL("contents"),$C$2:$C$4852)),ROW($C$2:$C$4852),4^8),ROW(C2161)))&amp;""</f>
        <v>#N/A</v>
      </c>
    </row>
    <row r="2162" ht="14.100000000000001" customHeight="1">
      <c r="B2162" s="20" t="s">
        <v>4471</v>
      </c>
      <c r="C2162" s="20" t="s">
        <v>4472</v>
      </c>
      <c r="D2162" s="20" t="s">
        <v>4471</v>
      </c>
      <c r="E2162" s="20" t="e">
        <f t="array" ref="E2162">INDEX(C:C,SMALL(IF(ISNUMBER(FIND(CELL("contents"),$C$2:$C$4852)),ROW($C$2:$C$4852),4^8),ROW(C2162)))&amp;""</f>
        <v>#N/A</v>
      </c>
    </row>
    <row r="2163" ht="14.100000000000001" customHeight="1">
      <c r="B2163" s="20" t="s">
        <v>4473</v>
      </c>
      <c r="C2163" s="20" t="s">
        <v>4474</v>
      </c>
      <c r="D2163" s="20" t="s">
        <v>4473</v>
      </c>
      <c r="E2163" s="20" t="e">
        <f t="array" ref="E2163">INDEX(C:C,SMALL(IF(ISNUMBER(FIND(CELL("contents"),$C$2:$C$4852)),ROW($C$2:$C$4852),4^8),ROW(C2163)))&amp;""</f>
        <v>#N/A</v>
      </c>
    </row>
    <row r="2164" ht="14.100000000000001" customHeight="1">
      <c r="B2164" s="20" t="s">
        <v>4475</v>
      </c>
      <c r="C2164" s="20" t="s">
        <v>4476</v>
      </c>
      <c r="D2164" s="20" t="s">
        <v>4475</v>
      </c>
      <c r="E2164" s="20" t="e">
        <f t="array" ref="E2164">INDEX(C:C,SMALL(IF(ISNUMBER(FIND(CELL("contents"),$C$2:$C$4852)),ROW($C$2:$C$4852),4^8),ROW(C2164)))&amp;""</f>
        <v>#N/A</v>
      </c>
    </row>
    <row r="2165" ht="14.100000000000001" customHeight="1">
      <c r="B2165" s="20" t="s">
        <v>4477</v>
      </c>
      <c r="C2165" s="20" t="s">
        <v>4478</v>
      </c>
      <c r="D2165" s="20" t="s">
        <v>4477</v>
      </c>
      <c r="E2165" s="20" t="e">
        <f t="array" ref="E2165">INDEX(C:C,SMALL(IF(ISNUMBER(FIND(CELL("contents"),$C$2:$C$4852)),ROW($C$2:$C$4852),4^8),ROW(C2165)))&amp;""</f>
        <v>#N/A</v>
      </c>
    </row>
    <row r="2166" ht="14.100000000000001" customHeight="1">
      <c r="B2166" s="20" t="s">
        <v>4479</v>
      </c>
      <c r="C2166" s="20" t="s">
        <v>4480</v>
      </c>
      <c r="D2166" s="20" t="s">
        <v>4479</v>
      </c>
      <c r="E2166" s="20" t="e">
        <f t="array" ref="E2166">INDEX(C:C,SMALL(IF(ISNUMBER(FIND(CELL("contents"),$C$2:$C$4852)),ROW($C$2:$C$4852),4^8),ROW(C2166)))&amp;""</f>
        <v>#N/A</v>
      </c>
    </row>
    <row r="2167" ht="14.100000000000001" customHeight="1">
      <c r="B2167" s="20" t="s">
        <v>4481</v>
      </c>
      <c r="C2167" s="20" t="s">
        <v>4482</v>
      </c>
      <c r="D2167" s="20" t="s">
        <v>4481</v>
      </c>
      <c r="E2167" s="20" t="e">
        <f t="array" ref="E2167">INDEX(C:C,SMALL(IF(ISNUMBER(FIND(CELL("contents"),$C$2:$C$4852)),ROW($C$2:$C$4852),4^8),ROW(C2167)))&amp;""</f>
        <v>#N/A</v>
      </c>
    </row>
    <row r="2168" ht="14.100000000000001" customHeight="1">
      <c r="B2168" s="20" t="s">
        <v>4483</v>
      </c>
      <c r="C2168" s="20" t="s">
        <v>4484</v>
      </c>
      <c r="D2168" s="20" t="s">
        <v>4483</v>
      </c>
      <c r="E2168" s="20" t="e">
        <f t="array" ref="E2168">INDEX(C:C,SMALL(IF(ISNUMBER(FIND(CELL("contents"),$C$2:$C$4852)),ROW($C$2:$C$4852),4^8),ROW(C2168)))&amp;""</f>
        <v>#N/A</v>
      </c>
    </row>
    <row r="2169" ht="14.100000000000001" customHeight="1">
      <c r="B2169" s="20" t="s">
        <v>4485</v>
      </c>
      <c r="C2169" s="20" t="s">
        <v>4486</v>
      </c>
      <c r="D2169" s="20" t="s">
        <v>4485</v>
      </c>
      <c r="E2169" s="20" t="e">
        <f t="array" ref="E2169">INDEX(C:C,SMALL(IF(ISNUMBER(FIND(CELL("contents"),$C$2:$C$4852)),ROW($C$2:$C$4852),4^8),ROW(C2169)))&amp;""</f>
        <v>#N/A</v>
      </c>
    </row>
    <row r="2170" ht="14.100000000000001" customHeight="1">
      <c r="B2170" s="20" t="s">
        <v>4487</v>
      </c>
      <c r="C2170" s="20" t="s">
        <v>4488</v>
      </c>
      <c r="D2170" s="20" t="s">
        <v>4487</v>
      </c>
      <c r="E2170" s="20" t="e">
        <f t="array" ref="E2170">INDEX(C:C,SMALL(IF(ISNUMBER(FIND(CELL("contents"),$C$2:$C$4852)),ROW($C$2:$C$4852),4^8),ROW(C2170)))&amp;""</f>
        <v>#N/A</v>
      </c>
    </row>
    <row r="2171" ht="14.100000000000001" customHeight="1">
      <c r="B2171" s="20" t="s">
        <v>4489</v>
      </c>
      <c r="C2171" s="20" t="s">
        <v>4490</v>
      </c>
      <c r="D2171" s="20" t="s">
        <v>4489</v>
      </c>
      <c r="E2171" s="20" t="e">
        <f t="array" ref="E2171">INDEX(C:C,SMALL(IF(ISNUMBER(FIND(CELL("contents"),$C$2:$C$4852)),ROW($C$2:$C$4852),4^8),ROW(C2171)))&amp;""</f>
        <v>#N/A</v>
      </c>
    </row>
    <row r="2172" ht="14.100000000000001" customHeight="1">
      <c r="B2172" s="20" t="s">
        <v>4491</v>
      </c>
      <c r="C2172" s="20" t="s">
        <v>4492</v>
      </c>
      <c r="D2172" s="20" t="s">
        <v>4491</v>
      </c>
      <c r="E2172" s="20" t="e">
        <f t="array" ref="E2172">INDEX(C:C,SMALL(IF(ISNUMBER(FIND(CELL("contents"),$C$2:$C$4852)),ROW($C$2:$C$4852),4^8),ROW(C2172)))&amp;""</f>
        <v>#N/A</v>
      </c>
    </row>
    <row r="2173" ht="14.100000000000001" customHeight="1">
      <c r="B2173" s="20" t="s">
        <v>4493</v>
      </c>
      <c r="C2173" s="20" t="s">
        <v>4494</v>
      </c>
      <c r="D2173" s="20" t="s">
        <v>4493</v>
      </c>
      <c r="E2173" s="20" t="e">
        <f t="array" ref="E2173">INDEX(C:C,SMALL(IF(ISNUMBER(FIND(CELL("contents"),$C$2:$C$4852)),ROW($C$2:$C$4852),4^8),ROW(C2173)))&amp;""</f>
        <v>#N/A</v>
      </c>
    </row>
    <row r="2174" ht="14.100000000000001" customHeight="1">
      <c r="B2174" s="20" t="s">
        <v>4495</v>
      </c>
      <c r="C2174" s="20" t="s">
        <v>4496</v>
      </c>
      <c r="D2174" s="20" t="s">
        <v>4495</v>
      </c>
      <c r="E2174" s="20" t="e">
        <f t="array" ref="E2174">INDEX(C:C,SMALL(IF(ISNUMBER(FIND(CELL("contents"),$C$2:$C$4852)),ROW($C$2:$C$4852),4^8),ROW(C2174)))&amp;""</f>
        <v>#N/A</v>
      </c>
    </row>
    <row r="2175" ht="14.100000000000001" customHeight="1">
      <c r="B2175" s="20" t="s">
        <v>4497</v>
      </c>
      <c r="C2175" s="20" t="s">
        <v>4498</v>
      </c>
      <c r="D2175" s="20" t="s">
        <v>4497</v>
      </c>
      <c r="E2175" s="20" t="e">
        <f t="array" ref="E2175">INDEX(C:C,SMALL(IF(ISNUMBER(FIND(CELL("contents"),$C$2:$C$4852)),ROW($C$2:$C$4852),4^8),ROW(C2175)))&amp;""</f>
        <v>#N/A</v>
      </c>
    </row>
    <row r="2176" ht="14.100000000000001" customHeight="1">
      <c r="B2176" s="20" t="s">
        <v>4499</v>
      </c>
      <c r="C2176" s="20" t="s">
        <v>4500</v>
      </c>
      <c r="D2176" s="20" t="s">
        <v>4499</v>
      </c>
      <c r="E2176" s="20" t="e">
        <f t="array" ref="E2176">INDEX(C:C,SMALL(IF(ISNUMBER(FIND(CELL("contents"),$C$2:$C$4852)),ROW($C$2:$C$4852),4^8),ROW(C2176)))&amp;""</f>
        <v>#N/A</v>
      </c>
    </row>
    <row r="2177" ht="14.100000000000001" customHeight="1">
      <c r="B2177" s="20" t="s">
        <v>4501</v>
      </c>
      <c r="C2177" s="20" t="s">
        <v>4502</v>
      </c>
      <c r="D2177" s="20" t="s">
        <v>4501</v>
      </c>
      <c r="E2177" s="20" t="e">
        <f t="array" ref="E2177">INDEX(C:C,SMALL(IF(ISNUMBER(FIND(CELL("contents"),$C$2:$C$4852)),ROW($C$2:$C$4852),4^8),ROW(C2177)))&amp;""</f>
        <v>#N/A</v>
      </c>
    </row>
    <row r="2178" ht="14.100000000000001" customHeight="1">
      <c r="B2178" s="20" t="s">
        <v>4503</v>
      </c>
      <c r="C2178" s="20" t="s">
        <v>4504</v>
      </c>
      <c r="D2178" s="20" t="s">
        <v>4503</v>
      </c>
      <c r="E2178" s="20" t="e">
        <f t="array" ref="E2178">INDEX(C:C,SMALL(IF(ISNUMBER(FIND(CELL("contents"),$C$2:$C$4852)),ROW($C$2:$C$4852),4^8),ROW(C2178)))&amp;""</f>
        <v>#N/A</v>
      </c>
    </row>
    <row r="2179" ht="14.100000000000001" customHeight="1">
      <c r="B2179" s="20" t="s">
        <v>4505</v>
      </c>
      <c r="C2179" s="20" t="s">
        <v>4506</v>
      </c>
      <c r="D2179" s="20" t="s">
        <v>4505</v>
      </c>
      <c r="E2179" s="20" t="e">
        <f t="array" ref="E2179">INDEX(C:C,SMALL(IF(ISNUMBER(FIND(CELL("contents"),$C$2:$C$4852)),ROW($C$2:$C$4852),4^8),ROW(C2179)))&amp;""</f>
        <v>#N/A</v>
      </c>
    </row>
    <row r="2180" ht="14.100000000000001" customHeight="1">
      <c r="B2180" s="20" t="s">
        <v>4507</v>
      </c>
      <c r="C2180" s="20" t="s">
        <v>4508</v>
      </c>
      <c r="D2180" s="20" t="s">
        <v>4507</v>
      </c>
      <c r="E2180" s="20" t="e">
        <f t="array" ref="E2180">INDEX(C:C,SMALL(IF(ISNUMBER(FIND(CELL("contents"),$C$2:$C$4852)),ROW($C$2:$C$4852),4^8),ROW(C2180)))&amp;""</f>
        <v>#N/A</v>
      </c>
    </row>
    <row r="2181" ht="14.100000000000001" customHeight="1">
      <c r="B2181" s="20" t="s">
        <v>4509</v>
      </c>
      <c r="C2181" s="20" t="s">
        <v>4510</v>
      </c>
      <c r="D2181" s="20" t="s">
        <v>4509</v>
      </c>
      <c r="E2181" s="20" t="e">
        <f t="array" ref="E2181">INDEX(C:C,SMALL(IF(ISNUMBER(FIND(CELL("contents"),$C$2:$C$4852)),ROW($C$2:$C$4852),4^8),ROW(C2181)))&amp;""</f>
        <v>#N/A</v>
      </c>
    </row>
    <row r="2182" ht="14.100000000000001" customHeight="1">
      <c r="B2182" s="20" t="s">
        <v>4511</v>
      </c>
      <c r="C2182" s="20" t="s">
        <v>4512</v>
      </c>
      <c r="D2182" s="20" t="s">
        <v>4511</v>
      </c>
      <c r="E2182" s="20" t="e">
        <f t="array" ref="E2182">INDEX(C:C,SMALL(IF(ISNUMBER(FIND(CELL("contents"),$C$2:$C$4852)),ROW($C$2:$C$4852),4^8),ROW(C2182)))&amp;""</f>
        <v>#N/A</v>
      </c>
    </row>
    <row r="2183" ht="14.100000000000001" customHeight="1">
      <c r="B2183" s="20" t="s">
        <v>4513</v>
      </c>
      <c r="C2183" s="20" t="s">
        <v>4514</v>
      </c>
      <c r="D2183" s="20" t="s">
        <v>4513</v>
      </c>
      <c r="E2183" s="20" t="e">
        <f t="array" ref="E2183">INDEX(C:C,SMALL(IF(ISNUMBER(FIND(CELL("contents"),$C$2:$C$4852)),ROW($C$2:$C$4852),4^8),ROW(C2183)))&amp;""</f>
        <v>#N/A</v>
      </c>
    </row>
    <row r="2184" ht="14.100000000000001" customHeight="1">
      <c r="B2184" s="20" t="s">
        <v>4515</v>
      </c>
      <c r="C2184" s="20" t="s">
        <v>4516</v>
      </c>
      <c r="D2184" s="20" t="s">
        <v>4515</v>
      </c>
      <c r="E2184" s="20" t="e">
        <f t="array" ref="E2184">INDEX(C:C,SMALL(IF(ISNUMBER(FIND(CELL("contents"),$C$2:$C$4852)),ROW($C$2:$C$4852),4^8),ROW(C2184)))&amp;""</f>
        <v>#N/A</v>
      </c>
    </row>
    <row r="2185" ht="14.100000000000001" customHeight="1">
      <c r="B2185" s="20" t="s">
        <v>4517</v>
      </c>
      <c r="C2185" s="20" t="s">
        <v>4518</v>
      </c>
      <c r="D2185" s="20" t="s">
        <v>4517</v>
      </c>
      <c r="E2185" s="20" t="e">
        <f t="array" ref="E2185">INDEX(C:C,SMALL(IF(ISNUMBER(FIND(CELL("contents"),$C$2:$C$4852)),ROW($C$2:$C$4852),4^8),ROW(C2185)))&amp;""</f>
        <v>#N/A</v>
      </c>
    </row>
    <row r="2186" ht="14.100000000000001" customHeight="1">
      <c r="B2186" s="20" t="s">
        <v>4519</v>
      </c>
      <c r="C2186" s="20" t="s">
        <v>4520</v>
      </c>
      <c r="D2186" s="20" t="s">
        <v>4519</v>
      </c>
      <c r="E2186" s="20" t="e">
        <f t="array" ref="E2186">INDEX(C:C,SMALL(IF(ISNUMBER(FIND(CELL("contents"),$C$2:$C$4852)),ROW($C$2:$C$4852),4^8),ROW(C2186)))&amp;""</f>
        <v>#N/A</v>
      </c>
    </row>
    <row r="2187" ht="14.100000000000001" customHeight="1">
      <c r="B2187" s="20" t="s">
        <v>4521</v>
      </c>
      <c r="C2187" s="20" t="s">
        <v>4522</v>
      </c>
      <c r="D2187" s="20" t="s">
        <v>4521</v>
      </c>
      <c r="E2187" s="20" t="e">
        <f t="array" ref="E2187">INDEX(C:C,SMALL(IF(ISNUMBER(FIND(CELL("contents"),$C$2:$C$4852)),ROW($C$2:$C$4852),4^8),ROW(C2187)))&amp;""</f>
        <v>#N/A</v>
      </c>
    </row>
    <row r="2188" ht="14.100000000000001" customHeight="1">
      <c r="B2188" s="20" t="s">
        <v>4523</v>
      </c>
      <c r="C2188" s="20" t="s">
        <v>4524</v>
      </c>
      <c r="D2188" s="20" t="s">
        <v>4523</v>
      </c>
      <c r="E2188" s="20" t="e">
        <f t="array" ref="E2188">INDEX(C:C,SMALL(IF(ISNUMBER(FIND(CELL("contents"),$C$2:$C$4852)),ROW($C$2:$C$4852),4^8),ROW(C2188)))&amp;""</f>
        <v>#N/A</v>
      </c>
    </row>
    <row r="2189" ht="14.100000000000001" customHeight="1">
      <c r="B2189" s="20" t="s">
        <v>4525</v>
      </c>
      <c r="C2189" s="20" t="s">
        <v>4526</v>
      </c>
      <c r="D2189" s="20" t="s">
        <v>4525</v>
      </c>
      <c r="E2189" s="20" t="e">
        <f t="array" ref="E2189">INDEX(C:C,SMALL(IF(ISNUMBER(FIND(CELL("contents"),$C$2:$C$4852)),ROW($C$2:$C$4852),4^8),ROW(C2189)))&amp;""</f>
        <v>#N/A</v>
      </c>
    </row>
    <row r="2190" ht="14.100000000000001" customHeight="1">
      <c r="B2190" s="20" t="s">
        <v>4527</v>
      </c>
      <c r="C2190" s="20" t="s">
        <v>4528</v>
      </c>
      <c r="D2190" s="20" t="s">
        <v>4527</v>
      </c>
      <c r="E2190" s="20" t="e">
        <f t="array" ref="E2190">INDEX(C:C,SMALL(IF(ISNUMBER(FIND(CELL("contents"),$C$2:$C$4852)),ROW($C$2:$C$4852),4^8),ROW(C2190)))&amp;""</f>
        <v>#N/A</v>
      </c>
    </row>
    <row r="2191" ht="14.100000000000001" customHeight="1">
      <c r="B2191" s="20" t="s">
        <v>4529</v>
      </c>
      <c r="C2191" s="20" t="s">
        <v>4530</v>
      </c>
      <c r="D2191" s="20" t="s">
        <v>4529</v>
      </c>
      <c r="E2191" s="20" t="e">
        <f t="array" ref="E2191">INDEX(C:C,SMALL(IF(ISNUMBER(FIND(CELL("contents"),$C$2:$C$4852)),ROW($C$2:$C$4852),4^8),ROW(C2191)))&amp;""</f>
        <v>#N/A</v>
      </c>
    </row>
    <row r="2192" ht="14.100000000000001" customHeight="1">
      <c r="B2192" s="20" t="s">
        <v>4531</v>
      </c>
      <c r="C2192" s="20" t="s">
        <v>4532</v>
      </c>
      <c r="D2192" s="20" t="s">
        <v>4531</v>
      </c>
      <c r="E2192" s="20" t="e">
        <f t="array" ref="E2192">INDEX(C:C,SMALL(IF(ISNUMBER(FIND(CELL("contents"),$C$2:$C$4852)),ROW($C$2:$C$4852),4^8),ROW(C2192)))&amp;""</f>
        <v>#N/A</v>
      </c>
    </row>
    <row r="2193" ht="14.100000000000001" customHeight="1">
      <c r="B2193" s="20" t="s">
        <v>4533</v>
      </c>
      <c r="C2193" s="20" t="s">
        <v>4534</v>
      </c>
      <c r="D2193" s="20" t="s">
        <v>4533</v>
      </c>
      <c r="E2193" s="20" t="e">
        <f t="array" ref="E2193">INDEX(C:C,SMALL(IF(ISNUMBER(FIND(CELL("contents"),$C$2:$C$4852)),ROW($C$2:$C$4852),4^8),ROW(C2193)))&amp;""</f>
        <v>#N/A</v>
      </c>
    </row>
    <row r="2194" ht="14.100000000000001" customHeight="1">
      <c r="B2194" s="20" t="s">
        <v>4535</v>
      </c>
      <c r="C2194" s="20" t="s">
        <v>4536</v>
      </c>
      <c r="D2194" s="20" t="s">
        <v>4535</v>
      </c>
      <c r="E2194" s="20" t="e">
        <f t="array" ref="E2194">INDEX(C:C,SMALL(IF(ISNUMBER(FIND(CELL("contents"),$C$2:$C$4852)),ROW($C$2:$C$4852),4^8),ROW(C2194)))&amp;""</f>
        <v>#N/A</v>
      </c>
    </row>
    <row r="2195" ht="14.100000000000001" customHeight="1">
      <c r="B2195" s="20" t="s">
        <v>4537</v>
      </c>
      <c r="C2195" s="20" t="s">
        <v>4538</v>
      </c>
      <c r="D2195" s="20" t="s">
        <v>4537</v>
      </c>
      <c r="E2195" s="20" t="e">
        <f t="array" ref="E2195">INDEX(C:C,SMALL(IF(ISNUMBER(FIND(CELL("contents"),$C$2:$C$4852)),ROW($C$2:$C$4852),4^8),ROW(C2195)))&amp;""</f>
        <v>#N/A</v>
      </c>
    </row>
    <row r="2196" ht="14.100000000000001" customHeight="1">
      <c r="B2196" s="20" t="s">
        <v>4539</v>
      </c>
      <c r="C2196" s="20" t="s">
        <v>4540</v>
      </c>
      <c r="D2196" s="20" t="s">
        <v>4539</v>
      </c>
      <c r="E2196" s="20" t="e">
        <f t="array" ref="E2196">INDEX(C:C,SMALL(IF(ISNUMBER(FIND(CELL("contents"),$C$2:$C$4852)),ROW($C$2:$C$4852),4^8),ROW(C2196)))&amp;""</f>
        <v>#N/A</v>
      </c>
    </row>
    <row r="2197" ht="14.100000000000001" customHeight="1">
      <c r="B2197" s="20" t="s">
        <v>4541</v>
      </c>
      <c r="C2197" s="20" t="s">
        <v>4542</v>
      </c>
      <c r="D2197" s="20" t="s">
        <v>4541</v>
      </c>
      <c r="E2197" s="20" t="e">
        <f t="array" ref="E2197">INDEX(C:C,SMALL(IF(ISNUMBER(FIND(CELL("contents"),$C$2:$C$4852)),ROW($C$2:$C$4852),4^8),ROW(C2197)))&amp;""</f>
        <v>#N/A</v>
      </c>
    </row>
    <row r="2198" ht="14.100000000000001" customHeight="1">
      <c r="B2198" s="20" t="s">
        <v>4543</v>
      </c>
      <c r="C2198" s="20" t="s">
        <v>4544</v>
      </c>
      <c r="D2198" s="20" t="s">
        <v>4543</v>
      </c>
      <c r="E2198" s="20" t="e">
        <f t="array" ref="E2198">INDEX(C:C,SMALL(IF(ISNUMBER(FIND(CELL("contents"),$C$2:$C$4852)),ROW($C$2:$C$4852),4^8),ROW(C2198)))&amp;""</f>
        <v>#N/A</v>
      </c>
    </row>
    <row r="2199" ht="14.100000000000001" customHeight="1">
      <c r="B2199" s="20" t="s">
        <v>4545</v>
      </c>
      <c r="C2199" s="20" t="s">
        <v>4546</v>
      </c>
      <c r="D2199" s="20" t="s">
        <v>4545</v>
      </c>
      <c r="E2199" s="20" t="e">
        <f t="array" ref="E2199">INDEX(C:C,SMALL(IF(ISNUMBER(FIND(CELL("contents"),$C$2:$C$4852)),ROW($C$2:$C$4852),4^8),ROW(C2199)))&amp;""</f>
        <v>#N/A</v>
      </c>
    </row>
    <row r="2200" ht="14.100000000000001" customHeight="1">
      <c r="B2200" s="20" t="s">
        <v>4547</v>
      </c>
      <c r="C2200" s="20" t="s">
        <v>4548</v>
      </c>
      <c r="D2200" s="20" t="s">
        <v>4547</v>
      </c>
      <c r="E2200" s="20" t="e">
        <f t="array" ref="E2200">INDEX(C:C,SMALL(IF(ISNUMBER(FIND(CELL("contents"),$C$2:$C$4852)),ROW($C$2:$C$4852),4^8),ROW(C2200)))&amp;""</f>
        <v>#N/A</v>
      </c>
    </row>
    <row r="2201" ht="14.100000000000001" customHeight="1">
      <c r="B2201" s="20" t="s">
        <v>4549</v>
      </c>
      <c r="C2201" s="20" t="s">
        <v>4550</v>
      </c>
      <c r="D2201" s="20" t="s">
        <v>4549</v>
      </c>
      <c r="E2201" s="20" t="e">
        <f t="array" ref="E2201">INDEX(C:C,SMALL(IF(ISNUMBER(FIND(CELL("contents"),$C$2:$C$4852)),ROW($C$2:$C$4852),4^8),ROW(C2201)))&amp;""</f>
        <v>#N/A</v>
      </c>
    </row>
    <row r="2202" ht="14.100000000000001" customHeight="1">
      <c r="B2202" s="20" t="s">
        <v>4551</v>
      </c>
      <c r="C2202" s="20" t="s">
        <v>4552</v>
      </c>
      <c r="D2202" s="20" t="s">
        <v>4551</v>
      </c>
      <c r="E2202" s="20" t="e">
        <f t="array" ref="E2202">INDEX(C:C,SMALL(IF(ISNUMBER(FIND(CELL("contents"),$C$2:$C$4852)),ROW($C$2:$C$4852),4^8),ROW(C2202)))&amp;""</f>
        <v>#N/A</v>
      </c>
    </row>
    <row r="2203" ht="14.100000000000001" customHeight="1">
      <c r="B2203" s="20" t="s">
        <v>4553</v>
      </c>
      <c r="C2203" s="20" t="s">
        <v>4554</v>
      </c>
      <c r="D2203" s="20" t="s">
        <v>4553</v>
      </c>
      <c r="E2203" s="20" t="e">
        <f t="array" ref="E2203">INDEX(C:C,SMALL(IF(ISNUMBER(FIND(CELL("contents"),$C$2:$C$4852)),ROW($C$2:$C$4852),4^8),ROW(C2203)))&amp;""</f>
        <v>#N/A</v>
      </c>
    </row>
    <row r="2204" ht="14.100000000000001" customHeight="1">
      <c r="B2204" s="20" t="s">
        <v>4555</v>
      </c>
      <c r="C2204" s="20" t="s">
        <v>4556</v>
      </c>
      <c r="D2204" s="20" t="s">
        <v>4555</v>
      </c>
      <c r="E2204" s="20" t="e">
        <f t="array" ref="E2204">INDEX(C:C,SMALL(IF(ISNUMBER(FIND(CELL("contents"),$C$2:$C$4852)),ROW($C$2:$C$4852),4^8),ROW(C2204)))&amp;""</f>
        <v>#N/A</v>
      </c>
    </row>
    <row r="2205" ht="14.100000000000001" customHeight="1">
      <c r="B2205" s="20" t="s">
        <v>4557</v>
      </c>
      <c r="C2205" s="20" t="s">
        <v>4558</v>
      </c>
      <c r="D2205" s="20" t="s">
        <v>4557</v>
      </c>
      <c r="E2205" s="20" t="e">
        <f t="array" ref="E2205">INDEX(C:C,SMALL(IF(ISNUMBER(FIND(CELL("contents"),$C$2:$C$4852)),ROW($C$2:$C$4852),4^8),ROW(C2205)))&amp;""</f>
        <v>#N/A</v>
      </c>
    </row>
    <row r="2206" ht="14.100000000000001" customHeight="1">
      <c r="B2206" s="20" t="s">
        <v>4559</v>
      </c>
      <c r="C2206" s="20" t="s">
        <v>4560</v>
      </c>
      <c r="D2206" s="20" t="s">
        <v>4559</v>
      </c>
      <c r="E2206" s="20" t="e">
        <f t="array" ref="E2206">INDEX(C:C,SMALL(IF(ISNUMBER(FIND(CELL("contents"),$C$2:$C$4852)),ROW($C$2:$C$4852),4^8),ROW(C2206)))&amp;""</f>
        <v>#N/A</v>
      </c>
    </row>
    <row r="2207" ht="14.100000000000001" customHeight="1">
      <c r="B2207" s="20" t="s">
        <v>4561</v>
      </c>
      <c r="C2207" s="20" t="s">
        <v>4562</v>
      </c>
      <c r="D2207" s="20" t="s">
        <v>4561</v>
      </c>
      <c r="E2207" s="20" t="e">
        <f t="array" ref="E2207">INDEX(C:C,SMALL(IF(ISNUMBER(FIND(CELL("contents"),$C$2:$C$4852)),ROW($C$2:$C$4852),4^8),ROW(C2207)))&amp;""</f>
        <v>#N/A</v>
      </c>
    </row>
    <row r="2208" ht="14.100000000000001" customHeight="1">
      <c r="B2208" s="20" t="s">
        <v>4563</v>
      </c>
      <c r="C2208" s="20" t="s">
        <v>4564</v>
      </c>
      <c r="D2208" s="20" t="s">
        <v>4563</v>
      </c>
      <c r="E2208" s="20" t="e">
        <f t="array" ref="E2208">INDEX(C:C,SMALL(IF(ISNUMBER(FIND(CELL("contents"),$C$2:$C$4852)),ROW($C$2:$C$4852),4^8),ROW(C2208)))&amp;""</f>
        <v>#N/A</v>
      </c>
    </row>
    <row r="2209" ht="14.100000000000001" customHeight="1">
      <c r="B2209" s="20" t="s">
        <v>4565</v>
      </c>
      <c r="C2209" s="20" t="s">
        <v>4566</v>
      </c>
      <c r="D2209" s="20" t="s">
        <v>4565</v>
      </c>
      <c r="E2209" s="20" t="e">
        <f t="array" ref="E2209">INDEX(C:C,SMALL(IF(ISNUMBER(FIND(CELL("contents"),$C$2:$C$4852)),ROW($C$2:$C$4852),4^8),ROW(C2209)))&amp;""</f>
        <v>#N/A</v>
      </c>
    </row>
    <row r="2210" ht="14.100000000000001" customHeight="1">
      <c r="B2210" s="20" t="s">
        <v>4567</v>
      </c>
      <c r="C2210" s="20" t="s">
        <v>4568</v>
      </c>
      <c r="D2210" s="20" t="s">
        <v>4567</v>
      </c>
      <c r="E2210" s="20" t="e">
        <f t="array" ref="E2210">INDEX(C:C,SMALL(IF(ISNUMBER(FIND(CELL("contents"),$C$2:$C$4852)),ROW($C$2:$C$4852),4^8),ROW(C2210)))&amp;""</f>
        <v>#N/A</v>
      </c>
    </row>
    <row r="2211" ht="14.100000000000001" customHeight="1">
      <c r="B2211" s="20" t="s">
        <v>4569</v>
      </c>
      <c r="C2211" s="20" t="s">
        <v>4570</v>
      </c>
      <c r="D2211" s="20" t="s">
        <v>4569</v>
      </c>
      <c r="E2211" s="20" t="e">
        <f t="array" ref="E2211">INDEX(C:C,SMALL(IF(ISNUMBER(FIND(CELL("contents"),$C$2:$C$4852)),ROW($C$2:$C$4852),4^8),ROW(C2211)))&amp;""</f>
        <v>#N/A</v>
      </c>
    </row>
    <row r="2212" ht="14.100000000000001" customHeight="1">
      <c r="B2212" s="20" t="s">
        <v>4571</v>
      </c>
      <c r="C2212" s="20" t="s">
        <v>4572</v>
      </c>
      <c r="D2212" s="20" t="s">
        <v>4571</v>
      </c>
      <c r="E2212" s="20" t="e">
        <f t="array" ref="E2212">INDEX(C:C,SMALL(IF(ISNUMBER(FIND(CELL("contents"),$C$2:$C$4852)),ROW($C$2:$C$4852),4^8),ROW(C2212)))&amp;""</f>
        <v>#N/A</v>
      </c>
    </row>
    <row r="2213" ht="14.100000000000001" customHeight="1">
      <c r="B2213" s="20" t="s">
        <v>4573</v>
      </c>
      <c r="C2213" s="20" t="s">
        <v>4574</v>
      </c>
      <c r="D2213" s="20" t="s">
        <v>4573</v>
      </c>
      <c r="E2213" s="20" t="e">
        <f t="array" ref="E2213">INDEX(C:C,SMALL(IF(ISNUMBER(FIND(CELL("contents"),$C$2:$C$4852)),ROW($C$2:$C$4852),4^8),ROW(C2213)))&amp;""</f>
        <v>#N/A</v>
      </c>
    </row>
    <row r="2214" ht="14.100000000000001" customHeight="1">
      <c r="B2214" s="20" t="s">
        <v>4575</v>
      </c>
      <c r="C2214" s="20" t="s">
        <v>4576</v>
      </c>
      <c r="D2214" s="20" t="s">
        <v>4575</v>
      </c>
      <c r="E2214" s="20" t="e">
        <f t="array" ref="E2214">INDEX(C:C,SMALL(IF(ISNUMBER(FIND(CELL("contents"),$C$2:$C$4852)),ROW($C$2:$C$4852),4^8),ROW(C2214)))&amp;""</f>
        <v>#N/A</v>
      </c>
    </row>
    <row r="2215" ht="14.100000000000001" customHeight="1">
      <c r="B2215" s="20" t="s">
        <v>4577</v>
      </c>
      <c r="C2215" s="20" t="s">
        <v>4578</v>
      </c>
      <c r="D2215" s="20" t="s">
        <v>4577</v>
      </c>
      <c r="E2215" s="20" t="e">
        <f t="array" ref="E2215">INDEX(C:C,SMALL(IF(ISNUMBER(FIND(CELL("contents"),$C$2:$C$4852)),ROW($C$2:$C$4852),4^8),ROW(C2215)))&amp;""</f>
        <v>#N/A</v>
      </c>
    </row>
    <row r="2216" ht="14.100000000000001" customHeight="1">
      <c r="B2216" s="20" t="s">
        <v>4579</v>
      </c>
      <c r="C2216" s="20" t="s">
        <v>4580</v>
      </c>
      <c r="D2216" s="20" t="s">
        <v>4579</v>
      </c>
      <c r="E2216" s="20" t="e">
        <f t="array" ref="E2216">INDEX(C:C,SMALL(IF(ISNUMBER(FIND(CELL("contents"),$C$2:$C$4852)),ROW($C$2:$C$4852),4^8),ROW(C2216)))&amp;""</f>
        <v>#N/A</v>
      </c>
    </row>
    <row r="2217" ht="14.100000000000001" customHeight="1">
      <c r="B2217" s="20" t="s">
        <v>4581</v>
      </c>
      <c r="C2217" s="20" t="s">
        <v>4582</v>
      </c>
      <c r="D2217" s="20" t="s">
        <v>4581</v>
      </c>
      <c r="E2217" s="20" t="e">
        <f t="array" ref="E2217">INDEX(C:C,SMALL(IF(ISNUMBER(FIND(CELL("contents"),$C$2:$C$4852)),ROW($C$2:$C$4852),4^8),ROW(C2217)))&amp;""</f>
        <v>#N/A</v>
      </c>
    </row>
    <row r="2218" ht="14.100000000000001" customHeight="1">
      <c r="B2218" s="20" t="s">
        <v>4583</v>
      </c>
      <c r="C2218" s="20" t="s">
        <v>4584</v>
      </c>
      <c r="D2218" s="20" t="s">
        <v>4583</v>
      </c>
      <c r="E2218" s="20" t="e">
        <f t="array" ref="E2218">INDEX(C:C,SMALL(IF(ISNUMBER(FIND(CELL("contents"),$C$2:$C$4852)),ROW($C$2:$C$4852),4^8),ROW(C2218)))&amp;""</f>
        <v>#N/A</v>
      </c>
    </row>
    <row r="2219" ht="14.100000000000001" customHeight="1">
      <c r="B2219" s="20" t="s">
        <v>4585</v>
      </c>
      <c r="C2219" s="20" t="s">
        <v>4586</v>
      </c>
      <c r="D2219" s="20" t="s">
        <v>4585</v>
      </c>
      <c r="E2219" s="20" t="e">
        <f t="array" ref="E2219">INDEX(C:C,SMALL(IF(ISNUMBER(FIND(CELL("contents"),$C$2:$C$4852)),ROW($C$2:$C$4852),4^8),ROW(C2219)))&amp;""</f>
        <v>#N/A</v>
      </c>
    </row>
    <row r="2220" ht="14.100000000000001" customHeight="1">
      <c r="B2220" s="20" t="s">
        <v>4587</v>
      </c>
      <c r="C2220" s="20" t="s">
        <v>4588</v>
      </c>
      <c r="D2220" s="20" t="s">
        <v>4587</v>
      </c>
      <c r="E2220" s="20" t="e">
        <f t="array" ref="E2220">INDEX(C:C,SMALL(IF(ISNUMBER(FIND(CELL("contents"),$C$2:$C$4852)),ROW($C$2:$C$4852),4^8),ROW(C2220)))&amp;""</f>
        <v>#N/A</v>
      </c>
    </row>
    <row r="2221" ht="14.100000000000001" customHeight="1">
      <c r="B2221" s="20" t="s">
        <v>4589</v>
      </c>
      <c r="C2221" s="20" t="s">
        <v>4590</v>
      </c>
      <c r="D2221" s="20" t="s">
        <v>4589</v>
      </c>
      <c r="E2221" s="20" t="e">
        <f t="array" ref="E2221">INDEX(C:C,SMALL(IF(ISNUMBER(FIND(CELL("contents"),$C$2:$C$4852)),ROW($C$2:$C$4852),4^8),ROW(C2221)))&amp;""</f>
        <v>#N/A</v>
      </c>
    </row>
    <row r="2222" ht="14.100000000000001" customHeight="1">
      <c r="B2222" s="20" t="s">
        <v>4591</v>
      </c>
      <c r="C2222" s="20" t="s">
        <v>4592</v>
      </c>
      <c r="D2222" s="20" t="s">
        <v>4591</v>
      </c>
      <c r="E2222" s="20" t="e">
        <f t="array" ref="E2222">INDEX(C:C,SMALL(IF(ISNUMBER(FIND(CELL("contents"),$C$2:$C$4852)),ROW($C$2:$C$4852),4^8),ROW(C2222)))&amp;""</f>
        <v>#N/A</v>
      </c>
    </row>
    <row r="2223" ht="14.100000000000001" customHeight="1">
      <c r="B2223" s="20" t="s">
        <v>4593</v>
      </c>
      <c r="C2223" s="20" t="s">
        <v>4594</v>
      </c>
      <c r="D2223" s="20" t="s">
        <v>4593</v>
      </c>
      <c r="E2223" s="20" t="e">
        <f t="array" ref="E2223">INDEX(C:C,SMALL(IF(ISNUMBER(FIND(CELL("contents"),$C$2:$C$4852)),ROW($C$2:$C$4852),4^8),ROW(C2223)))&amp;""</f>
        <v>#N/A</v>
      </c>
    </row>
    <row r="2224" ht="14.100000000000001" customHeight="1">
      <c r="B2224" s="20" t="s">
        <v>4595</v>
      </c>
      <c r="C2224" s="20" t="s">
        <v>4596</v>
      </c>
      <c r="D2224" s="20" t="s">
        <v>4595</v>
      </c>
      <c r="E2224" s="20" t="e">
        <f t="array" ref="E2224">INDEX(C:C,SMALL(IF(ISNUMBER(FIND(CELL("contents"),$C$2:$C$4852)),ROW($C$2:$C$4852),4^8),ROW(C2224)))&amp;""</f>
        <v>#N/A</v>
      </c>
    </row>
    <row r="2225" ht="14.100000000000001" customHeight="1">
      <c r="B2225" s="20" t="s">
        <v>4597</v>
      </c>
      <c r="C2225" s="20" t="s">
        <v>4598</v>
      </c>
      <c r="D2225" s="20" t="s">
        <v>4597</v>
      </c>
      <c r="E2225" s="20" t="e">
        <f t="array" ref="E2225">INDEX(C:C,SMALL(IF(ISNUMBER(FIND(CELL("contents"),$C$2:$C$4852)),ROW($C$2:$C$4852),4^8),ROW(C2225)))&amp;""</f>
        <v>#N/A</v>
      </c>
    </row>
    <row r="2226" ht="14.100000000000001" customHeight="1">
      <c r="B2226" s="20" t="s">
        <v>4599</v>
      </c>
      <c r="C2226" s="20" t="s">
        <v>4600</v>
      </c>
      <c r="D2226" s="20" t="s">
        <v>4599</v>
      </c>
      <c r="E2226" s="20" t="e">
        <f t="array" ref="E2226">INDEX(C:C,SMALL(IF(ISNUMBER(FIND(CELL("contents"),$C$2:$C$4852)),ROW($C$2:$C$4852),4^8),ROW(C2226)))&amp;""</f>
        <v>#N/A</v>
      </c>
    </row>
    <row r="2227" ht="14.100000000000001" customHeight="1">
      <c r="B2227" s="20" t="s">
        <v>4601</v>
      </c>
      <c r="C2227" s="20" t="s">
        <v>4602</v>
      </c>
      <c r="D2227" s="20" t="s">
        <v>4601</v>
      </c>
      <c r="E2227" s="20" t="e">
        <f t="array" ref="E2227">INDEX(C:C,SMALL(IF(ISNUMBER(FIND(CELL("contents"),$C$2:$C$4852)),ROW($C$2:$C$4852),4^8),ROW(C2227)))&amp;""</f>
        <v>#N/A</v>
      </c>
    </row>
    <row r="2228" ht="14.100000000000001" customHeight="1">
      <c r="B2228" s="20" t="s">
        <v>4603</v>
      </c>
      <c r="C2228" s="20" t="s">
        <v>4604</v>
      </c>
      <c r="D2228" s="20" t="s">
        <v>4603</v>
      </c>
      <c r="E2228" s="20" t="e">
        <f t="array" ref="E2228">INDEX(C:C,SMALL(IF(ISNUMBER(FIND(CELL("contents"),$C$2:$C$4852)),ROW($C$2:$C$4852),4^8),ROW(C2228)))&amp;""</f>
        <v>#N/A</v>
      </c>
    </row>
    <row r="2229" ht="14.100000000000001" customHeight="1">
      <c r="B2229" s="20" t="s">
        <v>4605</v>
      </c>
      <c r="C2229" s="20" t="s">
        <v>4606</v>
      </c>
      <c r="D2229" s="20" t="s">
        <v>4605</v>
      </c>
      <c r="E2229" s="20" t="e">
        <f t="array" ref="E2229">INDEX(C:C,SMALL(IF(ISNUMBER(FIND(CELL("contents"),$C$2:$C$4852)),ROW($C$2:$C$4852),4^8),ROW(C2229)))&amp;""</f>
        <v>#N/A</v>
      </c>
    </row>
    <row r="2230" ht="14.100000000000001" customHeight="1">
      <c r="B2230" s="20" t="s">
        <v>4607</v>
      </c>
      <c r="C2230" s="20" t="s">
        <v>4608</v>
      </c>
      <c r="D2230" s="20" t="s">
        <v>4607</v>
      </c>
      <c r="E2230" s="20" t="e">
        <f t="array" ref="E2230">INDEX(C:C,SMALL(IF(ISNUMBER(FIND(CELL("contents"),$C$2:$C$4852)),ROW($C$2:$C$4852),4^8),ROW(C2230)))&amp;""</f>
        <v>#N/A</v>
      </c>
    </row>
    <row r="2231" ht="14.100000000000001" customHeight="1">
      <c r="B2231" s="20" t="s">
        <v>4609</v>
      </c>
      <c r="C2231" s="20" t="s">
        <v>4610</v>
      </c>
      <c r="D2231" s="20" t="s">
        <v>4609</v>
      </c>
      <c r="E2231" s="20" t="e">
        <f t="array" ref="E2231">INDEX(C:C,SMALL(IF(ISNUMBER(FIND(CELL("contents"),$C$2:$C$4852)),ROW($C$2:$C$4852),4^8),ROW(C2231)))&amp;""</f>
        <v>#N/A</v>
      </c>
    </row>
    <row r="2232" ht="14.100000000000001" customHeight="1">
      <c r="B2232" s="20" t="s">
        <v>4611</v>
      </c>
      <c r="C2232" s="20" t="s">
        <v>4612</v>
      </c>
      <c r="D2232" s="20" t="s">
        <v>4611</v>
      </c>
      <c r="E2232" s="20" t="e">
        <f t="array" ref="E2232">INDEX(C:C,SMALL(IF(ISNUMBER(FIND(CELL("contents"),$C$2:$C$4852)),ROW($C$2:$C$4852),4^8),ROW(C2232)))&amp;""</f>
        <v>#N/A</v>
      </c>
    </row>
    <row r="2233" ht="14.100000000000001" customHeight="1">
      <c r="B2233" s="20" t="s">
        <v>4613</v>
      </c>
      <c r="C2233" s="20" t="s">
        <v>4614</v>
      </c>
      <c r="D2233" s="20" t="s">
        <v>4613</v>
      </c>
      <c r="E2233" s="20" t="e">
        <f t="array" ref="E2233">INDEX(C:C,SMALL(IF(ISNUMBER(FIND(CELL("contents"),$C$2:$C$4852)),ROW($C$2:$C$4852),4^8),ROW(C2233)))&amp;""</f>
        <v>#N/A</v>
      </c>
    </row>
    <row r="2234" ht="14.100000000000001" customHeight="1">
      <c r="B2234" s="20" t="s">
        <v>4615</v>
      </c>
      <c r="C2234" s="20" t="s">
        <v>4616</v>
      </c>
      <c r="D2234" s="20" t="s">
        <v>4615</v>
      </c>
      <c r="E2234" s="20" t="e">
        <f t="array" ref="E2234">INDEX(C:C,SMALL(IF(ISNUMBER(FIND(CELL("contents"),$C$2:$C$4852)),ROW($C$2:$C$4852),4^8),ROW(C2234)))&amp;""</f>
        <v>#N/A</v>
      </c>
    </row>
    <row r="2235" ht="14.100000000000001" customHeight="1">
      <c r="B2235" s="20" t="s">
        <v>4617</v>
      </c>
      <c r="C2235" s="20" t="s">
        <v>4618</v>
      </c>
      <c r="D2235" s="20" t="s">
        <v>4617</v>
      </c>
      <c r="E2235" s="20" t="e">
        <f t="array" ref="E2235">INDEX(C:C,SMALL(IF(ISNUMBER(FIND(CELL("contents"),$C$2:$C$4852)),ROW($C$2:$C$4852),4^8),ROW(C2235)))&amp;""</f>
        <v>#N/A</v>
      </c>
    </row>
    <row r="2236" ht="14.100000000000001" customHeight="1">
      <c r="B2236" s="20" t="s">
        <v>4619</v>
      </c>
      <c r="C2236" s="20" t="s">
        <v>4620</v>
      </c>
      <c r="D2236" s="20" t="s">
        <v>4619</v>
      </c>
      <c r="E2236" s="20" t="e">
        <f t="array" ref="E2236">INDEX(C:C,SMALL(IF(ISNUMBER(FIND(CELL("contents"),$C$2:$C$4852)),ROW($C$2:$C$4852),4^8),ROW(C2236)))&amp;""</f>
        <v>#N/A</v>
      </c>
    </row>
    <row r="2237" ht="14.100000000000001" customHeight="1">
      <c r="B2237" s="20" t="s">
        <v>4621</v>
      </c>
      <c r="C2237" s="20" t="s">
        <v>4622</v>
      </c>
      <c r="D2237" s="20" t="s">
        <v>4621</v>
      </c>
      <c r="E2237" s="20" t="e">
        <f t="array" ref="E2237">INDEX(C:C,SMALL(IF(ISNUMBER(FIND(CELL("contents"),$C$2:$C$4852)),ROW($C$2:$C$4852),4^8),ROW(C2237)))&amp;""</f>
        <v>#N/A</v>
      </c>
    </row>
    <row r="2238" ht="14.100000000000001" customHeight="1">
      <c r="B2238" s="20" t="s">
        <v>4623</v>
      </c>
      <c r="C2238" s="20" t="s">
        <v>4624</v>
      </c>
      <c r="D2238" s="20" t="s">
        <v>4623</v>
      </c>
      <c r="E2238" s="20" t="e">
        <f t="array" ref="E2238">INDEX(C:C,SMALL(IF(ISNUMBER(FIND(CELL("contents"),$C$2:$C$4852)),ROW($C$2:$C$4852),4^8),ROW(C2238)))&amp;""</f>
        <v>#N/A</v>
      </c>
    </row>
    <row r="2239" ht="14.100000000000001" customHeight="1">
      <c r="B2239" s="20" t="s">
        <v>4625</v>
      </c>
      <c r="C2239" s="20" t="s">
        <v>4626</v>
      </c>
      <c r="D2239" s="20" t="s">
        <v>4625</v>
      </c>
      <c r="E2239" s="20" t="e">
        <f t="array" ref="E2239">INDEX(C:C,SMALL(IF(ISNUMBER(FIND(CELL("contents"),$C$2:$C$4852)),ROW($C$2:$C$4852),4^8),ROW(C2239)))&amp;""</f>
        <v>#N/A</v>
      </c>
    </row>
    <row r="2240" ht="14.100000000000001" customHeight="1">
      <c r="B2240" s="20" t="s">
        <v>4627</v>
      </c>
      <c r="C2240" s="20" t="s">
        <v>4628</v>
      </c>
      <c r="D2240" s="20" t="s">
        <v>4627</v>
      </c>
      <c r="E2240" s="20" t="e">
        <f t="array" ref="E2240">INDEX(C:C,SMALL(IF(ISNUMBER(FIND(CELL("contents"),$C$2:$C$4852)),ROW($C$2:$C$4852),4^8),ROW(C2240)))&amp;""</f>
        <v>#N/A</v>
      </c>
    </row>
    <row r="2241" ht="14.100000000000001" customHeight="1">
      <c r="B2241" s="20" t="s">
        <v>4629</v>
      </c>
      <c r="C2241" s="20" t="s">
        <v>4630</v>
      </c>
      <c r="D2241" s="20" t="s">
        <v>4629</v>
      </c>
      <c r="E2241" s="20" t="e">
        <f t="array" ref="E2241">INDEX(C:C,SMALL(IF(ISNUMBER(FIND(CELL("contents"),$C$2:$C$4852)),ROW($C$2:$C$4852),4^8),ROW(C2241)))&amp;""</f>
        <v>#N/A</v>
      </c>
    </row>
    <row r="2242" ht="14.100000000000001" customHeight="1">
      <c r="B2242" s="20" t="s">
        <v>4631</v>
      </c>
      <c r="C2242" s="20" t="s">
        <v>4632</v>
      </c>
      <c r="D2242" s="20" t="s">
        <v>4631</v>
      </c>
      <c r="E2242" s="20" t="e">
        <f t="array" ref="E2242">INDEX(C:C,SMALL(IF(ISNUMBER(FIND(CELL("contents"),$C$2:$C$4852)),ROW($C$2:$C$4852),4^8),ROW(C2242)))&amp;""</f>
        <v>#N/A</v>
      </c>
    </row>
    <row r="2243" ht="14.100000000000001" customHeight="1">
      <c r="B2243" s="20" t="s">
        <v>4633</v>
      </c>
      <c r="C2243" s="20" t="s">
        <v>4634</v>
      </c>
      <c r="D2243" s="20" t="s">
        <v>4633</v>
      </c>
      <c r="E2243" s="20" t="e">
        <f t="array" ref="E2243">INDEX(C:C,SMALL(IF(ISNUMBER(FIND(CELL("contents"),$C$2:$C$4852)),ROW($C$2:$C$4852),4^8),ROW(C2243)))&amp;""</f>
        <v>#N/A</v>
      </c>
    </row>
    <row r="2244" ht="14.100000000000001" customHeight="1">
      <c r="B2244" s="20" t="s">
        <v>4635</v>
      </c>
      <c r="C2244" s="20" t="s">
        <v>4636</v>
      </c>
      <c r="D2244" s="20" t="s">
        <v>4635</v>
      </c>
      <c r="E2244" s="20" t="e">
        <f t="array" ref="E2244">INDEX(C:C,SMALL(IF(ISNUMBER(FIND(CELL("contents"),$C$2:$C$4852)),ROW($C$2:$C$4852),4^8),ROW(C2244)))&amp;""</f>
        <v>#N/A</v>
      </c>
    </row>
    <row r="2245" ht="14.100000000000001" customHeight="1">
      <c r="B2245" s="20" t="s">
        <v>4637</v>
      </c>
      <c r="C2245" s="20" t="s">
        <v>4638</v>
      </c>
      <c r="D2245" s="20" t="s">
        <v>4637</v>
      </c>
      <c r="E2245" s="20" t="e">
        <f t="array" ref="E2245">INDEX(C:C,SMALL(IF(ISNUMBER(FIND(CELL("contents"),$C$2:$C$4852)),ROW($C$2:$C$4852),4^8),ROW(C2245)))&amp;""</f>
        <v>#N/A</v>
      </c>
    </row>
    <row r="2246" ht="14.100000000000001" customHeight="1">
      <c r="B2246" s="20" t="s">
        <v>4639</v>
      </c>
      <c r="C2246" s="20" t="s">
        <v>4640</v>
      </c>
      <c r="D2246" s="20" t="s">
        <v>4639</v>
      </c>
      <c r="E2246" s="20" t="e">
        <f t="array" ref="E2246">INDEX(C:C,SMALL(IF(ISNUMBER(FIND(CELL("contents"),$C$2:$C$4852)),ROW($C$2:$C$4852),4^8),ROW(C2246)))&amp;""</f>
        <v>#N/A</v>
      </c>
    </row>
    <row r="2247" ht="14.100000000000001" customHeight="1">
      <c r="B2247" s="20" t="s">
        <v>4641</v>
      </c>
      <c r="C2247" s="20" t="s">
        <v>4642</v>
      </c>
      <c r="D2247" s="20" t="s">
        <v>4641</v>
      </c>
      <c r="E2247" s="20" t="e">
        <f t="array" ref="E2247">INDEX(C:C,SMALL(IF(ISNUMBER(FIND(CELL("contents"),$C$2:$C$4852)),ROW($C$2:$C$4852),4^8),ROW(C2247)))&amp;""</f>
        <v>#N/A</v>
      </c>
    </row>
    <row r="2248" ht="14.100000000000001" customHeight="1">
      <c r="B2248" s="20" t="s">
        <v>4643</v>
      </c>
      <c r="C2248" s="20" t="s">
        <v>4644</v>
      </c>
      <c r="D2248" s="20" t="s">
        <v>4643</v>
      </c>
      <c r="E2248" s="20" t="e">
        <f t="array" ref="E2248">INDEX(C:C,SMALL(IF(ISNUMBER(FIND(CELL("contents"),$C$2:$C$4852)),ROW($C$2:$C$4852),4^8),ROW(C2248)))&amp;""</f>
        <v>#N/A</v>
      </c>
    </row>
    <row r="2249" ht="14.100000000000001" customHeight="1">
      <c r="B2249" s="20" t="s">
        <v>4645</v>
      </c>
      <c r="C2249" s="20" t="s">
        <v>4646</v>
      </c>
      <c r="D2249" s="20" t="s">
        <v>4645</v>
      </c>
      <c r="E2249" s="20" t="e">
        <f t="array" ref="E2249">INDEX(C:C,SMALL(IF(ISNUMBER(FIND(CELL("contents"),$C$2:$C$4852)),ROW($C$2:$C$4852),4^8),ROW(C2249)))&amp;""</f>
        <v>#N/A</v>
      </c>
    </row>
    <row r="2250" ht="14.100000000000001" customHeight="1">
      <c r="B2250" s="20" t="s">
        <v>4647</v>
      </c>
      <c r="C2250" s="20" t="s">
        <v>4648</v>
      </c>
      <c r="D2250" s="20" t="s">
        <v>4647</v>
      </c>
      <c r="E2250" s="20" t="e">
        <f t="array" ref="E2250">INDEX(C:C,SMALL(IF(ISNUMBER(FIND(CELL("contents"),$C$2:$C$4852)),ROW($C$2:$C$4852),4^8),ROW(C2250)))&amp;""</f>
        <v>#N/A</v>
      </c>
    </row>
    <row r="2251" ht="14.100000000000001" customHeight="1">
      <c r="B2251" s="20" t="s">
        <v>4649</v>
      </c>
      <c r="C2251" s="20" t="s">
        <v>4650</v>
      </c>
      <c r="D2251" s="20" t="s">
        <v>4649</v>
      </c>
      <c r="E2251" s="20" t="e">
        <f t="array" ref="E2251">INDEX(C:C,SMALL(IF(ISNUMBER(FIND(CELL("contents"),$C$2:$C$4852)),ROW($C$2:$C$4852),4^8),ROW(C2251)))&amp;""</f>
        <v>#N/A</v>
      </c>
    </row>
    <row r="2252" ht="14.100000000000001" customHeight="1">
      <c r="B2252" s="20" t="s">
        <v>4651</v>
      </c>
      <c r="C2252" s="20" t="s">
        <v>4652</v>
      </c>
      <c r="D2252" s="20" t="s">
        <v>4651</v>
      </c>
      <c r="E2252" s="20" t="e">
        <f t="array" ref="E2252">INDEX(C:C,SMALL(IF(ISNUMBER(FIND(CELL("contents"),$C$2:$C$4852)),ROW($C$2:$C$4852),4^8),ROW(C2252)))&amp;""</f>
        <v>#N/A</v>
      </c>
    </row>
    <row r="2253" ht="14.100000000000001" customHeight="1">
      <c r="B2253" s="20" t="s">
        <v>4653</v>
      </c>
      <c r="C2253" s="20" t="s">
        <v>4654</v>
      </c>
      <c r="D2253" s="20" t="s">
        <v>4653</v>
      </c>
      <c r="E2253" s="20" t="e">
        <f t="array" ref="E2253">INDEX(C:C,SMALL(IF(ISNUMBER(FIND(CELL("contents"),$C$2:$C$4852)),ROW($C$2:$C$4852),4^8),ROW(C2253)))&amp;""</f>
        <v>#N/A</v>
      </c>
    </row>
    <row r="2254" ht="14.100000000000001" customHeight="1">
      <c r="B2254" s="20" t="s">
        <v>4655</v>
      </c>
      <c r="C2254" s="20" t="s">
        <v>4656</v>
      </c>
      <c r="D2254" s="20" t="s">
        <v>4655</v>
      </c>
      <c r="E2254" s="20" t="e">
        <f t="array" ref="E2254">INDEX(C:C,SMALL(IF(ISNUMBER(FIND(CELL("contents"),$C$2:$C$4852)),ROW($C$2:$C$4852),4^8),ROW(C2254)))&amp;""</f>
        <v>#N/A</v>
      </c>
    </row>
    <row r="2255" ht="14.100000000000001" customHeight="1">
      <c r="B2255" s="20" t="s">
        <v>4657</v>
      </c>
      <c r="C2255" s="20" t="s">
        <v>4658</v>
      </c>
      <c r="D2255" s="20" t="s">
        <v>4657</v>
      </c>
      <c r="E2255" s="20" t="e">
        <f t="array" ref="E2255">INDEX(C:C,SMALL(IF(ISNUMBER(FIND(CELL("contents"),$C$2:$C$4852)),ROW($C$2:$C$4852),4^8),ROW(C2255)))&amp;""</f>
        <v>#N/A</v>
      </c>
    </row>
    <row r="2256" ht="14.100000000000001" customHeight="1">
      <c r="B2256" s="20" t="s">
        <v>4659</v>
      </c>
      <c r="C2256" s="20" t="s">
        <v>4660</v>
      </c>
      <c r="D2256" s="20" t="s">
        <v>4659</v>
      </c>
      <c r="E2256" s="20" t="e">
        <f t="array" ref="E2256">INDEX(C:C,SMALL(IF(ISNUMBER(FIND(CELL("contents"),$C$2:$C$4852)),ROW($C$2:$C$4852),4^8),ROW(C2256)))&amp;""</f>
        <v>#N/A</v>
      </c>
    </row>
    <row r="2257" ht="14.100000000000001" customHeight="1">
      <c r="B2257" s="20" t="s">
        <v>4661</v>
      </c>
      <c r="C2257" s="20" t="s">
        <v>4662</v>
      </c>
      <c r="D2257" s="20" t="s">
        <v>4661</v>
      </c>
      <c r="E2257" s="20" t="e">
        <f t="array" ref="E2257">INDEX(C:C,SMALL(IF(ISNUMBER(FIND(CELL("contents"),$C$2:$C$4852)),ROW($C$2:$C$4852),4^8),ROW(C2257)))&amp;""</f>
        <v>#N/A</v>
      </c>
    </row>
    <row r="2258" ht="14.100000000000001" customHeight="1">
      <c r="B2258" s="20" t="s">
        <v>4663</v>
      </c>
      <c r="C2258" s="20" t="s">
        <v>4664</v>
      </c>
      <c r="D2258" s="20" t="s">
        <v>4663</v>
      </c>
      <c r="E2258" s="20" t="e">
        <f t="array" ref="E2258">INDEX(C:C,SMALL(IF(ISNUMBER(FIND(CELL("contents"),$C$2:$C$4852)),ROW($C$2:$C$4852),4^8),ROW(C2258)))&amp;""</f>
        <v>#N/A</v>
      </c>
    </row>
    <row r="2259" ht="14.100000000000001" customHeight="1">
      <c r="B2259" s="20" t="s">
        <v>4665</v>
      </c>
      <c r="C2259" s="20" t="s">
        <v>4666</v>
      </c>
      <c r="D2259" s="20" t="s">
        <v>4665</v>
      </c>
      <c r="E2259" s="20" t="e">
        <f t="array" ref="E2259">INDEX(C:C,SMALL(IF(ISNUMBER(FIND(CELL("contents"),$C$2:$C$4852)),ROW($C$2:$C$4852),4^8),ROW(C2259)))&amp;""</f>
        <v>#N/A</v>
      </c>
    </row>
    <row r="2260" ht="14.100000000000001" customHeight="1">
      <c r="B2260" s="20" t="s">
        <v>4667</v>
      </c>
      <c r="C2260" s="20" t="s">
        <v>4668</v>
      </c>
      <c r="D2260" s="20" t="s">
        <v>4667</v>
      </c>
      <c r="E2260" s="20" t="e">
        <f t="array" ref="E2260">INDEX(C:C,SMALL(IF(ISNUMBER(FIND(CELL("contents"),$C$2:$C$4852)),ROW($C$2:$C$4852),4^8),ROW(C2260)))&amp;""</f>
        <v>#N/A</v>
      </c>
    </row>
    <row r="2261" ht="14.100000000000001" customHeight="1">
      <c r="B2261" s="20" t="s">
        <v>4669</v>
      </c>
      <c r="C2261" s="20" t="s">
        <v>4670</v>
      </c>
      <c r="D2261" s="20" t="s">
        <v>4669</v>
      </c>
      <c r="E2261" s="20" t="e">
        <f t="array" ref="E2261">INDEX(C:C,SMALL(IF(ISNUMBER(FIND(CELL("contents"),$C$2:$C$4852)),ROW($C$2:$C$4852),4^8),ROW(C2261)))&amp;""</f>
        <v>#N/A</v>
      </c>
    </row>
    <row r="2262" ht="14.100000000000001" customHeight="1">
      <c r="B2262" s="20" t="s">
        <v>4671</v>
      </c>
      <c r="C2262" s="20" t="s">
        <v>4672</v>
      </c>
      <c r="D2262" s="20" t="s">
        <v>4671</v>
      </c>
      <c r="E2262" s="20" t="e">
        <f t="array" ref="E2262">INDEX(C:C,SMALL(IF(ISNUMBER(FIND(CELL("contents"),$C$2:$C$4852)),ROW($C$2:$C$4852),4^8),ROW(C2262)))&amp;""</f>
        <v>#N/A</v>
      </c>
    </row>
    <row r="2263" ht="14.100000000000001" customHeight="1">
      <c r="B2263" s="20" t="s">
        <v>4673</v>
      </c>
      <c r="C2263" s="20" t="s">
        <v>4674</v>
      </c>
      <c r="D2263" s="20" t="s">
        <v>4673</v>
      </c>
      <c r="E2263" s="20" t="e">
        <f t="array" ref="E2263">INDEX(C:C,SMALL(IF(ISNUMBER(FIND(CELL("contents"),$C$2:$C$4852)),ROW($C$2:$C$4852),4^8),ROW(C2263)))&amp;""</f>
        <v>#N/A</v>
      </c>
    </row>
    <row r="2264" ht="14.100000000000001" customHeight="1">
      <c r="B2264" s="20" t="s">
        <v>4675</v>
      </c>
      <c r="C2264" s="20" t="s">
        <v>4676</v>
      </c>
      <c r="D2264" s="20" t="s">
        <v>4675</v>
      </c>
      <c r="E2264" s="20" t="e">
        <f t="array" ref="E2264">INDEX(C:C,SMALL(IF(ISNUMBER(FIND(CELL("contents"),$C$2:$C$4852)),ROW($C$2:$C$4852),4^8),ROW(C2264)))&amp;""</f>
        <v>#N/A</v>
      </c>
    </row>
    <row r="2265" ht="14.100000000000001" customHeight="1">
      <c r="B2265" s="20" t="s">
        <v>4677</v>
      </c>
      <c r="C2265" s="20" t="s">
        <v>4678</v>
      </c>
      <c r="D2265" s="20" t="s">
        <v>4677</v>
      </c>
      <c r="E2265" s="20" t="e">
        <f t="array" ref="E2265">INDEX(C:C,SMALL(IF(ISNUMBER(FIND(CELL("contents"),$C$2:$C$4852)),ROW($C$2:$C$4852),4^8),ROW(C2265)))&amp;""</f>
        <v>#N/A</v>
      </c>
    </row>
    <row r="2266" ht="14.100000000000001" customHeight="1">
      <c r="B2266" s="20" t="s">
        <v>4679</v>
      </c>
      <c r="C2266" s="20" t="s">
        <v>4680</v>
      </c>
      <c r="D2266" s="20" t="s">
        <v>4679</v>
      </c>
      <c r="E2266" s="20" t="e">
        <f t="array" ref="E2266">INDEX(C:C,SMALL(IF(ISNUMBER(FIND(CELL("contents"),$C$2:$C$4852)),ROW($C$2:$C$4852),4^8),ROW(C2266)))&amp;""</f>
        <v>#N/A</v>
      </c>
    </row>
    <row r="2267" ht="14.100000000000001" customHeight="1">
      <c r="B2267" s="20" t="s">
        <v>4681</v>
      </c>
      <c r="C2267" s="20" t="s">
        <v>4682</v>
      </c>
      <c r="D2267" s="20" t="s">
        <v>4681</v>
      </c>
      <c r="E2267" s="20" t="e">
        <f t="array" ref="E2267">INDEX(C:C,SMALL(IF(ISNUMBER(FIND(CELL("contents"),$C$2:$C$4852)),ROW($C$2:$C$4852),4^8),ROW(C2267)))&amp;""</f>
        <v>#N/A</v>
      </c>
    </row>
    <row r="2268" ht="14.100000000000001" customHeight="1">
      <c r="B2268" s="20" t="s">
        <v>4683</v>
      </c>
      <c r="C2268" s="20" t="s">
        <v>4684</v>
      </c>
      <c r="D2268" s="20" t="s">
        <v>4683</v>
      </c>
      <c r="E2268" s="20" t="e">
        <f t="array" ref="E2268">INDEX(C:C,SMALL(IF(ISNUMBER(FIND(CELL("contents"),$C$2:$C$4852)),ROW($C$2:$C$4852),4^8),ROW(C2268)))&amp;""</f>
        <v>#N/A</v>
      </c>
    </row>
    <row r="2269" ht="14.100000000000001" customHeight="1">
      <c r="B2269" s="20" t="s">
        <v>4685</v>
      </c>
      <c r="C2269" s="20" t="s">
        <v>4686</v>
      </c>
      <c r="D2269" s="20" t="s">
        <v>4685</v>
      </c>
      <c r="E2269" s="20" t="e">
        <f t="array" ref="E2269">INDEX(C:C,SMALL(IF(ISNUMBER(FIND(CELL("contents"),$C$2:$C$4852)),ROW($C$2:$C$4852),4^8),ROW(C2269)))&amp;""</f>
        <v>#N/A</v>
      </c>
    </row>
    <row r="2270" ht="14.100000000000001" customHeight="1">
      <c r="B2270" s="20" t="s">
        <v>4687</v>
      </c>
      <c r="C2270" s="20" t="s">
        <v>4688</v>
      </c>
      <c r="D2270" s="20" t="s">
        <v>4687</v>
      </c>
      <c r="E2270" s="20" t="e">
        <f t="array" ref="E2270">INDEX(C:C,SMALL(IF(ISNUMBER(FIND(CELL("contents"),$C$2:$C$4852)),ROW($C$2:$C$4852),4^8),ROW(C2270)))&amp;""</f>
        <v>#N/A</v>
      </c>
    </row>
    <row r="2271" ht="14.100000000000001" customHeight="1">
      <c r="B2271" s="20" t="s">
        <v>4689</v>
      </c>
      <c r="C2271" s="20" t="s">
        <v>4690</v>
      </c>
      <c r="D2271" s="20" t="s">
        <v>4689</v>
      </c>
      <c r="E2271" s="20" t="e">
        <f t="array" ref="E2271">INDEX(C:C,SMALL(IF(ISNUMBER(FIND(CELL("contents"),$C$2:$C$4852)),ROW($C$2:$C$4852),4^8),ROW(C2271)))&amp;""</f>
        <v>#N/A</v>
      </c>
    </row>
    <row r="2272" ht="14.100000000000001" customHeight="1">
      <c r="B2272" s="20" t="s">
        <v>4691</v>
      </c>
      <c r="C2272" s="20" t="s">
        <v>4692</v>
      </c>
      <c r="D2272" s="20" t="s">
        <v>4691</v>
      </c>
      <c r="E2272" s="20" t="e">
        <f t="array" ref="E2272">INDEX(C:C,SMALL(IF(ISNUMBER(FIND(CELL("contents"),$C$2:$C$4852)),ROW($C$2:$C$4852),4^8),ROW(C2272)))&amp;""</f>
        <v>#N/A</v>
      </c>
    </row>
    <row r="2273" ht="14.100000000000001" customHeight="1">
      <c r="B2273" s="20" t="s">
        <v>4693</v>
      </c>
      <c r="C2273" s="20" t="s">
        <v>4694</v>
      </c>
      <c r="D2273" s="20" t="s">
        <v>4693</v>
      </c>
      <c r="E2273" s="20" t="e">
        <f t="array" ref="E2273">INDEX(C:C,SMALL(IF(ISNUMBER(FIND(CELL("contents"),$C$2:$C$4852)),ROW($C$2:$C$4852),4^8),ROW(C2273)))&amp;""</f>
        <v>#N/A</v>
      </c>
    </row>
    <row r="2274" ht="14.100000000000001" customHeight="1">
      <c r="B2274" s="20" t="s">
        <v>4695</v>
      </c>
      <c r="C2274" s="20" t="s">
        <v>4696</v>
      </c>
      <c r="D2274" s="20" t="s">
        <v>4695</v>
      </c>
      <c r="E2274" s="20" t="e">
        <f t="array" ref="E2274">INDEX(C:C,SMALL(IF(ISNUMBER(FIND(CELL("contents"),$C$2:$C$4852)),ROW($C$2:$C$4852),4^8),ROW(C2274)))&amp;""</f>
        <v>#N/A</v>
      </c>
    </row>
    <row r="2275" ht="14.100000000000001" customHeight="1">
      <c r="B2275" s="20" t="s">
        <v>4697</v>
      </c>
      <c r="C2275" s="20" t="s">
        <v>4698</v>
      </c>
      <c r="D2275" s="20" t="s">
        <v>4697</v>
      </c>
      <c r="E2275" s="20" t="e">
        <f t="array" ref="E2275">INDEX(C:C,SMALL(IF(ISNUMBER(FIND(CELL("contents"),$C$2:$C$4852)),ROW($C$2:$C$4852),4^8),ROW(C2275)))&amp;""</f>
        <v>#N/A</v>
      </c>
    </row>
    <row r="2276" ht="14.100000000000001" customHeight="1">
      <c r="B2276" s="20" t="s">
        <v>4699</v>
      </c>
      <c r="C2276" s="20" t="s">
        <v>4700</v>
      </c>
      <c r="D2276" s="20" t="s">
        <v>4699</v>
      </c>
      <c r="E2276" s="20" t="e">
        <f t="array" ref="E2276">INDEX(C:C,SMALL(IF(ISNUMBER(FIND(CELL("contents"),$C$2:$C$4852)),ROW($C$2:$C$4852),4^8),ROW(C2276)))&amp;""</f>
        <v>#N/A</v>
      </c>
    </row>
    <row r="2277" ht="14.100000000000001" customHeight="1">
      <c r="B2277" s="20" t="s">
        <v>4701</v>
      </c>
      <c r="C2277" s="20" t="s">
        <v>4702</v>
      </c>
      <c r="D2277" s="20" t="s">
        <v>4701</v>
      </c>
      <c r="E2277" s="20" t="e">
        <f t="array" ref="E2277">INDEX(C:C,SMALL(IF(ISNUMBER(FIND(CELL("contents"),$C$2:$C$4852)),ROW($C$2:$C$4852),4^8),ROW(C2277)))&amp;""</f>
        <v>#N/A</v>
      </c>
    </row>
    <row r="2278" ht="14.100000000000001" customHeight="1">
      <c r="B2278" s="20" t="s">
        <v>4703</v>
      </c>
      <c r="C2278" s="20" t="s">
        <v>4704</v>
      </c>
      <c r="D2278" s="20" t="s">
        <v>4703</v>
      </c>
      <c r="E2278" s="20" t="e">
        <f t="array" ref="E2278">INDEX(C:C,SMALL(IF(ISNUMBER(FIND(CELL("contents"),$C$2:$C$4852)),ROW($C$2:$C$4852),4^8),ROW(C2278)))&amp;""</f>
        <v>#N/A</v>
      </c>
    </row>
    <row r="2279" ht="14.100000000000001" customHeight="1">
      <c r="B2279" s="20" t="s">
        <v>4705</v>
      </c>
      <c r="C2279" s="20" t="s">
        <v>4706</v>
      </c>
      <c r="D2279" s="20" t="s">
        <v>4705</v>
      </c>
      <c r="E2279" s="20" t="e">
        <f t="array" ref="E2279">INDEX(C:C,SMALL(IF(ISNUMBER(FIND(CELL("contents"),$C$2:$C$4852)),ROW($C$2:$C$4852),4^8),ROW(C2279)))&amp;""</f>
        <v>#N/A</v>
      </c>
    </row>
    <row r="2280" ht="14.100000000000001" customHeight="1">
      <c r="B2280" s="20" t="s">
        <v>4707</v>
      </c>
      <c r="C2280" s="20" t="s">
        <v>4708</v>
      </c>
      <c r="D2280" s="20" t="s">
        <v>4707</v>
      </c>
      <c r="E2280" s="20" t="e">
        <f t="array" ref="E2280">INDEX(C:C,SMALL(IF(ISNUMBER(FIND(CELL("contents"),$C$2:$C$4852)),ROW($C$2:$C$4852),4^8),ROW(C2280)))&amp;""</f>
        <v>#N/A</v>
      </c>
    </row>
    <row r="2281" ht="14.100000000000001" customHeight="1">
      <c r="B2281" s="20" t="s">
        <v>4709</v>
      </c>
      <c r="C2281" s="20" t="s">
        <v>4710</v>
      </c>
      <c r="D2281" s="20" t="s">
        <v>4709</v>
      </c>
      <c r="E2281" s="20" t="e">
        <f t="array" ref="E2281">INDEX(C:C,SMALL(IF(ISNUMBER(FIND(CELL("contents"),$C$2:$C$4852)),ROW($C$2:$C$4852),4^8),ROW(C2281)))&amp;""</f>
        <v>#N/A</v>
      </c>
    </row>
    <row r="2282" ht="14.100000000000001" customHeight="1">
      <c r="B2282" s="20" t="s">
        <v>4711</v>
      </c>
      <c r="C2282" s="20" t="s">
        <v>4712</v>
      </c>
      <c r="D2282" s="20" t="s">
        <v>4711</v>
      </c>
      <c r="E2282" s="20" t="e">
        <f t="array" ref="E2282">INDEX(C:C,SMALL(IF(ISNUMBER(FIND(CELL("contents"),$C$2:$C$4852)),ROW($C$2:$C$4852),4^8),ROW(C2282)))&amp;""</f>
        <v>#N/A</v>
      </c>
    </row>
    <row r="2283" ht="14.100000000000001" customHeight="1">
      <c r="B2283" s="20" t="s">
        <v>4713</v>
      </c>
      <c r="C2283" s="20" t="s">
        <v>4714</v>
      </c>
      <c r="D2283" s="20" t="s">
        <v>4713</v>
      </c>
      <c r="E2283" s="20" t="e">
        <f t="array" ref="E2283">INDEX(C:C,SMALL(IF(ISNUMBER(FIND(CELL("contents"),$C$2:$C$4852)),ROW($C$2:$C$4852),4^8),ROW(C2283)))&amp;""</f>
        <v>#N/A</v>
      </c>
    </row>
    <row r="2284" ht="14.100000000000001" customHeight="1">
      <c r="B2284" s="20" t="s">
        <v>4715</v>
      </c>
      <c r="C2284" s="20" t="s">
        <v>4716</v>
      </c>
      <c r="D2284" s="20" t="s">
        <v>4715</v>
      </c>
      <c r="E2284" s="20" t="e">
        <f t="array" ref="E2284">INDEX(C:C,SMALL(IF(ISNUMBER(FIND(CELL("contents"),$C$2:$C$4852)),ROW($C$2:$C$4852),4^8),ROW(C2284)))&amp;""</f>
        <v>#N/A</v>
      </c>
    </row>
    <row r="2285" ht="14.100000000000001" customHeight="1">
      <c r="B2285" s="20" t="s">
        <v>4717</v>
      </c>
      <c r="C2285" s="20" t="s">
        <v>4718</v>
      </c>
      <c r="D2285" s="20" t="s">
        <v>4717</v>
      </c>
      <c r="E2285" s="20" t="e">
        <f t="array" ref="E2285">INDEX(C:C,SMALL(IF(ISNUMBER(FIND(CELL("contents"),$C$2:$C$4852)),ROW($C$2:$C$4852),4^8),ROW(C2285)))&amp;""</f>
        <v>#N/A</v>
      </c>
    </row>
    <row r="2286" ht="14.100000000000001" customHeight="1">
      <c r="B2286" s="20" t="s">
        <v>4719</v>
      </c>
      <c r="C2286" s="20" t="s">
        <v>4720</v>
      </c>
      <c r="D2286" s="20" t="s">
        <v>4719</v>
      </c>
      <c r="E2286" s="20" t="e">
        <f t="array" ref="E2286">INDEX(C:C,SMALL(IF(ISNUMBER(FIND(CELL("contents"),$C$2:$C$4852)),ROW($C$2:$C$4852),4^8),ROW(C2286)))&amp;""</f>
        <v>#N/A</v>
      </c>
    </row>
    <row r="2287" ht="14.100000000000001" customHeight="1">
      <c r="B2287" s="20" t="s">
        <v>4721</v>
      </c>
      <c r="C2287" s="20" t="s">
        <v>4722</v>
      </c>
      <c r="D2287" s="20" t="s">
        <v>4721</v>
      </c>
      <c r="E2287" s="20" t="e">
        <f t="array" ref="E2287">INDEX(C:C,SMALL(IF(ISNUMBER(FIND(CELL("contents"),$C$2:$C$4852)),ROW($C$2:$C$4852),4^8),ROW(C2287)))&amp;""</f>
        <v>#N/A</v>
      </c>
    </row>
    <row r="2288" ht="14.100000000000001" customHeight="1">
      <c r="B2288" s="20" t="s">
        <v>4723</v>
      </c>
      <c r="C2288" s="20" t="s">
        <v>4724</v>
      </c>
      <c r="D2288" s="20" t="s">
        <v>4723</v>
      </c>
      <c r="E2288" s="20" t="e">
        <f t="array" ref="E2288">INDEX(C:C,SMALL(IF(ISNUMBER(FIND(CELL("contents"),$C$2:$C$4852)),ROW($C$2:$C$4852),4^8),ROW(C2288)))&amp;""</f>
        <v>#N/A</v>
      </c>
    </row>
    <row r="2289" ht="14.100000000000001" customHeight="1">
      <c r="B2289" s="20" t="s">
        <v>4725</v>
      </c>
      <c r="C2289" s="20" t="s">
        <v>4726</v>
      </c>
      <c r="D2289" s="20" t="s">
        <v>4725</v>
      </c>
      <c r="E2289" s="20" t="e">
        <f t="array" ref="E2289">INDEX(C:C,SMALL(IF(ISNUMBER(FIND(CELL("contents"),$C$2:$C$4852)),ROW($C$2:$C$4852),4^8),ROW(C2289)))&amp;""</f>
        <v>#N/A</v>
      </c>
    </row>
    <row r="2290" ht="14.100000000000001" customHeight="1">
      <c r="B2290" s="20" t="s">
        <v>4727</v>
      </c>
      <c r="C2290" s="20" t="s">
        <v>4728</v>
      </c>
      <c r="D2290" s="20" t="s">
        <v>4727</v>
      </c>
      <c r="E2290" s="20" t="e">
        <f t="array" ref="E2290">INDEX(C:C,SMALL(IF(ISNUMBER(FIND(CELL("contents"),$C$2:$C$4852)),ROW($C$2:$C$4852),4^8),ROW(C2290)))&amp;""</f>
        <v>#N/A</v>
      </c>
    </row>
    <row r="2291" ht="14.100000000000001" customHeight="1">
      <c r="B2291" s="20" t="s">
        <v>4729</v>
      </c>
      <c r="C2291" s="20" t="s">
        <v>4730</v>
      </c>
      <c r="D2291" s="20" t="s">
        <v>4729</v>
      </c>
      <c r="E2291" s="20" t="e">
        <f t="array" ref="E2291">INDEX(C:C,SMALL(IF(ISNUMBER(FIND(CELL("contents"),$C$2:$C$4852)),ROW($C$2:$C$4852),4^8),ROW(C2291)))&amp;""</f>
        <v>#N/A</v>
      </c>
    </row>
    <row r="2292" ht="14.100000000000001" customHeight="1">
      <c r="B2292" s="20" t="s">
        <v>4731</v>
      </c>
      <c r="C2292" s="20" t="s">
        <v>4732</v>
      </c>
      <c r="D2292" s="20" t="s">
        <v>4731</v>
      </c>
      <c r="E2292" s="20" t="e">
        <f t="array" ref="E2292">INDEX(C:C,SMALL(IF(ISNUMBER(FIND(CELL("contents"),$C$2:$C$4852)),ROW($C$2:$C$4852),4^8),ROW(C2292)))&amp;""</f>
        <v>#N/A</v>
      </c>
    </row>
    <row r="2293" ht="14.100000000000001" customHeight="1">
      <c r="B2293" s="20" t="s">
        <v>4733</v>
      </c>
      <c r="C2293" s="20" t="s">
        <v>4734</v>
      </c>
      <c r="D2293" s="20" t="s">
        <v>4733</v>
      </c>
      <c r="E2293" s="20" t="e">
        <f t="array" ref="E2293">INDEX(C:C,SMALL(IF(ISNUMBER(FIND(CELL("contents"),$C$2:$C$4852)),ROW($C$2:$C$4852),4^8),ROW(C2293)))&amp;""</f>
        <v>#N/A</v>
      </c>
    </row>
    <row r="2294" ht="14.100000000000001" customHeight="1">
      <c r="B2294" s="20" t="s">
        <v>4735</v>
      </c>
      <c r="C2294" s="20" t="s">
        <v>4736</v>
      </c>
      <c r="D2294" s="20" t="s">
        <v>4735</v>
      </c>
      <c r="E2294" s="20" t="e">
        <f t="array" ref="E2294">INDEX(C:C,SMALL(IF(ISNUMBER(FIND(CELL("contents"),$C$2:$C$4852)),ROW($C$2:$C$4852),4^8),ROW(C2294)))&amp;""</f>
        <v>#N/A</v>
      </c>
    </row>
    <row r="2295" ht="14.100000000000001" customHeight="1">
      <c r="B2295" s="20" t="s">
        <v>4737</v>
      </c>
      <c r="C2295" s="20" t="s">
        <v>4738</v>
      </c>
      <c r="D2295" s="20" t="s">
        <v>4737</v>
      </c>
      <c r="E2295" s="20" t="e">
        <f t="array" ref="E2295">INDEX(C:C,SMALL(IF(ISNUMBER(FIND(CELL("contents"),$C$2:$C$4852)),ROW($C$2:$C$4852),4^8),ROW(C2295)))&amp;""</f>
        <v>#N/A</v>
      </c>
    </row>
    <row r="2296" ht="14.100000000000001" customHeight="1">
      <c r="B2296" s="20" t="s">
        <v>4739</v>
      </c>
      <c r="C2296" s="20" t="s">
        <v>4740</v>
      </c>
      <c r="D2296" s="20" t="s">
        <v>4739</v>
      </c>
      <c r="E2296" s="20" t="e">
        <f t="array" ref="E2296">INDEX(C:C,SMALL(IF(ISNUMBER(FIND(CELL("contents"),$C$2:$C$4852)),ROW($C$2:$C$4852),4^8),ROW(C2296)))&amp;""</f>
        <v>#N/A</v>
      </c>
    </row>
    <row r="2297" ht="14.100000000000001" customHeight="1">
      <c r="B2297" s="20" t="s">
        <v>4741</v>
      </c>
      <c r="C2297" s="20" t="s">
        <v>4742</v>
      </c>
      <c r="D2297" s="20" t="s">
        <v>4741</v>
      </c>
      <c r="E2297" s="20" t="e">
        <f t="array" ref="E2297">INDEX(C:C,SMALL(IF(ISNUMBER(FIND(CELL("contents"),$C$2:$C$4852)),ROW($C$2:$C$4852),4^8),ROW(C2297)))&amp;""</f>
        <v>#N/A</v>
      </c>
    </row>
    <row r="2298" ht="14.100000000000001" customHeight="1">
      <c r="B2298" s="20" t="s">
        <v>4743</v>
      </c>
      <c r="C2298" s="20" t="s">
        <v>4744</v>
      </c>
      <c r="D2298" s="20" t="s">
        <v>4743</v>
      </c>
      <c r="E2298" s="20" t="e">
        <f t="array" ref="E2298">INDEX(C:C,SMALL(IF(ISNUMBER(FIND(CELL("contents"),$C$2:$C$4852)),ROW($C$2:$C$4852),4^8),ROW(C2298)))&amp;""</f>
        <v>#N/A</v>
      </c>
    </row>
    <row r="2299" ht="14.100000000000001" customHeight="1">
      <c r="B2299" s="20" t="s">
        <v>4745</v>
      </c>
      <c r="C2299" s="20" t="s">
        <v>4746</v>
      </c>
      <c r="D2299" s="20" t="s">
        <v>4745</v>
      </c>
      <c r="E2299" s="20" t="e">
        <f t="array" ref="E2299">INDEX(C:C,SMALL(IF(ISNUMBER(FIND(CELL("contents"),$C$2:$C$4852)),ROW($C$2:$C$4852),4^8),ROW(C2299)))&amp;""</f>
        <v>#N/A</v>
      </c>
    </row>
    <row r="2300" ht="14.100000000000001" customHeight="1">
      <c r="B2300" s="20" t="s">
        <v>4747</v>
      </c>
      <c r="C2300" s="20" t="s">
        <v>4748</v>
      </c>
      <c r="D2300" s="20" t="s">
        <v>4747</v>
      </c>
      <c r="E2300" s="20" t="e">
        <f t="array" ref="E2300">INDEX(C:C,SMALL(IF(ISNUMBER(FIND(CELL("contents"),$C$2:$C$4852)),ROW($C$2:$C$4852),4^8),ROW(C2300)))&amp;""</f>
        <v>#N/A</v>
      </c>
    </row>
    <row r="2301" ht="14.100000000000001" customHeight="1">
      <c r="B2301" s="20" t="s">
        <v>4749</v>
      </c>
      <c r="C2301" s="20" t="s">
        <v>4750</v>
      </c>
      <c r="D2301" s="20" t="s">
        <v>4749</v>
      </c>
      <c r="E2301" s="20" t="e">
        <f t="array" ref="E2301">INDEX(C:C,SMALL(IF(ISNUMBER(FIND(CELL("contents"),$C$2:$C$4852)),ROW($C$2:$C$4852),4^8),ROW(C2301)))&amp;""</f>
        <v>#N/A</v>
      </c>
    </row>
    <row r="2302" ht="14.100000000000001" customHeight="1">
      <c r="B2302" s="20" t="s">
        <v>4751</v>
      </c>
      <c r="C2302" s="20" t="s">
        <v>4752</v>
      </c>
      <c r="D2302" s="20" t="s">
        <v>4751</v>
      </c>
      <c r="E2302" s="20" t="e">
        <f t="array" ref="E2302">INDEX(C:C,SMALL(IF(ISNUMBER(FIND(CELL("contents"),$C$2:$C$4852)),ROW($C$2:$C$4852),4^8),ROW(C2302)))&amp;""</f>
        <v>#N/A</v>
      </c>
    </row>
    <row r="2303" ht="14.100000000000001" customHeight="1">
      <c r="B2303" s="20" t="s">
        <v>4753</v>
      </c>
      <c r="C2303" s="20" t="s">
        <v>4754</v>
      </c>
      <c r="D2303" s="20" t="s">
        <v>4753</v>
      </c>
      <c r="E2303" s="20" t="e">
        <f t="array" ref="E2303">INDEX(C:C,SMALL(IF(ISNUMBER(FIND(CELL("contents"),$C$2:$C$4852)),ROW($C$2:$C$4852),4^8),ROW(C2303)))&amp;""</f>
        <v>#N/A</v>
      </c>
    </row>
    <row r="2304" ht="14.100000000000001" customHeight="1">
      <c r="B2304" s="20" t="s">
        <v>4755</v>
      </c>
      <c r="C2304" s="20" t="s">
        <v>4756</v>
      </c>
      <c r="D2304" s="20" t="s">
        <v>4755</v>
      </c>
      <c r="E2304" s="20" t="e">
        <f t="array" ref="E2304">INDEX(C:C,SMALL(IF(ISNUMBER(FIND(CELL("contents"),$C$2:$C$4852)),ROW($C$2:$C$4852),4^8),ROW(C2304)))&amp;""</f>
        <v>#N/A</v>
      </c>
    </row>
    <row r="2305" ht="14.100000000000001" customHeight="1">
      <c r="B2305" s="20" t="s">
        <v>4757</v>
      </c>
      <c r="C2305" s="20" t="s">
        <v>4758</v>
      </c>
      <c r="D2305" s="20" t="s">
        <v>4757</v>
      </c>
      <c r="E2305" s="20" t="e">
        <f t="array" ref="E2305">INDEX(C:C,SMALL(IF(ISNUMBER(FIND(CELL("contents"),$C$2:$C$4852)),ROW($C$2:$C$4852),4^8),ROW(C2305)))&amp;""</f>
        <v>#N/A</v>
      </c>
    </row>
    <row r="2306" ht="14.100000000000001" customHeight="1">
      <c r="B2306" s="20" t="s">
        <v>4759</v>
      </c>
      <c r="C2306" s="20" t="s">
        <v>4760</v>
      </c>
      <c r="D2306" s="20" t="s">
        <v>4759</v>
      </c>
      <c r="E2306" s="20" t="e">
        <f t="array" ref="E2306">INDEX(C:C,SMALL(IF(ISNUMBER(FIND(CELL("contents"),$C$2:$C$4852)),ROW($C$2:$C$4852),4^8),ROW(C2306)))&amp;""</f>
        <v>#N/A</v>
      </c>
    </row>
    <row r="2307" ht="14.100000000000001" customHeight="1">
      <c r="B2307" s="20" t="s">
        <v>4761</v>
      </c>
      <c r="C2307" s="20" t="s">
        <v>4762</v>
      </c>
      <c r="D2307" s="20" t="s">
        <v>4761</v>
      </c>
      <c r="E2307" s="20" t="e">
        <f t="array" ref="E2307">INDEX(C:C,SMALL(IF(ISNUMBER(FIND(CELL("contents"),$C$2:$C$4852)),ROW($C$2:$C$4852),4^8),ROW(C2307)))&amp;""</f>
        <v>#N/A</v>
      </c>
    </row>
    <row r="2308" ht="14.100000000000001" customHeight="1">
      <c r="B2308" s="20" t="s">
        <v>4763</v>
      </c>
      <c r="C2308" s="20" t="s">
        <v>4764</v>
      </c>
      <c r="D2308" s="20" t="s">
        <v>4763</v>
      </c>
      <c r="E2308" s="20" t="e">
        <f t="array" ref="E2308">INDEX(C:C,SMALL(IF(ISNUMBER(FIND(CELL("contents"),$C$2:$C$4852)),ROW($C$2:$C$4852),4^8),ROW(C2308)))&amp;""</f>
        <v>#N/A</v>
      </c>
    </row>
    <row r="2309" ht="14.100000000000001" customHeight="1">
      <c r="B2309" s="20" t="s">
        <v>4765</v>
      </c>
      <c r="C2309" s="20" t="s">
        <v>4766</v>
      </c>
      <c r="D2309" s="20" t="s">
        <v>4765</v>
      </c>
      <c r="E2309" s="20" t="e">
        <f t="array" ref="E2309">INDEX(C:C,SMALL(IF(ISNUMBER(FIND(CELL("contents"),$C$2:$C$4852)),ROW($C$2:$C$4852),4^8),ROW(C2309)))&amp;""</f>
        <v>#N/A</v>
      </c>
    </row>
    <row r="2310" ht="14.100000000000001" customHeight="1">
      <c r="B2310" s="20" t="s">
        <v>4767</v>
      </c>
      <c r="C2310" s="20" t="s">
        <v>4768</v>
      </c>
      <c r="D2310" s="20" t="s">
        <v>4767</v>
      </c>
      <c r="E2310" s="20" t="e">
        <f t="array" ref="E2310">INDEX(C:C,SMALL(IF(ISNUMBER(FIND(CELL("contents"),$C$2:$C$4852)),ROW($C$2:$C$4852),4^8),ROW(C2310)))&amp;""</f>
        <v>#N/A</v>
      </c>
    </row>
    <row r="2311" ht="14.100000000000001" customHeight="1">
      <c r="B2311" s="20" t="s">
        <v>4769</v>
      </c>
      <c r="C2311" s="20" t="s">
        <v>4770</v>
      </c>
      <c r="D2311" s="20" t="s">
        <v>4769</v>
      </c>
      <c r="E2311" s="20" t="e">
        <f t="array" ref="E2311">INDEX(C:C,SMALL(IF(ISNUMBER(FIND(CELL("contents"),$C$2:$C$4852)),ROW($C$2:$C$4852),4^8),ROW(C2311)))&amp;""</f>
        <v>#N/A</v>
      </c>
    </row>
    <row r="2312" ht="14.100000000000001" customHeight="1">
      <c r="B2312" s="20" t="s">
        <v>4771</v>
      </c>
      <c r="C2312" s="20" t="s">
        <v>4772</v>
      </c>
      <c r="D2312" s="20" t="s">
        <v>4771</v>
      </c>
      <c r="E2312" s="20" t="e">
        <f t="array" ref="E2312">INDEX(C:C,SMALL(IF(ISNUMBER(FIND(CELL("contents"),$C$2:$C$4852)),ROW($C$2:$C$4852),4^8),ROW(C2312)))&amp;""</f>
        <v>#N/A</v>
      </c>
    </row>
    <row r="2313" ht="14.100000000000001" customHeight="1">
      <c r="B2313" s="20" t="s">
        <v>4773</v>
      </c>
      <c r="C2313" s="20" t="s">
        <v>4774</v>
      </c>
      <c r="D2313" s="20" t="s">
        <v>4773</v>
      </c>
      <c r="E2313" s="20" t="e">
        <f t="array" ref="E2313">INDEX(C:C,SMALL(IF(ISNUMBER(FIND(CELL("contents"),$C$2:$C$4852)),ROW($C$2:$C$4852),4^8),ROW(C2313)))&amp;""</f>
        <v>#N/A</v>
      </c>
    </row>
    <row r="2314" ht="14.100000000000001" customHeight="1">
      <c r="B2314" s="20" t="s">
        <v>4775</v>
      </c>
      <c r="C2314" s="20" t="s">
        <v>4776</v>
      </c>
      <c r="D2314" s="20" t="s">
        <v>4775</v>
      </c>
      <c r="E2314" s="20" t="e">
        <f t="array" ref="E2314">INDEX(C:C,SMALL(IF(ISNUMBER(FIND(CELL("contents"),$C$2:$C$4852)),ROW($C$2:$C$4852),4^8),ROW(C2314)))&amp;""</f>
        <v>#N/A</v>
      </c>
    </row>
    <row r="2315" ht="14.100000000000001" customHeight="1">
      <c r="B2315" s="20" t="s">
        <v>4777</v>
      </c>
      <c r="C2315" s="20" t="s">
        <v>4778</v>
      </c>
      <c r="D2315" s="20" t="s">
        <v>4777</v>
      </c>
      <c r="E2315" s="20" t="e">
        <f t="array" ref="E2315">INDEX(C:C,SMALL(IF(ISNUMBER(FIND(CELL("contents"),$C$2:$C$4852)),ROW($C$2:$C$4852),4^8),ROW(C2315)))&amp;""</f>
        <v>#N/A</v>
      </c>
    </row>
    <row r="2316" ht="14.100000000000001" customHeight="1">
      <c r="B2316" s="20" t="s">
        <v>4779</v>
      </c>
      <c r="C2316" s="20" t="s">
        <v>4780</v>
      </c>
      <c r="D2316" s="20" t="s">
        <v>4779</v>
      </c>
      <c r="E2316" s="20" t="e">
        <f t="array" ref="E2316">INDEX(C:C,SMALL(IF(ISNUMBER(FIND(CELL("contents"),$C$2:$C$4852)),ROW($C$2:$C$4852),4^8),ROW(C2316)))&amp;""</f>
        <v>#N/A</v>
      </c>
    </row>
    <row r="2317" ht="14.100000000000001" customHeight="1">
      <c r="B2317" s="20" t="s">
        <v>4781</v>
      </c>
      <c r="C2317" s="20" t="s">
        <v>4782</v>
      </c>
      <c r="D2317" s="20" t="s">
        <v>4781</v>
      </c>
      <c r="E2317" s="20" t="e">
        <f t="array" ref="E2317">INDEX(C:C,SMALL(IF(ISNUMBER(FIND(CELL("contents"),$C$2:$C$4852)),ROW($C$2:$C$4852),4^8),ROW(C2317)))&amp;""</f>
        <v>#N/A</v>
      </c>
    </row>
    <row r="2318" ht="14.100000000000001" customHeight="1">
      <c r="B2318" s="20" t="s">
        <v>4783</v>
      </c>
      <c r="C2318" s="20" t="s">
        <v>4784</v>
      </c>
      <c r="D2318" s="20" t="s">
        <v>4783</v>
      </c>
      <c r="E2318" s="20" t="e">
        <f t="array" ref="E2318">INDEX(C:C,SMALL(IF(ISNUMBER(FIND(CELL("contents"),$C$2:$C$4852)),ROW($C$2:$C$4852),4^8),ROW(C2318)))&amp;""</f>
        <v>#N/A</v>
      </c>
    </row>
    <row r="2319" ht="14.100000000000001" customHeight="1">
      <c r="B2319" s="20" t="s">
        <v>4785</v>
      </c>
      <c r="C2319" s="20" t="s">
        <v>4786</v>
      </c>
      <c r="D2319" s="20" t="s">
        <v>4785</v>
      </c>
      <c r="E2319" s="20" t="e">
        <f t="array" ref="E2319">INDEX(C:C,SMALL(IF(ISNUMBER(FIND(CELL("contents"),$C$2:$C$4852)),ROW($C$2:$C$4852),4^8),ROW(C2319)))&amp;""</f>
        <v>#N/A</v>
      </c>
    </row>
    <row r="2320" ht="14.100000000000001" customHeight="1">
      <c r="B2320" s="20" t="s">
        <v>4787</v>
      </c>
      <c r="C2320" s="20" t="s">
        <v>4788</v>
      </c>
      <c r="D2320" s="20" t="s">
        <v>4787</v>
      </c>
      <c r="E2320" s="20" t="e">
        <f t="array" ref="E2320">INDEX(C:C,SMALL(IF(ISNUMBER(FIND(CELL("contents"),$C$2:$C$4852)),ROW($C$2:$C$4852),4^8),ROW(C2320)))&amp;""</f>
        <v>#N/A</v>
      </c>
    </row>
    <row r="2321" ht="14.100000000000001" customHeight="1">
      <c r="B2321" s="20" t="s">
        <v>4789</v>
      </c>
      <c r="C2321" s="20" t="s">
        <v>4790</v>
      </c>
      <c r="D2321" s="20" t="s">
        <v>4789</v>
      </c>
      <c r="E2321" s="20" t="e">
        <f t="array" ref="E2321">INDEX(C:C,SMALL(IF(ISNUMBER(FIND(CELL("contents"),$C$2:$C$4852)),ROW($C$2:$C$4852),4^8),ROW(C2321)))&amp;""</f>
        <v>#N/A</v>
      </c>
    </row>
    <row r="2322" ht="14.100000000000001" customHeight="1">
      <c r="B2322" s="20" t="s">
        <v>4791</v>
      </c>
      <c r="C2322" s="20" t="s">
        <v>4792</v>
      </c>
      <c r="D2322" s="20" t="s">
        <v>4791</v>
      </c>
      <c r="E2322" s="20" t="e">
        <f t="array" ref="E2322">INDEX(C:C,SMALL(IF(ISNUMBER(FIND(CELL("contents"),$C$2:$C$4852)),ROW($C$2:$C$4852),4^8),ROW(C2322)))&amp;""</f>
        <v>#N/A</v>
      </c>
    </row>
    <row r="2323" ht="14.100000000000001" customHeight="1">
      <c r="B2323" s="20" t="s">
        <v>4793</v>
      </c>
      <c r="C2323" s="20" t="s">
        <v>4794</v>
      </c>
      <c r="D2323" s="20" t="s">
        <v>4793</v>
      </c>
      <c r="E2323" s="20" t="e">
        <f t="array" ref="E2323">INDEX(C:C,SMALL(IF(ISNUMBER(FIND(CELL("contents"),$C$2:$C$4852)),ROW($C$2:$C$4852),4^8),ROW(C2323)))&amp;""</f>
        <v>#N/A</v>
      </c>
    </row>
    <row r="2324" ht="14.100000000000001" customHeight="1">
      <c r="B2324" s="20" t="s">
        <v>4795</v>
      </c>
      <c r="C2324" s="20" t="s">
        <v>4796</v>
      </c>
      <c r="D2324" s="20" t="s">
        <v>4795</v>
      </c>
      <c r="E2324" s="20" t="e">
        <f t="array" ref="E2324">INDEX(C:C,SMALL(IF(ISNUMBER(FIND(CELL("contents"),$C$2:$C$4852)),ROW($C$2:$C$4852),4^8),ROW(C2324)))&amp;""</f>
        <v>#N/A</v>
      </c>
    </row>
    <row r="2325" ht="14.100000000000001" customHeight="1">
      <c r="B2325" s="20" t="s">
        <v>4797</v>
      </c>
      <c r="C2325" s="20" t="s">
        <v>4798</v>
      </c>
      <c r="D2325" s="20" t="s">
        <v>4797</v>
      </c>
      <c r="E2325" s="20" t="e">
        <f t="array" ref="E2325">INDEX(C:C,SMALL(IF(ISNUMBER(FIND(CELL("contents"),$C$2:$C$4852)),ROW($C$2:$C$4852),4^8),ROW(C2325)))&amp;""</f>
        <v>#N/A</v>
      </c>
    </row>
    <row r="2326" ht="14.100000000000001" customHeight="1">
      <c r="B2326" s="20" t="s">
        <v>4799</v>
      </c>
      <c r="C2326" s="20" t="s">
        <v>4800</v>
      </c>
      <c r="D2326" s="20" t="s">
        <v>4799</v>
      </c>
      <c r="E2326" s="20" t="e">
        <f t="array" ref="E2326">INDEX(C:C,SMALL(IF(ISNUMBER(FIND(CELL("contents"),$C$2:$C$4852)),ROW($C$2:$C$4852),4^8),ROW(C2326)))&amp;""</f>
        <v>#N/A</v>
      </c>
    </row>
    <row r="2327" ht="14.100000000000001" customHeight="1">
      <c r="B2327" s="20" t="s">
        <v>4801</v>
      </c>
      <c r="C2327" s="20" t="s">
        <v>4802</v>
      </c>
      <c r="D2327" s="20" t="s">
        <v>4801</v>
      </c>
      <c r="E2327" s="20" t="e">
        <f t="array" ref="E2327">INDEX(C:C,SMALL(IF(ISNUMBER(FIND(CELL("contents"),$C$2:$C$4852)),ROW($C$2:$C$4852),4^8),ROW(C2327)))&amp;""</f>
        <v>#N/A</v>
      </c>
    </row>
    <row r="2328" ht="14.100000000000001" customHeight="1">
      <c r="B2328" s="20" t="s">
        <v>4803</v>
      </c>
      <c r="C2328" s="20" t="s">
        <v>4804</v>
      </c>
      <c r="D2328" s="20" t="s">
        <v>4803</v>
      </c>
      <c r="E2328" s="20" t="e">
        <f t="array" ref="E2328">INDEX(C:C,SMALL(IF(ISNUMBER(FIND(CELL("contents"),$C$2:$C$4852)),ROW($C$2:$C$4852),4^8),ROW(C2328)))&amp;""</f>
        <v>#N/A</v>
      </c>
    </row>
    <row r="2329" ht="14.100000000000001" customHeight="1">
      <c r="B2329" s="20" t="s">
        <v>4805</v>
      </c>
      <c r="C2329" s="20" t="s">
        <v>4806</v>
      </c>
      <c r="D2329" s="20" t="s">
        <v>4805</v>
      </c>
      <c r="E2329" s="20" t="e">
        <f t="array" ref="E2329">INDEX(C:C,SMALL(IF(ISNUMBER(FIND(CELL("contents"),$C$2:$C$4852)),ROW($C$2:$C$4852),4^8),ROW(C2329)))&amp;""</f>
        <v>#N/A</v>
      </c>
    </row>
    <row r="2330" ht="14.100000000000001" customHeight="1">
      <c r="B2330" s="20" t="s">
        <v>4807</v>
      </c>
      <c r="C2330" s="20" t="s">
        <v>4808</v>
      </c>
      <c r="D2330" s="20" t="s">
        <v>4807</v>
      </c>
      <c r="E2330" s="20" t="e">
        <f t="array" ref="E2330">INDEX(C:C,SMALL(IF(ISNUMBER(FIND(CELL("contents"),$C$2:$C$4852)),ROW($C$2:$C$4852),4^8),ROW(C2330)))&amp;""</f>
        <v>#N/A</v>
      </c>
    </row>
    <row r="2331" ht="14.100000000000001" customHeight="1">
      <c r="B2331" s="20" t="s">
        <v>4809</v>
      </c>
      <c r="C2331" s="20" t="s">
        <v>4810</v>
      </c>
      <c r="D2331" s="20" t="s">
        <v>4809</v>
      </c>
      <c r="E2331" s="20" t="e">
        <f t="array" ref="E2331">INDEX(C:C,SMALL(IF(ISNUMBER(FIND(CELL("contents"),$C$2:$C$4852)),ROW($C$2:$C$4852),4^8),ROW(C2331)))&amp;""</f>
        <v>#N/A</v>
      </c>
    </row>
    <row r="2332" ht="14.100000000000001" customHeight="1">
      <c r="B2332" s="20" t="s">
        <v>4811</v>
      </c>
      <c r="C2332" s="20" t="s">
        <v>4812</v>
      </c>
      <c r="D2332" s="20" t="s">
        <v>4811</v>
      </c>
      <c r="E2332" s="20" t="e">
        <f t="array" ref="E2332">INDEX(C:C,SMALL(IF(ISNUMBER(FIND(CELL("contents"),$C$2:$C$4852)),ROW($C$2:$C$4852),4^8),ROW(C2332)))&amp;""</f>
        <v>#N/A</v>
      </c>
    </row>
    <row r="2333" ht="14.100000000000001" customHeight="1">
      <c r="B2333" s="20" t="s">
        <v>4813</v>
      </c>
      <c r="C2333" s="20" t="s">
        <v>4814</v>
      </c>
      <c r="D2333" s="20" t="s">
        <v>4813</v>
      </c>
      <c r="E2333" s="20" t="e">
        <f t="array" ref="E2333">INDEX(C:C,SMALL(IF(ISNUMBER(FIND(CELL("contents"),$C$2:$C$4852)),ROW($C$2:$C$4852),4^8),ROW(C2333)))&amp;""</f>
        <v>#N/A</v>
      </c>
    </row>
    <row r="2334" ht="14.100000000000001" customHeight="1">
      <c r="B2334" s="20" t="s">
        <v>4815</v>
      </c>
      <c r="C2334" s="20" t="s">
        <v>4816</v>
      </c>
      <c r="D2334" s="20" t="s">
        <v>4815</v>
      </c>
      <c r="E2334" s="20" t="e">
        <f t="array" ref="E2334">INDEX(C:C,SMALL(IF(ISNUMBER(FIND(CELL("contents"),$C$2:$C$4852)),ROW($C$2:$C$4852),4^8),ROW(C2334)))&amp;""</f>
        <v>#N/A</v>
      </c>
    </row>
    <row r="2335" ht="14.100000000000001" customHeight="1">
      <c r="B2335" s="20" t="s">
        <v>4817</v>
      </c>
      <c r="C2335" s="20" t="s">
        <v>4818</v>
      </c>
      <c r="D2335" s="20" t="s">
        <v>4817</v>
      </c>
      <c r="E2335" s="20" t="e">
        <f t="array" ref="E2335">INDEX(C:C,SMALL(IF(ISNUMBER(FIND(CELL("contents"),$C$2:$C$4852)),ROW($C$2:$C$4852),4^8),ROW(C2335)))&amp;""</f>
        <v>#N/A</v>
      </c>
    </row>
    <row r="2336" ht="14.100000000000001" customHeight="1">
      <c r="B2336" s="20" t="s">
        <v>4819</v>
      </c>
      <c r="C2336" s="20" t="s">
        <v>4820</v>
      </c>
      <c r="D2336" s="20" t="s">
        <v>4819</v>
      </c>
      <c r="E2336" s="20" t="e">
        <f t="array" ref="E2336">INDEX(C:C,SMALL(IF(ISNUMBER(FIND(CELL("contents"),$C$2:$C$4852)),ROW($C$2:$C$4852),4^8),ROW(C2336)))&amp;""</f>
        <v>#N/A</v>
      </c>
    </row>
    <row r="2337" ht="14.100000000000001" customHeight="1">
      <c r="B2337" s="20" t="s">
        <v>4821</v>
      </c>
      <c r="C2337" s="20" t="s">
        <v>4822</v>
      </c>
      <c r="D2337" s="20" t="s">
        <v>4821</v>
      </c>
      <c r="E2337" s="20" t="e">
        <f t="array" ref="E2337">INDEX(C:C,SMALL(IF(ISNUMBER(FIND(CELL("contents"),$C$2:$C$4852)),ROW($C$2:$C$4852),4^8),ROW(C2337)))&amp;""</f>
        <v>#N/A</v>
      </c>
    </row>
    <row r="2338" ht="14.100000000000001" customHeight="1">
      <c r="B2338" s="20" t="s">
        <v>4823</v>
      </c>
      <c r="C2338" s="20" t="s">
        <v>4824</v>
      </c>
      <c r="D2338" s="20" t="s">
        <v>4823</v>
      </c>
      <c r="E2338" s="20" t="e">
        <f t="array" ref="E2338">INDEX(C:C,SMALL(IF(ISNUMBER(FIND(CELL("contents"),$C$2:$C$4852)),ROW($C$2:$C$4852),4^8),ROW(C2338)))&amp;""</f>
        <v>#N/A</v>
      </c>
    </row>
    <row r="2339" ht="14.100000000000001" customHeight="1">
      <c r="B2339" s="20" t="s">
        <v>4825</v>
      </c>
      <c r="C2339" s="20" t="s">
        <v>4826</v>
      </c>
      <c r="D2339" s="20" t="s">
        <v>4825</v>
      </c>
      <c r="E2339" s="20" t="e">
        <f t="array" ref="E2339">INDEX(C:C,SMALL(IF(ISNUMBER(FIND(CELL("contents"),$C$2:$C$4852)),ROW($C$2:$C$4852),4^8),ROW(C2339)))&amp;""</f>
        <v>#N/A</v>
      </c>
    </row>
    <row r="2340" ht="14.100000000000001" customHeight="1">
      <c r="B2340" s="20" t="s">
        <v>4827</v>
      </c>
      <c r="C2340" s="20" t="s">
        <v>4828</v>
      </c>
      <c r="D2340" s="20" t="s">
        <v>4827</v>
      </c>
      <c r="E2340" s="20" t="e">
        <f t="array" ref="E2340">INDEX(C:C,SMALL(IF(ISNUMBER(FIND(CELL("contents"),$C$2:$C$4852)),ROW($C$2:$C$4852),4^8),ROW(C2340)))&amp;""</f>
        <v>#N/A</v>
      </c>
    </row>
    <row r="2341" ht="14.100000000000001" customHeight="1">
      <c r="B2341" s="20" t="s">
        <v>4829</v>
      </c>
      <c r="C2341" s="20" t="s">
        <v>4830</v>
      </c>
      <c r="D2341" s="20" t="s">
        <v>4829</v>
      </c>
      <c r="E2341" s="20" t="e">
        <f t="array" ref="E2341">INDEX(C:C,SMALL(IF(ISNUMBER(FIND(CELL("contents"),$C$2:$C$4852)),ROW($C$2:$C$4852),4^8),ROW(C2341)))&amp;""</f>
        <v>#N/A</v>
      </c>
    </row>
    <row r="2342" ht="14.100000000000001" customHeight="1">
      <c r="B2342" s="20" t="s">
        <v>4831</v>
      </c>
      <c r="C2342" s="20" t="s">
        <v>4832</v>
      </c>
      <c r="D2342" s="20" t="s">
        <v>4831</v>
      </c>
      <c r="E2342" s="20" t="e">
        <f t="array" ref="E2342">INDEX(C:C,SMALL(IF(ISNUMBER(FIND(CELL("contents"),$C$2:$C$4852)),ROW($C$2:$C$4852),4^8),ROW(C2342)))&amp;""</f>
        <v>#N/A</v>
      </c>
    </row>
    <row r="2343" ht="14.100000000000001" customHeight="1">
      <c r="B2343" s="20" t="s">
        <v>4833</v>
      </c>
      <c r="C2343" s="20" t="s">
        <v>4834</v>
      </c>
      <c r="D2343" s="20" t="s">
        <v>4833</v>
      </c>
      <c r="E2343" s="20" t="e">
        <f t="array" ref="E2343">INDEX(C:C,SMALL(IF(ISNUMBER(FIND(CELL("contents"),$C$2:$C$4852)),ROW($C$2:$C$4852),4^8),ROW(C2343)))&amp;""</f>
        <v>#N/A</v>
      </c>
    </row>
    <row r="2344" ht="14.100000000000001" customHeight="1">
      <c r="B2344" s="20" t="s">
        <v>4835</v>
      </c>
      <c r="C2344" s="20" t="s">
        <v>4836</v>
      </c>
      <c r="D2344" s="20" t="s">
        <v>4835</v>
      </c>
      <c r="E2344" s="20" t="e">
        <f t="array" ref="E2344">INDEX(C:C,SMALL(IF(ISNUMBER(FIND(CELL("contents"),$C$2:$C$4852)),ROW($C$2:$C$4852),4^8),ROW(C2344)))&amp;""</f>
        <v>#N/A</v>
      </c>
    </row>
    <row r="2345" ht="14.100000000000001" customHeight="1">
      <c r="B2345" s="20" t="s">
        <v>4837</v>
      </c>
      <c r="C2345" s="20" t="s">
        <v>4838</v>
      </c>
      <c r="D2345" s="20" t="s">
        <v>4837</v>
      </c>
      <c r="E2345" s="20" t="e">
        <f t="array" ref="E2345">INDEX(C:C,SMALL(IF(ISNUMBER(FIND(CELL("contents"),$C$2:$C$4852)),ROW($C$2:$C$4852),4^8),ROW(C2345)))&amp;""</f>
        <v>#N/A</v>
      </c>
    </row>
    <row r="2346" ht="14.100000000000001" customHeight="1">
      <c r="B2346" s="20" t="s">
        <v>4839</v>
      </c>
      <c r="C2346" s="20" t="s">
        <v>4840</v>
      </c>
      <c r="D2346" s="20" t="s">
        <v>4839</v>
      </c>
      <c r="E2346" s="20" t="e">
        <f t="array" ref="E2346">INDEX(C:C,SMALL(IF(ISNUMBER(FIND(CELL("contents"),$C$2:$C$4852)),ROW($C$2:$C$4852),4^8),ROW(C2346)))&amp;""</f>
        <v>#N/A</v>
      </c>
    </row>
    <row r="2347" ht="14.100000000000001" customHeight="1">
      <c r="B2347" s="20" t="s">
        <v>4841</v>
      </c>
      <c r="C2347" s="20" t="s">
        <v>4842</v>
      </c>
      <c r="D2347" s="20" t="s">
        <v>4841</v>
      </c>
      <c r="E2347" s="20" t="e">
        <f t="array" ref="E2347">INDEX(C:C,SMALL(IF(ISNUMBER(FIND(CELL("contents"),$C$2:$C$4852)),ROW($C$2:$C$4852),4^8),ROW(C2347)))&amp;""</f>
        <v>#N/A</v>
      </c>
    </row>
    <row r="2348" ht="14.100000000000001" customHeight="1">
      <c r="B2348" s="20" t="s">
        <v>4843</v>
      </c>
      <c r="C2348" s="20" t="s">
        <v>4844</v>
      </c>
      <c r="D2348" s="20" t="s">
        <v>4843</v>
      </c>
      <c r="E2348" s="20" t="e">
        <f t="array" ref="E2348">INDEX(C:C,SMALL(IF(ISNUMBER(FIND(CELL("contents"),$C$2:$C$4852)),ROW($C$2:$C$4852),4^8),ROW(C2348)))&amp;""</f>
        <v>#N/A</v>
      </c>
    </row>
    <row r="2349" ht="14.100000000000001" customHeight="1">
      <c r="B2349" s="20" t="s">
        <v>4845</v>
      </c>
      <c r="C2349" s="20" t="s">
        <v>4846</v>
      </c>
      <c r="D2349" s="20" t="s">
        <v>4845</v>
      </c>
      <c r="E2349" s="20" t="e">
        <f t="array" ref="E2349">INDEX(C:C,SMALL(IF(ISNUMBER(FIND(CELL("contents"),$C$2:$C$4852)),ROW($C$2:$C$4852),4^8),ROW(C2349)))&amp;""</f>
        <v>#N/A</v>
      </c>
    </row>
    <row r="2350" ht="14.100000000000001" customHeight="1">
      <c r="B2350" s="20" t="s">
        <v>4847</v>
      </c>
      <c r="C2350" s="20" t="s">
        <v>4848</v>
      </c>
      <c r="D2350" s="20" t="s">
        <v>4847</v>
      </c>
      <c r="E2350" s="20" t="e">
        <f t="array" ref="E2350">INDEX(C:C,SMALL(IF(ISNUMBER(FIND(CELL("contents"),$C$2:$C$4852)),ROW($C$2:$C$4852),4^8),ROW(C2350)))&amp;""</f>
        <v>#N/A</v>
      </c>
    </row>
    <row r="2351" ht="14.100000000000001" customHeight="1">
      <c r="B2351" s="20" t="s">
        <v>4849</v>
      </c>
      <c r="C2351" s="20" t="s">
        <v>4850</v>
      </c>
      <c r="D2351" s="20" t="s">
        <v>4849</v>
      </c>
      <c r="E2351" s="20" t="e">
        <f t="array" ref="E2351">INDEX(C:C,SMALL(IF(ISNUMBER(FIND(CELL("contents"),$C$2:$C$4852)),ROW($C$2:$C$4852),4^8),ROW(C2351)))&amp;""</f>
        <v>#N/A</v>
      </c>
    </row>
    <row r="2352" ht="14.100000000000001" customHeight="1">
      <c r="B2352" s="20" t="s">
        <v>4851</v>
      </c>
      <c r="C2352" s="20" t="s">
        <v>4852</v>
      </c>
      <c r="D2352" s="20" t="s">
        <v>4851</v>
      </c>
      <c r="E2352" s="20" t="e">
        <f t="array" ref="E2352">INDEX(C:C,SMALL(IF(ISNUMBER(FIND(CELL("contents"),$C$2:$C$4852)),ROW($C$2:$C$4852),4^8),ROW(C2352)))&amp;""</f>
        <v>#N/A</v>
      </c>
    </row>
    <row r="2353" ht="14.100000000000001" customHeight="1">
      <c r="B2353" s="20" t="s">
        <v>4853</v>
      </c>
      <c r="C2353" s="20" t="s">
        <v>4854</v>
      </c>
      <c r="D2353" s="20" t="s">
        <v>4853</v>
      </c>
      <c r="E2353" s="20" t="e">
        <f t="array" ref="E2353">INDEX(C:C,SMALL(IF(ISNUMBER(FIND(CELL("contents"),$C$2:$C$4852)),ROW($C$2:$C$4852),4^8),ROW(C2353)))&amp;""</f>
        <v>#N/A</v>
      </c>
    </row>
    <row r="2354" ht="14.100000000000001" customHeight="1">
      <c r="B2354" s="20" t="s">
        <v>4855</v>
      </c>
      <c r="C2354" s="20" t="s">
        <v>4856</v>
      </c>
      <c r="D2354" s="20" t="s">
        <v>4855</v>
      </c>
      <c r="E2354" s="20" t="e">
        <f t="array" ref="E2354">INDEX(C:C,SMALL(IF(ISNUMBER(FIND(CELL("contents"),$C$2:$C$4852)),ROW($C$2:$C$4852),4^8),ROW(C2354)))&amp;""</f>
        <v>#N/A</v>
      </c>
    </row>
    <row r="2355" ht="14.100000000000001" customHeight="1">
      <c r="B2355" s="20" t="s">
        <v>4857</v>
      </c>
      <c r="C2355" s="20" t="s">
        <v>4858</v>
      </c>
      <c r="D2355" s="20" t="s">
        <v>4857</v>
      </c>
      <c r="E2355" s="20" t="e">
        <f t="array" ref="E2355">INDEX(C:C,SMALL(IF(ISNUMBER(FIND(CELL("contents"),$C$2:$C$4852)),ROW($C$2:$C$4852),4^8),ROW(C2355)))&amp;""</f>
        <v>#N/A</v>
      </c>
    </row>
    <row r="2356" ht="14.100000000000001" customHeight="1">
      <c r="B2356" s="20" t="s">
        <v>4859</v>
      </c>
      <c r="C2356" s="20" t="s">
        <v>4860</v>
      </c>
      <c r="D2356" s="20" t="s">
        <v>4859</v>
      </c>
      <c r="E2356" s="20" t="e">
        <f t="array" ref="E2356">INDEX(C:C,SMALL(IF(ISNUMBER(FIND(CELL("contents"),$C$2:$C$4852)),ROW($C$2:$C$4852),4^8),ROW(C2356)))&amp;""</f>
        <v>#N/A</v>
      </c>
    </row>
    <row r="2357" ht="14.100000000000001" customHeight="1">
      <c r="B2357" s="20" t="s">
        <v>4861</v>
      </c>
      <c r="C2357" s="20" t="s">
        <v>4862</v>
      </c>
      <c r="D2357" s="20" t="s">
        <v>4861</v>
      </c>
      <c r="E2357" s="20" t="e">
        <f t="array" ref="E2357">INDEX(C:C,SMALL(IF(ISNUMBER(FIND(CELL("contents"),$C$2:$C$4852)),ROW($C$2:$C$4852),4^8),ROW(C2357)))&amp;""</f>
        <v>#N/A</v>
      </c>
    </row>
    <row r="2358" ht="14.100000000000001" customHeight="1">
      <c r="B2358" s="20" t="s">
        <v>4863</v>
      </c>
      <c r="C2358" s="20" t="s">
        <v>4864</v>
      </c>
      <c r="D2358" s="20" t="s">
        <v>4863</v>
      </c>
      <c r="E2358" s="20" t="e">
        <f t="array" ref="E2358">INDEX(C:C,SMALL(IF(ISNUMBER(FIND(CELL("contents"),$C$2:$C$4852)),ROW($C$2:$C$4852),4^8),ROW(C2358)))&amp;""</f>
        <v>#N/A</v>
      </c>
    </row>
    <row r="2359" ht="14.100000000000001" customHeight="1">
      <c r="B2359" s="20" t="s">
        <v>4865</v>
      </c>
      <c r="C2359" s="20" t="s">
        <v>4866</v>
      </c>
      <c r="D2359" s="20" t="s">
        <v>4865</v>
      </c>
      <c r="E2359" s="20" t="e">
        <f t="array" ref="E2359">INDEX(C:C,SMALL(IF(ISNUMBER(FIND(CELL("contents"),$C$2:$C$4852)),ROW($C$2:$C$4852),4^8),ROW(C2359)))&amp;""</f>
        <v>#N/A</v>
      </c>
    </row>
    <row r="2360" ht="14.100000000000001" customHeight="1">
      <c r="B2360" s="20" t="s">
        <v>4867</v>
      </c>
      <c r="C2360" s="20" t="s">
        <v>4868</v>
      </c>
      <c r="D2360" s="20" t="s">
        <v>4867</v>
      </c>
      <c r="E2360" s="20" t="e">
        <f t="array" ref="E2360">INDEX(C:C,SMALL(IF(ISNUMBER(FIND(CELL("contents"),$C$2:$C$4852)),ROW($C$2:$C$4852),4^8),ROW(C2360)))&amp;""</f>
        <v>#N/A</v>
      </c>
    </row>
    <row r="2361" ht="14.100000000000001" customHeight="1">
      <c r="B2361" s="20" t="s">
        <v>4869</v>
      </c>
      <c r="C2361" s="20" t="s">
        <v>4870</v>
      </c>
      <c r="D2361" s="20" t="s">
        <v>4869</v>
      </c>
      <c r="E2361" s="20" t="e">
        <f t="array" ref="E2361">INDEX(C:C,SMALL(IF(ISNUMBER(FIND(CELL("contents"),$C$2:$C$4852)),ROW($C$2:$C$4852),4^8),ROW(C2361)))&amp;""</f>
        <v>#N/A</v>
      </c>
    </row>
    <row r="2362" ht="14.100000000000001" customHeight="1">
      <c r="B2362" s="20" t="s">
        <v>4871</v>
      </c>
      <c r="C2362" s="20" t="s">
        <v>4872</v>
      </c>
      <c r="D2362" s="20" t="s">
        <v>4871</v>
      </c>
      <c r="E2362" s="20" t="e">
        <f t="array" ref="E2362">INDEX(C:C,SMALL(IF(ISNUMBER(FIND(CELL("contents"),$C$2:$C$4852)),ROW($C$2:$C$4852),4^8),ROW(C2362)))&amp;""</f>
        <v>#N/A</v>
      </c>
    </row>
    <row r="2363" ht="14.100000000000001" customHeight="1">
      <c r="B2363" s="20" t="s">
        <v>4873</v>
      </c>
      <c r="C2363" s="20" t="s">
        <v>4874</v>
      </c>
      <c r="D2363" s="20" t="s">
        <v>4873</v>
      </c>
      <c r="E2363" s="20" t="e">
        <f t="array" ref="E2363">INDEX(C:C,SMALL(IF(ISNUMBER(FIND(CELL("contents"),$C$2:$C$4852)),ROW($C$2:$C$4852),4^8),ROW(C2363)))&amp;""</f>
        <v>#N/A</v>
      </c>
    </row>
    <row r="2364" ht="14.100000000000001" customHeight="1">
      <c r="B2364" s="20" t="s">
        <v>4875</v>
      </c>
      <c r="C2364" s="20" t="s">
        <v>4876</v>
      </c>
      <c r="D2364" s="20" t="s">
        <v>4875</v>
      </c>
      <c r="E2364" s="20" t="e">
        <f t="array" ref="E2364">INDEX(C:C,SMALL(IF(ISNUMBER(FIND(CELL("contents"),$C$2:$C$4852)),ROW($C$2:$C$4852),4^8),ROW(C2364)))&amp;""</f>
        <v>#N/A</v>
      </c>
    </row>
    <row r="2365" ht="14.100000000000001" customHeight="1">
      <c r="B2365" s="20" t="s">
        <v>4877</v>
      </c>
      <c r="C2365" s="20" t="s">
        <v>4878</v>
      </c>
      <c r="D2365" s="20" t="s">
        <v>4877</v>
      </c>
      <c r="E2365" s="20" t="e">
        <f t="array" ref="E2365">INDEX(C:C,SMALL(IF(ISNUMBER(FIND(CELL("contents"),$C$2:$C$4852)),ROW($C$2:$C$4852),4^8),ROW(C2365)))&amp;""</f>
        <v>#N/A</v>
      </c>
    </row>
    <row r="2366" ht="14.100000000000001" customHeight="1">
      <c r="B2366" s="20" t="s">
        <v>4879</v>
      </c>
      <c r="C2366" s="20" t="s">
        <v>4880</v>
      </c>
      <c r="D2366" s="20" t="s">
        <v>4879</v>
      </c>
      <c r="E2366" s="20" t="e">
        <f t="array" ref="E2366">INDEX(C:C,SMALL(IF(ISNUMBER(FIND(CELL("contents"),$C$2:$C$4852)),ROW($C$2:$C$4852),4^8),ROW(C2366)))&amp;""</f>
        <v>#N/A</v>
      </c>
    </row>
    <row r="2367" ht="14.100000000000001" customHeight="1">
      <c r="B2367" s="20" t="s">
        <v>4881</v>
      </c>
      <c r="C2367" s="20" t="s">
        <v>4882</v>
      </c>
      <c r="D2367" s="20" t="s">
        <v>4881</v>
      </c>
      <c r="E2367" s="20" t="e">
        <f t="array" ref="E2367">INDEX(C:C,SMALL(IF(ISNUMBER(FIND(CELL("contents"),$C$2:$C$4852)),ROW($C$2:$C$4852),4^8),ROW(C2367)))&amp;""</f>
        <v>#N/A</v>
      </c>
    </row>
    <row r="2368" ht="14.100000000000001" customHeight="1">
      <c r="B2368" s="20" t="s">
        <v>4883</v>
      </c>
      <c r="C2368" s="20" t="s">
        <v>4884</v>
      </c>
      <c r="D2368" s="20" t="s">
        <v>4883</v>
      </c>
      <c r="E2368" s="20" t="e">
        <f t="array" ref="E2368">INDEX(C:C,SMALL(IF(ISNUMBER(FIND(CELL("contents"),$C$2:$C$4852)),ROW($C$2:$C$4852),4^8),ROW(C2368)))&amp;""</f>
        <v>#N/A</v>
      </c>
    </row>
    <row r="2369" ht="14.100000000000001" customHeight="1">
      <c r="B2369" s="20" t="s">
        <v>4885</v>
      </c>
      <c r="C2369" s="20" t="s">
        <v>4886</v>
      </c>
      <c r="D2369" s="20" t="s">
        <v>4885</v>
      </c>
      <c r="E2369" s="20" t="e">
        <f t="array" ref="E2369">INDEX(C:C,SMALL(IF(ISNUMBER(FIND(CELL("contents"),$C$2:$C$4852)),ROW($C$2:$C$4852),4^8),ROW(C2369)))&amp;""</f>
        <v>#N/A</v>
      </c>
    </row>
    <row r="2370" ht="14.100000000000001" customHeight="1">
      <c r="B2370" s="20" t="s">
        <v>4887</v>
      </c>
      <c r="C2370" s="20" t="s">
        <v>4888</v>
      </c>
      <c r="D2370" s="20" t="s">
        <v>4887</v>
      </c>
      <c r="E2370" s="20" t="e">
        <f t="array" ref="E2370">INDEX(C:C,SMALL(IF(ISNUMBER(FIND(CELL("contents"),$C$2:$C$4852)),ROW($C$2:$C$4852),4^8),ROW(C2370)))&amp;""</f>
        <v>#N/A</v>
      </c>
    </row>
    <row r="2371" ht="14.100000000000001" customHeight="1">
      <c r="B2371" s="20" t="s">
        <v>4889</v>
      </c>
      <c r="C2371" s="20" t="s">
        <v>4890</v>
      </c>
      <c r="D2371" s="20" t="s">
        <v>4889</v>
      </c>
      <c r="E2371" s="20" t="e">
        <f t="array" ref="E2371">INDEX(C:C,SMALL(IF(ISNUMBER(FIND(CELL("contents"),$C$2:$C$4852)),ROW($C$2:$C$4852),4^8),ROW(C2371)))&amp;""</f>
        <v>#N/A</v>
      </c>
    </row>
    <row r="2372" ht="14.100000000000001" customHeight="1">
      <c r="B2372" s="20" t="s">
        <v>4891</v>
      </c>
      <c r="C2372" s="20" t="s">
        <v>4892</v>
      </c>
      <c r="D2372" s="20" t="s">
        <v>4891</v>
      </c>
      <c r="E2372" s="20" t="e">
        <f t="array" ref="E2372">INDEX(C:C,SMALL(IF(ISNUMBER(FIND(CELL("contents"),$C$2:$C$4852)),ROW($C$2:$C$4852),4^8),ROW(C2372)))&amp;""</f>
        <v>#N/A</v>
      </c>
    </row>
    <row r="2373" ht="14.100000000000001" customHeight="1">
      <c r="B2373" s="20" t="s">
        <v>4893</v>
      </c>
      <c r="C2373" s="20" t="s">
        <v>4894</v>
      </c>
      <c r="D2373" s="20" t="s">
        <v>4893</v>
      </c>
      <c r="E2373" s="20" t="e">
        <f t="array" ref="E2373">INDEX(C:C,SMALL(IF(ISNUMBER(FIND(CELL("contents"),$C$2:$C$4852)),ROW($C$2:$C$4852),4^8),ROW(C2373)))&amp;""</f>
        <v>#N/A</v>
      </c>
    </row>
    <row r="2374" ht="14.100000000000001" customHeight="1">
      <c r="B2374" s="20" t="s">
        <v>4895</v>
      </c>
      <c r="C2374" s="20" t="s">
        <v>4896</v>
      </c>
      <c r="D2374" s="20" t="s">
        <v>4895</v>
      </c>
      <c r="E2374" s="20" t="e">
        <f t="array" ref="E2374">INDEX(C:C,SMALL(IF(ISNUMBER(FIND(CELL("contents"),$C$2:$C$4852)),ROW($C$2:$C$4852),4^8),ROW(C2374)))&amp;""</f>
        <v>#N/A</v>
      </c>
    </row>
    <row r="2375" ht="14.100000000000001" customHeight="1">
      <c r="B2375" s="20" t="s">
        <v>4897</v>
      </c>
      <c r="C2375" s="20" t="s">
        <v>4898</v>
      </c>
      <c r="D2375" s="20" t="s">
        <v>4897</v>
      </c>
      <c r="E2375" s="20" t="e">
        <f t="array" ref="E2375">INDEX(C:C,SMALL(IF(ISNUMBER(FIND(CELL("contents"),$C$2:$C$4852)),ROW($C$2:$C$4852),4^8),ROW(C2375)))&amp;""</f>
        <v>#N/A</v>
      </c>
    </row>
    <row r="2376" ht="14.100000000000001" customHeight="1">
      <c r="B2376" s="20" t="s">
        <v>4899</v>
      </c>
      <c r="C2376" s="20" t="s">
        <v>4900</v>
      </c>
      <c r="D2376" s="20" t="s">
        <v>4899</v>
      </c>
      <c r="E2376" s="20" t="e">
        <f t="array" ref="E2376">INDEX(C:C,SMALL(IF(ISNUMBER(FIND(CELL("contents"),$C$2:$C$4852)),ROW($C$2:$C$4852),4^8),ROW(C2376)))&amp;""</f>
        <v>#N/A</v>
      </c>
    </row>
    <row r="2377" ht="14.100000000000001" customHeight="1">
      <c r="B2377" s="20" t="s">
        <v>4901</v>
      </c>
      <c r="C2377" s="20" t="s">
        <v>4902</v>
      </c>
      <c r="D2377" s="20" t="s">
        <v>4901</v>
      </c>
      <c r="E2377" s="20" t="e">
        <f t="array" ref="E2377">INDEX(C:C,SMALL(IF(ISNUMBER(FIND(CELL("contents"),$C$2:$C$4852)),ROW($C$2:$C$4852),4^8),ROW(C2377)))&amp;""</f>
        <v>#N/A</v>
      </c>
    </row>
    <row r="2378" ht="14.100000000000001" customHeight="1">
      <c r="B2378" s="20" t="s">
        <v>4903</v>
      </c>
      <c r="C2378" s="20" t="s">
        <v>4904</v>
      </c>
      <c r="D2378" s="20" t="s">
        <v>4903</v>
      </c>
      <c r="E2378" s="20" t="e">
        <f t="array" ref="E2378">INDEX(C:C,SMALL(IF(ISNUMBER(FIND(CELL("contents"),$C$2:$C$4852)),ROW($C$2:$C$4852),4^8),ROW(C2378)))&amp;""</f>
        <v>#N/A</v>
      </c>
    </row>
    <row r="2379" ht="14.100000000000001" customHeight="1">
      <c r="B2379" s="20" t="s">
        <v>4905</v>
      </c>
      <c r="C2379" s="20" t="s">
        <v>4906</v>
      </c>
      <c r="D2379" s="20" t="s">
        <v>4905</v>
      </c>
      <c r="E2379" s="20" t="e">
        <f t="array" ref="E2379">INDEX(C:C,SMALL(IF(ISNUMBER(FIND(CELL("contents"),$C$2:$C$4852)),ROW($C$2:$C$4852),4^8),ROW(C2379)))&amp;""</f>
        <v>#N/A</v>
      </c>
    </row>
    <row r="2380" ht="14.100000000000001" customHeight="1">
      <c r="B2380" s="20" t="s">
        <v>4907</v>
      </c>
      <c r="C2380" s="20" t="s">
        <v>4908</v>
      </c>
      <c r="D2380" s="20" t="s">
        <v>4907</v>
      </c>
      <c r="E2380" s="20" t="e">
        <f t="array" ref="E2380">INDEX(C:C,SMALL(IF(ISNUMBER(FIND(CELL("contents"),$C$2:$C$4852)),ROW($C$2:$C$4852),4^8),ROW(C2380)))&amp;""</f>
        <v>#N/A</v>
      </c>
    </row>
    <row r="2381" ht="14.100000000000001" customHeight="1">
      <c r="B2381" s="20" t="s">
        <v>4909</v>
      </c>
      <c r="C2381" s="20" t="s">
        <v>4910</v>
      </c>
      <c r="D2381" s="20" t="s">
        <v>4909</v>
      </c>
      <c r="E2381" s="20" t="e">
        <f t="array" ref="E2381">INDEX(C:C,SMALL(IF(ISNUMBER(FIND(CELL("contents"),$C$2:$C$4852)),ROW($C$2:$C$4852),4^8),ROW(C2381)))&amp;""</f>
        <v>#N/A</v>
      </c>
    </row>
    <row r="2382" ht="14.100000000000001" customHeight="1">
      <c r="B2382" s="20" t="s">
        <v>4911</v>
      </c>
      <c r="C2382" s="20" t="s">
        <v>4912</v>
      </c>
      <c r="D2382" s="20" t="s">
        <v>4911</v>
      </c>
      <c r="E2382" s="20" t="e">
        <f t="array" ref="E2382">INDEX(C:C,SMALL(IF(ISNUMBER(FIND(CELL("contents"),$C$2:$C$4852)),ROW($C$2:$C$4852),4^8),ROW(C2382)))&amp;""</f>
        <v>#N/A</v>
      </c>
    </row>
    <row r="2383" ht="14.100000000000001" customHeight="1">
      <c r="B2383" s="20" t="s">
        <v>4913</v>
      </c>
      <c r="C2383" s="20" t="s">
        <v>4914</v>
      </c>
      <c r="D2383" s="20" t="s">
        <v>4913</v>
      </c>
      <c r="E2383" s="20" t="e">
        <f t="array" ref="E2383">INDEX(C:C,SMALL(IF(ISNUMBER(FIND(CELL("contents"),$C$2:$C$4852)),ROW($C$2:$C$4852),4^8),ROW(C2383)))&amp;""</f>
        <v>#N/A</v>
      </c>
    </row>
    <row r="2384" ht="14.100000000000001" customHeight="1">
      <c r="B2384" s="20" t="s">
        <v>4915</v>
      </c>
      <c r="C2384" s="20" t="s">
        <v>4916</v>
      </c>
      <c r="D2384" s="20" t="s">
        <v>4915</v>
      </c>
      <c r="E2384" s="20" t="e">
        <f t="array" ref="E2384">INDEX(C:C,SMALL(IF(ISNUMBER(FIND(CELL("contents"),$C$2:$C$4852)),ROW($C$2:$C$4852),4^8),ROW(C2384)))&amp;""</f>
        <v>#N/A</v>
      </c>
    </row>
    <row r="2385" ht="14.100000000000001" customHeight="1">
      <c r="B2385" s="20" t="s">
        <v>4917</v>
      </c>
      <c r="C2385" s="20" t="s">
        <v>4918</v>
      </c>
      <c r="D2385" s="20" t="s">
        <v>4917</v>
      </c>
      <c r="E2385" s="20" t="e">
        <f t="array" ref="E2385">INDEX(C:C,SMALL(IF(ISNUMBER(FIND(CELL("contents"),$C$2:$C$4852)),ROW($C$2:$C$4852),4^8),ROW(C2385)))&amp;""</f>
        <v>#N/A</v>
      </c>
    </row>
    <row r="2386" ht="14.100000000000001" customHeight="1">
      <c r="B2386" s="20" t="s">
        <v>4919</v>
      </c>
      <c r="C2386" s="20" t="s">
        <v>4920</v>
      </c>
      <c r="D2386" s="20" t="s">
        <v>4919</v>
      </c>
      <c r="E2386" s="20" t="e">
        <f t="array" ref="E2386">INDEX(C:C,SMALL(IF(ISNUMBER(FIND(CELL("contents"),$C$2:$C$4852)),ROW($C$2:$C$4852),4^8),ROW(C2386)))&amp;""</f>
        <v>#N/A</v>
      </c>
    </row>
    <row r="2387" ht="14.100000000000001" customHeight="1">
      <c r="B2387" s="20" t="s">
        <v>4921</v>
      </c>
      <c r="C2387" s="20" t="s">
        <v>4922</v>
      </c>
      <c r="D2387" s="20" t="s">
        <v>4921</v>
      </c>
      <c r="E2387" s="20" t="e">
        <f t="array" ref="E2387">INDEX(C:C,SMALL(IF(ISNUMBER(FIND(CELL("contents"),$C$2:$C$4852)),ROW($C$2:$C$4852),4^8),ROW(C2387)))&amp;""</f>
        <v>#N/A</v>
      </c>
    </row>
    <row r="2388" ht="14.100000000000001" customHeight="1">
      <c r="B2388" s="20" t="s">
        <v>4923</v>
      </c>
      <c r="C2388" s="20" t="s">
        <v>4924</v>
      </c>
      <c r="D2388" s="20" t="s">
        <v>4923</v>
      </c>
      <c r="E2388" s="20" t="e">
        <f t="array" ref="E2388">INDEX(C:C,SMALL(IF(ISNUMBER(FIND(CELL("contents"),$C$2:$C$4852)),ROW($C$2:$C$4852),4^8),ROW(C2388)))&amp;""</f>
        <v>#N/A</v>
      </c>
    </row>
    <row r="2389" ht="14.100000000000001" customHeight="1">
      <c r="B2389" s="20" t="s">
        <v>4925</v>
      </c>
      <c r="C2389" s="20" t="s">
        <v>4926</v>
      </c>
      <c r="D2389" s="20" t="s">
        <v>4925</v>
      </c>
      <c r="E2389" s="20" t="e">
        <f t="array" ref="E2389">INDEX(C:C,SMALL(IF(ISNUMBER(FIND(CELL("contents"),$C$2:$C$4852)),ROW($C$2:$C$4852),4^8),ROW(C2389)))&amp;""</f>
        <v>#N/A</v>
      </c>
    </row>
    <row r="2390" ht="14.100000000000001" customHeight="1">
      <c r="B2390" s="20" t="s">
        <v>4927</v>
      </c>
      <c r="C2390" s="20" t="s">
        <v>4928</v>
      </c>
      <c r="D2390" s="20" t="s">
        <v>4927</v>
      </c>
      <c r="E2390" s="20" t="e">
        <f t="array" ref="E2390">INDEX(C:C,SMALL(IF(ISNUMBER(FIND(CELL("contents"),$C$2:$C$4852)),ROW($C$2:$C$4852),4^8),ROW(C2390)))&amp;""</f>
        <v>#N/A</v>
      </c>
    </row>
    <row r="2391" ht="14.100000000000001" customHeight="1">
      <c r="B2391" s="20" t="s">
        <v>4929</v>
      </c>
      <c r="C2391" s="20" t="s">
        <v>4930</v>
      </c>
      <c r="D2391" s="20" t="s">
        <v>4929</v>
      </c>
      <c r="E2391" s="20" t="e">
        <f t="array" ref="E2391">INDEX(C:C,SMALL(IF(ISNUMBER(FIND(CELL("contents"),$C$2:$C$4852)),ROW($C$2:$C$4852),4^8),ROW(C2391)))&amp;""</f>
        <v>#N/A</v>
      </c>
    </row>
    <row r="2392" ht="14.100000000000001" customHeight="1">
      <c r="B2392" s="20" t="s">
        <v>4931</v>
      </c>
      <c r="C2392" s="20" t="s">
        <v>4932</v>
      </c>
      <c r="D2392" s="20" t="s">
        <v>4931</v>
      </c>
      <c r="E2392" s="20" t="e">
        <f t="array" ref="E2392">INDEX(C:C,SMALL(IF(ISNUMBER(FIND(CELL("contents"),$C$2:$C$4852)),ROW($C$2:$C$4852),4^8),ROW(C2392)))&amp;""</f>
        <v>#N/A</v>
      </c>
    </row>
    <row r="2393" ht="14.100000000000001" customHeight="1">
      <c r="B2393" s="20" t="s">
        <v>4933</v>
      </c>
      <c r="C2393" s="20" t="s">
        <v>4934</v>
      </c>
      <c r="D2393" s="20" t="s">
        <v>4933</v>
      </c>
      <c r="E2393" s="20" t="e">
        <f t="array" ref="E2393">INDEX(C:C,SMALL(IF(ISNUMBER(FIND(CELL("contents"),$C$2:$C$4852)),ROW($C$2:$C$4852),4^8),ROW(C2393)))&amp;""</f>
        <v>#N/A</v>
      </c>
    </row>
    <row r="2394" ht="14.100000000000001" customHeight="1">
      <c r="B2394" s="20" t="s">
        <v>4935</v>
      </c>
      <c r="C2394" s="20" t="s">
        <v>4936</v>
      </c>
      <c r="D2394" s="20" t="s">
        <v>4935</v>
      </c>
      <c r="E2394" s="20" t="e">
        <f t="array" ref="E2394">INDEX(C:C,SMALL(IF(ISNUMBER(FIND(CELL("contents"),$C$2:$C$4852)),ROW($C$2:$C$4852),4^8),ROW(C2394)))&amp;""</f>
        <v>#N/A</v>
      </c>
    </row>
    <row r="2395" ht="14.100000000000001" customHeight="1">
      <c r="B2395" s="20" t="s">
        <v>4937</v>
      </c>
      <c r="C2395" s="20" t="s">
        <v>4938</v>
      </c>
      <c r="D2395" s="20" t="s">
        <v>4937</v>
      </c>
      <c r="E2395" s="20" t="e">
        <f t="array" ref="E2395">INDEX(C:C,SMALL(IF(ISNUMBER(FIND(CELL("contents"),$C$2:$C$4852)),ROW($C$2:$C$4852),4^8),ROW(C2395)))&amp;""</f>
        <v>#N/A</v>
      </c>
    </row>
    <row r="2396" ht="14.100000000000001" customHeight="1">
      <c r="B2396" s="20" t="s">
        <v>4939</v>
      </c>
      <c r="C2396" s="20" t="s">
        <v>4940</v>
      </c>
      <c r="D2396" s="20" t="s">
        <v>4939</v>
      </c>
      <c r="E2396" s="20" t="e">
        <f t="array" ref="E2396">INDEX(C:C,SMALL(IF(ISNUMBER(FIND(CELL("contents"),$C$2:$C$4852)),ROW($C$2:$C$4852),4^8),ROW(C2396)))&amp;""</f>
        <v>#N/A</v>
      </c>
    </row>
    <row r="2397" ht="14.100000000000001" customHeight="1">
      <c r="B2397" s="20" t="s">
        <v>4941</v>
      </c>
      <c r="C2397" s="20" t="s">
        <v>4942</v>
      </c>
      <c r="D2397" s="20" t="s">
        <v>4941</v>
      </c>
      <c r="E2397" s="20" t="e">
        <f t="array" ref="E2397">INDEX(C:C,SMALL(IF(ISNUMBER(FIND(CELL("contents"),$C$2:$C$4852)),ROW($C$2:$C$4852),4^8),ROW(C2397)))&amp;""</f>
        <v>#N/A</v>
      </c>
    </row>
    <row r="2398" ht="14.100000000000001" customHeight="1">
      <c r="B2398" s="20" t="s">
        <v>4943</v>
      </c>
      <c r="C2398" s="20" t="s">
        <v>4944</v>
      </c>
      <c r="D2398" s="20" t="s">
        <v>4943</v>
      </c>
      <c r="E2398" s="20" t="e">
        <f t="array" ref="E2398">INDEX(C:C,SMALL(IF(ISNUMBER(FIND(CELL("contents"),$C$2:$C$4852)),ROW($C$2:$C$4852),4^8),ROW(C2398)))&amp;""</f>
        <v>#N/A</v>
      </c>
    </row>
    <row r="2399" ht="14.100000000000001" customHeight="1">
      <c r="B2399" s="20" t="s">
        <v>4945</v>
      </c>
      <c r="C2399" s="20" t="s">
        <v>4946</v>
      </c>
      <c r="D2399" s="20" t="s">
        <v>4945</v>
      </c>
      <c r="E2399" s="20" t="e">
        <f t="array" ref="E2399">INDEX(C:C,SMALL(IF(ISNUMBER(FIND(CELL("contents"),$C$2:$C$4852)),ROW($C$2:$C$4852),4^8),ROW(C2399)))&amp;""</f>
        <v>#N/A</v>
      </c>
    </row>
    <row r="2400" ht="14.100000000000001" customHeight="1">
      <c r="B2400" s="20" t="s">
        <v>4947</v>
      </c>
      <c r="C2400" s="20" t="s">
        <v>4948</v>
      </c>
      <c r="D2400" s="20" t="s">
        <v>4947</v>
      </c>
      <c r="E2400" s="20" t="e">
        <f t="array" ref="E2400">INDEX(C:C,SMALL(IF(ISNUMBER(FIND(CELL("contents"),$C$2:$C$4852)),ROW($C$2:$C$4852),4^8),ROW(C2400)))&amp;""</f>
        <v>#N/A</v>
      </c>
    </row>
    <row r="2401" ht="14.100000000000001" customHeight="1">
      <c r="B2401" s="20" t="s">
        <v>4949</v>
      </c>
      <c r="C2401" s="20" t="s">
        <v>4950</v>
      </c>
      <c r="D2401" s="20" t="s">
        <v>4949</v>
      </c>
      <c r="E2401" s="20" t="e">
        <f t="array" ref="E2401">INDEX(C:C,SMALL(IF(ISNUMBER(FIND(CELL("contents"),$C$2:$C$4852)),ROW($C$2:$C$4852),4^8),ROW(C2401)))&amp;""</f>
        <v>#N/A</v>
      </c>
    </row>
    <row r="2402" ht="14.100000000000001" customHeight="1">
      <c r="B2402" s="20" t="s">
        <v>4951</v>
      </c>
      <c r="C2402" s="20" t="s">
        <v>4952</v>
      </c>
      <c r="D2402" s="20" t="s">
        <v>4951</v>
      </c>
      <c r="E2402" s="20" t="e">
        <f t="array" ref="E2402">INDEX(C:C,SMALL(IF(ISNUMBER(FIND(CELL("contents"),$C$2:$C$4852)),ROW($C$2:$C$4852),4^8),ROW(C2402)))&amp;""</f>
        <v>#N/A</v>
      </c>
    </row>
    <row r="2403" ht="14.100000000000001" customHeight="1">
      <c r="B2403" s="20" t="s">
        <v>4953</v>
      </c>
      <c r="C2403" s="20" t="s">
        <v>4954</v>
      </c>
      <c r="D2403" s="20" t="s">
        <v>4953</v>
      </c>
      <c r="E2403" s="20" t="e">
        <f t="array" ref="E2403">INDEX(C:C,SMALL(IF(ISNUMBER(FIND(CELL("contents"),$C$2:$C$4852)),ROW($C$2:$C$4852),4^8),ROW(C2403)))&amp;""</f>
        <v>#N/A</v>
      </c>
    </row>
    <row r="2404" ht="14.100000000000001" customHeight="1">
      <c r="B2404" s="20" t="s">
        <v>4955</v>
      </c>
      <c r="C2404" s="20" t="s">
        <v>4956</v>
      </c>
      <c r="D2404" s="20" t="s">
        <v>4955</v>
      </c>
      <c r="E2404" s="20" t="e">
        <f t="array" ref="E2404">INDEX(C:C,SMALL(IF(ISNUMBER(FIND(CELL("contents"),$C$2:$C$4852)),ROW($C$2:$C$4852),4^8),ROW(C2404)))&amp;""</f>
        <v>#N/A</v>
      </c>
    </row>
    <row r="2405" ht="14.100000000000001" customHeight="1">
      <c r="B2405" s="20" t="s">
        <v>4957</v>
      </c>
      <c r="C2405" s="20" t="s">
        <v>4958</v>
      </c>
      <c r="D2405" s="20" t="s">
        <v>4957</v>
      </c>
      <c r="E2405" s="20" t="e">
        <f t="array" ref="E2405">INDEX(C:C,SMALL(IF(ISNUMBER(FIND(CELL("contents"),$C$2:$C$4852)),ROW($C$2:$C$4852),4^8),ROW(C2405)))&amp;""</f>
        <v>#N/A</v>
      </c>
    </row>
    <row r="2406" ht="14.100000000000001" customHeight="1">
      <c r="B2406" s="20" t="s">
        <v>4959</v>
      </c>
      <c r="C2406" s="20" t="s">
        <v>4960</v>
      </c>
      <c r="D2406" s="20" t="s">
        <v>4959</v>
      </c>
      <c r="E2406" s="20" t="e">
        <f t="array" ref="E2406">INDEX(C:C,SMALL(IF(ISNUMBER(FIND(CELL("contents"),$C$2:$C$4852)),ROW($C$2:$C$4852),4^8),ROW(C2406)))&amp;""</f>
        <v>#N/A</v>
      </c>
    </row>
    <row r="2407" ht="14.100000000000001" customHeight="1">
      <c r="B2407" s="20" t="s">
        <v>4961</v>
      </c>
      <c r="C2407" s="20" t="s">
        <v>4962</v>
      </c>
      <c r="D2407" s="20" t="s">
        <v>4961</v>
      </c>
      <c r="E2407" s="20" t="e">
        <f t="array" ref="E2407">INDEX(C:C,SMALL(IF(ISNUMBER(FIND(CELL("contents"),$C$2:$C$4852)),ROW($C$2:$C$4852),4^8),ROW(C2407)))&amp;""</f>
        <v>#N/A</v>
      </c>
    </row>
    <row r="2408" ht="14.100000000000001" customHeight="1">
      <c r="B2408" s="20" t="s">
        <v>4963</v>
      </c>
      <c r="C2408" s="20" t="s">
        <v>4964</v>
      </c>
      <c r="D2408" s="20" t="s">
        <v>4963</v>
      </c>
      <c r="E2408" s="20" t="e">
        <f t="array" ref="E2408">INDEX(C:C,SMALL(IF(ISNUMBER(FIND(CELL("contents"),$C$2:$C$4852)),ROW($C$2:$C$4852),4^8),ROW(C2408)))&amp;""</f>
        <v>#N/A</v>
      </c>
    </row>
    <row r="2409" ht="14.100000000000001" customHeight="1">
      <c r="B2409" s="20" t="s">
        <v>4965</v>
      </c>
      <c r="C2409" s="20" t="s">
        <v>4966</v>
      </c>
      <c r="D2409" s="20" t="s">
        <v>4965</v>
      </c>
      <c r="E2409" s="20" t="e">
        <f t="array" ref="E2409">INDEX(C:C,SMALL(IF(ISNUMBER(FIND(CELL("contents"),$C$2:$C$4852)),ROW($C$2:$C$4852),4^8),ROW(C2409)))&amp;""</f>
        <v>#N/A</v>
      </c>
    </row>
    <row r="2410" ht="14.100000000000001" customHeight="1">
      <c r="B2410" s="20" t="s">
        <v>4967</v>
      </c>
      <c r="C2410" s="20" t="s">
        <v>4968</v>
      </c>
      <c r="D2410" s="20" t="s">
        <v>4967</v>
      </c>
      <c r="E2410" s="20" t="e">
        <f t="array" ref="E2410">INDEX(C:C,SMALL(IF(ISNUMBER(FIND(CELL("contents"),$C$2:$C$4852)),ROW($C$2:$C$4852),4^8),ROW(C2410)))&amp;""</f>
        <v>#N/A</v>
      </c>
    </row>
    <row r="2411" ht="14.100000000000001" customHeight="1">
      <c r="B2411" s="20" t="s">
        <v>4969</v>
      </c>
      <c r="C2411" s="20" t="s">
        <v>4970</v>
      </c>
      <c r="D2411" s="20" t="s">
        <v>4969</v>
      </c>
      <c r="E2411" s="20" t="e">
        <f t="array" ref="E2411">INDEX(C:C,SMALL(IF(ISNUMBER(FIND(CELL("contents"),$C$2:$C$4852)),ROW($C$2:$C$4852),4^8),ROW(C2411)))&amp;""</f>
        <v>#N/A</v>
      </c>
    </row>
    <row r="2412" ht="14.100000000000001" customHeight="1">
      <c r="B2412" s="20" t="s">
        <v>4971</v>
      </c>
      <c r="C2412" s="20" t="s">
        <v>4972</v>
      </c>
      <c r="D2412" s="20" t="s">
        <v>4971</v>
      </c>
      <c r="E2412" s="20" t="e">
        <f t="array" ref="E2412">INDEX(C:C,SMALL(IF(ISNUMBER(FIND(CELL("contents"),$C$2:$C$4852)),ROW($C$2:$C$4852),4^8),ROW(C2412)))&amp;""</f>
        <v>#N/A</v>
      </c>
    </row>
    <row r="2413" ht="14.100000000000001" customHeight="1">
      <c r="B2413" s="20" t="s">
        <v>4973</v>
      </c>
      <c r="C2413" s="20" t="s">
        <v>4974</v>
      </c>
      <c r="D2413" s="20" t="s">
        <v>4973</v>
      </c>
      <c r="E2413" s="20" t="e">
        <f t="array" ref="E2413">INDEX(C:C,SMALL(IF(ISNUMBER(FIND(CELL("contents"),$C$2:$C$4852)),ROW($C$2:$C$4852),4^8),ROW(C2413)))&amp;""</f>
        <v>#N/A</v>
      </c>
    </row>
    <row r="2414" ht="14.100000000000001" customHeight="1">
      <c r="B2414" s="20" t="s">
        <v>4975</v>
      </c>
      <c r="C2414" s="20" t="s">
        <v>4976</v>
      </c>
      <c r="D2414" s="20" t="s">
        <v>4975</v>
      </c>
      <c r="E2414" s="20" t="e">
        <f t="array" ref="E2414">INDEX(C:C,SMALL(IF(ISNUMBER(FIND(CELL("contents"),$C$2:$C$4852)),ROW($C$2:$C$4852),4^8),ROW(C2414)))&amp;""</f>
        <v>#N/A</v>
      </c>
    </row>
    <row r="2415" ht="14.100000000000001" customHeight="1">
      <c r="B2415" s="20" t="s">
        <v>4977</v>
      </c>
      <c r="C2415" s="20" t="s">
        <v>4978</v>
      </c>
      <c r="D2415" s="20" t="s">
        <v>4977</v>
      </c>
      <c r="E2415" s="20" t="e">
        <f t="array" ref="E2415">INDEX(C:C,SMALL(IF(ISNUMBER(FIND(CELL("contents"),$C$2:$C$4852)),ROW($C$2:$C$4852),4^8),ROW(C2415)))&amp;""</f>
        <v>#N/A</v>
      </c>
    </row>
    <row r="2416" ht="14.100000000000001" customHeight="1">
      <c r="B2416" s="20" t="s">
        <v>4979</v>
      </c>
      <c r="C2416" s="20" t="s">
        <v>4980</v>
      </c>
      <c r="D2416" s="20" t="s">
        <v>4979</v>
      </c>
      <c r="E2416" s="20" t="e">
        <f t="array" ref="E2416">INDEX(C:C,SMALL(IF(ISNUMBER(FIND(CELL("contents"),$C$2:$C$4852)),ROW($C$2:$C$4852),4^8),ROW(C2416)))&amp;""</f>
        <v>#N/A</v>
      </c>
    </row>
    <row r="2417" ht="14.100000000000001" customHeight="1">
      <c r="B2417" s="20" t="s">
        <v>4981</v>
      </c>
      <c r="C2417" s="20" t="s">
        <v>4982</v>
      </c>
      <c r="D2417" s="20" t="s">
        <v>4981</v>
      </c>
      <c r="E2417" s="20" t="e">
        <f t="array" ref="E2417">INDEX(C:C,SMALL(IF(ISNUMBER(FIND(CELL("contents"),$C$2:$C$4852)),ROW($C$2:$C$4852),4^8),ROW(C2417)))&amp;""</f>
        <v>#N/A</v>
      </c>
    </row>
    <row r="2418" ht="14.100000000000001" customHeight="1">
      <c r="B2418" s="20" t="s">
        <v>4983</v>
      </c>
      <c r="C2418" s="20" t="s">
        <v>4984</v>
      </c>
      <c r="D2418" s="20" t="s">
        <v>4983</v>
      </c>
      <c r="E2418" s="20" t="e">
        <f t="array" ref="E2418">INDEX(C:C,SMALL(IF(ISNUMBER(FIND(CELL("contents"),$C$2:$C$4852)),ROW($C$2:$C$4852),4^8),ROW(C2418)))&amp;""</f>
        <v>#N/A</v>
      </c>
    </row>
    <row r="2419" ht="14.100000000000001" customHeight="1">
      <c r="B2419" s="20" t="s">
        <v>4985</v>
      </c>
      <c r="C2419" s="20" t="s">
        <v>4986</v>
      </c>
      <c r="D2419" s="20" t="s">
        <v>4985</v>
      </c>
      <c r="E2419" s="20" t="e">
        <f t="array" ref="E2419">INDEX(C:C,SMALL(IF(ISNUMBER(FIND(CELL("contents"),$C$2:$C$4852)),ROW($C$2:$C$4852),4^8),ROW(C2419)))&amp;""</f>
        <v>#N/A</v>
      </c>
    </row>
    <row r="2420" ht="14.100000000000001" customHeight="1">
      <c r="B2420" s="20" t="s">
        <v>4987</v>
      </c>
      <c r="C2420" s="20" t="s">
        <v>4988</v>
      </c>
      <c r="D2420" s="20" t="s">
        <v>4987</v>
      </c>
      <c r="E2420" s="20" t="e">
        <f t="array" ref="E2420">INDEX(C:C,SMALL(IF(ISNUMBER(FIND(CELL("contents"),$C$2:$C$4852)),ROW($C$2:$C$4852),4^8),ROW(C2420)))&amp;""</f>
        <v>#N/A</v>
      </c>
    </row>
    <row r="2421" ht="14.100000000000001" customHeight="1">
      <c r="B2421" s="20" t="s">
        <v>4989</v>
      </c>
      <c r="C2421" s="20" t="s">
        <v>4990</v>
      </c>
      <c r="D2421" s="20" t="s">
        <v>4989</v>
      </c>
      <c r="E2421" s="20" t="e">
        <f t="array" ref="E2421">INDEX(C:C,SMALL(IF(ISNUMBER(FIND(CELL("contents"),$C$2:$C$4852)),ROW($C$2:$C$4852),4^8),ROW(C2421)))&amp;""</f>
        <v>#N/A</v>
      </c>
    </row>
    <row r="2422" ht="14.100000000000001" customHeight="1">
      <c r="B2422" s="20" t="s">
        <v>4991</v>
      </c>
      <c r="C2422" s="20" t="s">
        <v>4992</v>
      </c>
      <c r="D2422" s="20" t="s">
        <v>4991</v>
      </c>
      <c r="E2422" s="20" t="e">
        <f t="array" ref="E2422">INDEX(C:C,SMALL(IF(ISNUMBER(FIND(CELL("contents"),$C$2:$C$4852)),ROW($C$2:$C$4852),4^8),ROW(C2422)))&amp;""</f>
        <v>#N/A</v>
      </c>
    </row>
    <row r="2423" ht="14.100000000000001" customHeight="1">
      <c r="B2423" s="20" t="s">
        <v>4993</v>
      </c>
      <c r="C2423" s="20" t="s">
        <v>4994</v>
      </c>
      <c r="D2423" s="20" t="s">
        <v>4993</v>
      </c>
      <c r="E2423" s="20" t="e">
        <f t="array" ref="E2423">INDEX(C:C,SMALL(IF(ISNUMBER(FIND(CELL("contents"),$C$2:$C$4852)),ROW($C$2:$C$4852),4^8),ROW(C2423)))&amp;""</f>
        <v>#N/A</v>
      </c>
    </row>
    <row r="2424" ht="14.100000000000001" customHeight="1">
      <c r="B2424" s="20" t="s">
        <v>4995</v>
      </c>
      <c r="C2424" s="20" t="s">
        <v>4996</v>
      </c>
      <c r="D2424" s="20" t="s">
        <v>4995</v>
      </c>
      <c r="E2424" s="20" t="e">
        <f t="array" ref="E2424">INDEX(C:C,SMALL(IF(ISNUMBER(FIND(CELL("contents"),$C$2:$C$4852)),ROW($C$2:$C$4852),4^8),ROW(C2424)))&amp;""</f>
        <v>#N/A</v>
      </c>
    </row>
    <row r="2425" ht="14.100000000000001" customHeight="1">
      <c r="B2425" s="20" t="s">
        <v>4997</v>
      </c>
      <c r="C2425" s="20" t="s">
        <v>4998</v>
      </c>
      <c r="D2425" s="20" t="s">
        <v>4997</v>
      </c>
      <c r="E2425" s="20" t="e">
        <f t="array" ref="E2425">INDEX(C:C,SMALL(IF(ISNUMBER(FIND(CELL("contents"),$C$2:$C$4852)),ROW($C$2:$C$4852),4^8),ROW(C2425)))&amp;""</f>
        <v>#N/A</v>
      </c>
    </row>
    <row r="2426" ht="14.100000000000001" customHeight="1">
      <c r="B2426" s="20" t="s">
        <v>4999</v>
      </c>
      <c r="C2426" s="20" t="s">
        <v>5000</v>
      </c>
      <c r="D2426" s="20" t="s">
        <v>4999</v>
      </c>
      <c r="E2426" s="20" t="e">
        <f t="array" ref="E2426">INDEX(C:C,SMALL(IF(ISNUMBER(FIND(CELL("contents"),$C$2:$C$4852)),ROW($C$2:$C$4852),4^8),ROW(C2426)))&amp;""</f>
        <v>#N/A</v>
      </c>
    </row>
    <row r="2427" ht="14.100000000000001" customHeight="1">
      <c r="B2427" s="20" t="s">
        <v>5001</v>
      </c>
      <c r="C2427" s="20" t="s">
        <v>5002</v>
      </c>
      <c r="D2427" s="20" t="s">
        <v>5001</v>
      </c>
      <c r="E2427" s="20" t="e">
        <f t="array" ref="E2427">INDEX(C:C,SMALL(IF(ISNUMBER(FIND(CELL("contents"),$C$2:$C$4852)),ROW($C$2:$C$4852),4^8),ROW(C2427)))&amp;""</f>
        <v>#N/A</v>
      </c>
    </row>
    <row r="2428" ht="14.100000000000001" customHeight="1">
      <c r="B2428" s="20" t="s">
        <v>5003</v>
      </c>
      <c r="C2428" s="20" t="s">
        <v>5004</v>
      </c>
      <c r="D2428" s="20" t="s">
        <v>5003</v>
      </c>
      <c r="E2428" s="20" t="e">
        <f t="array" ref="E2428">INDEX(C:C,SMALL(IF(ISNUMBER(FIND(CELL("contents"),$C$2:$C$4852)),ROW($C$2:$C$4852),4^8),ROW(C2428)))&amp;""</f>
        <v>#N/A</v>
      </c>
    </row>
    <row r="2429" ht="14.100000000000001" customHeight="1">
      <c r="B2429" s="20" t="s">
        <v>5005</v>
      </c>
      <c r="C2429" s="20" t="s">
        <v>5006</v>
      </c>
      <c r="D2429" s="20" t="s">
        <v>5005</v>
      </c>
      <c r="E2429" s="20" t="e">
        <f t="array" ref="E2429">INDEX(C:C,SMALL(IF(ISNUMBER(FIND(CELL("contents"),$C$2:$C$4852)),ROW($C$2:$C$4852),4^8),ROW(C2429)))&amp;""</f>
        <v>#N/A</v>
      </c>
    </row>
    <row r="2430" ht="14.100000000000001" customHeight="1">
      <c r="B2430" s="20" t="s">
        <v>5007</v>
      </c>
      <c r="C2430" s="20" t="s">
        <v>5008</v>
      </c>
      <c r="D2430" s="20" t="s">
        <v>5007</v>
      </c>
      <c r="E2430" s="20" t="e">
        <f t="array" ref="E2430">INDEX(C:C,SMALL(IF(ISNUMBER(FIND(CELL("contents"),$C$2:$C$4852)),ROW($C$2:$C$4852),4^8),ROW(C2430)))&amp;""</f>
        <v>#N/A</v>
      </c>
    </row>
    <row r="2431" ht="14.100000000000001" customHeight="1">
      <c r="B2431" s="20" t="s">
        <v>5009</v>
      </c>
      <c r="C2431" s="20" t="s">
        <v>5010</v>
      </c>
      <c r="D2431" s="20" t="s">
        <v>5009</v>
      </c>
      <c r="E2431" s="20" t="e">
        <f t="array" ref="E2431">INDEX(C:C,SMALL(IF(ISNUMBER(FIND(CELL("contents"),$C$2:$C$4852)),ROW($C$2:$C$4852),4^8),ROW(C2431)))&amp;""</f>
        <v>#N/A</v>
      </c>
    </row>
    <row r="2432" ht="14.100000000000001" customHeight="1">
      <c r="B2432" s="20" t="s">
        <v>5011</v>
      </c>
      <c r="C2432" s="20" t="s">
        <v>5012</v>
      </c>
      <c r="D2432" s="20" t="s">
        <v>5011</v>
      </c>
      <c r="E2432" s="20" t="e">
        <f t="array" ref="E2432">INDEX(C:C,SMALL(IF(ISNUMBER(FIND(CELL("contents"),$C$2:$C$4852)),ROW($C$2:$C$4852),4^8),ROW(C2432)))&amp;""</f>
        <v>#N/A</v>
      </c>
    </row>
    <row r="2433" ht="14.100000000000001" customHeight="1">
      <c r="B2433" s="20" t="s">
        <v>5013</v>
      </c>
      <c r="C2433" s="20" t="s">
        <v>5014</v>
      </c>
      <c r="D2433" s="20" t="s">
        <v>5013</v>
      </c>
      <c r="E2433" s="20" t="e">
        <f t="array" ref="E2433">INDEX(C:C,SMALL(IF(ISNUMBER(FIND(CELL("contents"),$C$2:$C$4852)),ROW($C$2:$C$4852),4^8),ROW(C2433)))&amp;""</f>
        <v>#N/A</v>
      </c>
    </row>
    <row r="2434" ht="14.100000000000001" customHeight="1">
      <c r="B2434" s="20" t="s">
        <v>5015</v>
      </c>
      <c r="C2434" s="20" t="s">
        <v>5016</v>
      </c>
      <c r="D2434" s="20" t="s">
        <v>5015</v>
      </c>
      <c r="E2434" s="20" t="e">
        <f t="array" ref="E2434">INDEX(C:C,SMALL(IF(ISNUMBER(FIND(CELL("contents"),$C$2:$C$4852)),ROW($C$2:$C$4852),4^8),ROW(C2434)))&amp;""</f>
        <v>#N/A</v>
      </c>
    </row>
    <row r="2435" ht="14.100000000000001" customHeight="1">
      <c r="B2435" s="20" t="s">
        <v>5017</v>
      </c>
      <c r="C2435" s="20" t="s">
        <v>5018</v>
      </c>
      <c r="D2435" s="20" t="s">
        <v>5017</v>
      </c>
      <c r="E2435" s="20" t="e">
        <f t="array" ref="E2435">INDEX(C:C,SMALL(IF(ISNUMBER(FIND(CELL("contents"),$C$2:$C$4852)),ROW($C$2:$C$4852),4^8),ROW(C2435)))&amp;""</f>
        <v>#N/A</v>
      </c>
    </row>
    <row r="2436" ht="14.100000000000001" customHeight="1">
      <c r="B2436" s="20" t="s">
        <v>5019</v>
      </c>
      <c r="C2436" s="20" t="s">
        <v>5020</v>
      </c>
      <c r="D2436" s="20" t="s">
        <v>5019</v>
      </c>
      <c r="E2436" s="20" t="e">
        <f t="array" ref="E2436">INDEX(C:C,SMALL(IF(ISNUMBER(FIND(CELL("contents"),$C$2:$C$4852)),ROW($C$2:$C$4852),4^8),ROW(C2436)))&amp;""</f>
        <v>#N/A</v>
      </c>
    </row>
    <row r="2437" ht="14.100000000000001" customHeight="1">
      <c r="B2437" s="20" t="s">
        <v>5021</v>
      </c>
      <c r="C2437" s="20" t="s">
        <v>5022</v>
      </c>
      <c r="D2437" s="20" t="s">
        <v>5021</v>
      </c>
      <c r="E2437" s="20" t="e">
        <f t="array" ref="E2437">INDEX(C:C,SMALL(IF(ISNUMBER(FIND(CELL("contents"),$C$2:$C$4852)),ROW($C$2:$C$4852),4^8),ROW(C2437)))&amp;""</f>
        <v>#N/A</v>
      </c>
    </row>
    <row r="2438" ht="14.100000000000001" customHeight="1">
      <c r="B2438" s="20" t="s">
        <v>5023</v>
      </c>
      <c r="C2438" s="20" t="s">
        <v>5024</v>
      </c>
      <c r="D2438" s="20" t="s">
        <v>5023</v>
      </c>
      <c r="E2438" s="20" t="e">
        <f t="array" ref="E2438">INDEX(C:C,SMALL(IF(ISNUMBER(FIND(CELL("contents"),$C$2:$C$4852)),ROW($C$2:$C$4852),4^8),ROW(C2438)))&amp;""</f>
        <v>#N/A</v>
      </c>
    </row>
    <row r="2439" ht="14.100000000000001" customHeight="1">
      <c r="B2439" s="20" t="s">
        <v>5025</v>
      </c>
      <c r="C2439" s="20" t="s">
        <v>5026</v>
      </c>
      <c r="D2439" s="20" t="s">
        <v>5025</v>
      </c>
      <c r="E2439" s="20" t="e">
        <f t="array" ref="E2439">INDEX(C:C,SMALL(IF(ISNUMBER(FIND(CELL("contents"),$C$2:$C$4852)),ROW($C$2:$C$4852),4^8),ROW(C2439)))&amp;""</f>
        <v>#N/A</v>
      </c>
    </row>
    <row r="2440" ht="14.100000000000001" customHeight="1">
      <c r="B2440" s="20" t="s">
        <v>5027</v>
      </c>
      <c r="C2440" s="20" t="s">
        <v>5028</v>
      </c>
      <c r="D2440" s="20" t="s">
        <v>5027</v>
      </c>
      <c r="E2440" s="20" t="e">
        <f t="array" ref="E2440">INDEX(C:C,SMALL(IF(ISNUMBER(FIND(CELL("contents"),$C$2:$C$4852)),ROW($C$2:$C$4852),4^8),ROW(C2440)))&amp;""</f>
        <v>#N/A</v>
      </c>
    </row>
    <row r="2441" ht="14.100000000000001" customHeight="1">
      <c r="B2441" s="20" t="s">
        <v>5029</v>
      </c>
      <c r="C2441" s="20" t="s">
        <v>5030</v>
      </c>
      <c r="D2441" s="20" t="s">
        <v>5029</v>
      </c>
      <c r="E2441" s="20" t="e">
        <f t="array" ref="E2441">INDEX(C:C,SMALL(IF(ISNUMBER(FIND(CELL("contents"),$C$2:$C$4852)),ROW($C$2:$C$4852),4^8),ROW(C2441)))&amp;""</f>
        <v>#N/A</v>
      </c>
    </row>
    <row r="2442" ht="14.100000000000001" customHeight="1">
      <c r="B2442" s="20" t="s">
        <v>5031</v>
      </c>
      <c r="C2442" s="20" t="s">
        <v>5032</v>
      </c>
      <c r="D2442" s="20" t="s">
        <v>5031</v>
      </c>
      <c r="E2442" s="20" t="e">
        <f t="array" ref="E2442">INDEX(C:C,SMALL(IF(ISNUMBER(FIND(CELL("contents"),$C$2:$C$4852)),ROW($C$2:$C$4852),4^8),ROW(C2442)))&amp;""</f>
        <v>#N/A</v>
      </c>
    </row>
    <row r="2443" ht="14.100000000000001" customHeight="1">
      <c r="B2443" s="20" t="s">
        <v>5033</v>
      </c>
      <c r="C2443" s="20" t="s">
        <v>5034</v>
      </c>
      <c r="D2443" s="20" t="s">
        <v>5033</v>
      </c>
      <c r="E2443" s="20" t="e">
        <f t="array" ref="E2443">INDEX(C:C,SMALL(IF(ISNUMBER(FIND(CELL("contents"),$C$2:$C$4852)),ROW($C$2:$C$4852),4^8),ROW(C2443)))&amp;""</f>
        <v>#N/A</v>
      </c>
    </row>
    <row r="2444" ht="14.100000000000001" customHeight="1">
      <c r="B2444" s="20" t="s">
        <v>5035</v>
      </c>
      <c r="C2444" s="20" t="s">
        <v>5036</v>
      </c>
      <c r="D2444" s="20" t="s">
        <v>5035</v>
      </c>
      <c r="E2444" s="20" t="e">
        <f t="array" ref="E2444">INDEX(C:C,SMALL(IF(ISNUMBER(FIND(CELL("contents"),$C$2:$C$4852)),ROW($C$2:$C$4852),4^8),ROW(C2444)))&amp;""</f>
        <v>#N/A</v>
      </c>
    </row>
    <row r="2445" ht="14.100000000000001" customHeight="1">
      <c r="B2445" s="20" t="s">
        <v>5037</v>
      </c>
      <c r="C2445" s="20" t="s">
        <v>5038</v>
      </c>
      <c r="D2445" s="20" t="s">
        <v>5037</v>
      </c>
      <c r="E2445" s="20" t="e">
        <f t="array" ref="E2445">INDEX(C:C,SMALL(IF(ISNUMBER(FIND(CELL("contents"),$C$2:$C$4852)),ROW($C$2:$C$4852),4^8),ROW(C2445)))&amp;""</f>
        <v>#N/A</v>
      </c>
    </row>
    <row r="2446" ht="14.100000000000001" customHeight="1">
      <c r="B2446" s="20" t="s">
        <v>5039</v>
      </c>
      <c r="C2446" s="20" t="s">
        <v>5040</v>
      </c>
      <c r="D2446" s="20" t="s">
        <v>5039</v>
      </c>
      <c r="E2446" s="20" t="e">
        <f t="array" ref="E2446">INDEX(C:C,SMALL(IF(ISNUMBER(FIND(CELL("contents"),$C$2:$C$4852)),ROW($C$2:$C$4852),4^8),ROW(C2446)))&amp;""</f>
        <v>#N/A</v>
      </c>
    </row>
    <row r="2447" ht="14.100000000000001" customHeight="1">
      <c r="B2447" s="20" t="s">
        <v>5041</v>
      </c>
      <c r="C2447" s="20" t="s">
        <v>5042</v>
      </c>
      <c r="D2447" s="20" t="s">
        <v>5041</v>
      </c>
      <c r="E2447" s="20" t="e">
        <f t="array" ref="E2447">INDEX(C:C,SMALL(IF(ISNUMBER(FIND(CELL("contents"),$C$2:$C$4852)),ROW($C$2:$C$4852),4^8),ROW(C2447)))&amp;""</f>
        <v>#N/A</v>
      </c>
    </row>
    <row r="2448" ht="14.100000000000001" customHeight="1">
      <c r="B2448" s="20" t="s">
        <v>5043</v>
      </c>
      <c r="C2448" s="20" t="s">
        <v>5044</v>
      </c>
      <c r="D2448" s="20" t="s">
        <v>5043</v>
      </c>
      <c r="E2448" s="20" t="e">
        <f t="array" ref="E2448">INDEX(C:C,SMALL(IF(ISNUMBER(FIND(CELL("contents"),$C$2:$C$4852)),ROW($C$2:$C$4852),4^8),ROW(C2448)))&amp;""</f>
        <v>#N/A</v>
      </c>
    </row>
    <row r="2449" ht="14.100000000000001" customHeight="1">
      <c r="B2449" s="20" t="s">
        <v>5045</v>
      </c>
      <c r="C2449" s="20" t="s">
        <v>5046</v>
      </c>
      <c r="D2449" s="20" t="s">
        <v>5045</v>
      </c>
      <c r="E2449" s="20" t="e">
        <f t="array" ref="E2449">INDEX(C:C,SMALL(IF(ISNUMBER(FIND(CELL("contents"),$C$2:$C$4852)),ROW($C$2:$C$4852),4^8),ROW(C2449)))&amp;""</f>
        <v>#N/A</v>
      </c>
    </row>
    <row r="2450" ht="14.100000000000001" customHeight="1">
      <c r="B2450" s="20" t="s">
        <v>5047</v>
      </c>
      <c r="C2450" s="20" t="s">
        <v>5048</v>
      </c>
      <c r="D2450" s="20" t="s">
        <v>5047</v>
      </c>
      <c r="E2450" s="20" t="e">
        <f t="array" ref="E2450">INDEX(C:C,SMALL(IF(ISNUMBER(FIND(CELL("contents"),$C$2:$C$4852)),ROW($C$2:$C$4852),4^8),ROW(C2450)))&amp;""</f>
        <v>#N/A</v>
      </c>
    </row>
    <row r="2451" ht="14.100000000000001" customHeight="1">
      <c r="B2451" s="20" t="s">
        <v>5049</v>
      </c>
      <c r="C2451" s="20" t="s">
        <v>5050</v>
      </c>
      <c r="D2451" s="20" t="s">
        <v>5049</v>
      </c>
      <c r="E2451" s="20" t="e">
        <f t="array" ref="E2451">INDEX(C:C,SMALL(IF(ISNUMBER(FIND(CELL("contents"),$C$2:$C$4852)),ROW($C$2:$C$4852),4^8),ROW(C2451)))&amp;""</f>
        <v>#N/A</v>
      </c>
    </row>
    <row r="2452" ht="14.100000000000001" customHeight="1">
      <c r="B2452" s="20" t="s">
        <v>5051</v>
      </c>
      <c r="C2452" s="20" t="s">
        <v>5052</v>
      </c>
      <c r="D2452" s="20" t="s">
        <v>5051</v>
      </c>
      <c r="E2452" s="20" t="e">
        <f t="array" ref="E2452">INDEX(C:C,SMALL(IF(ISNUMBER(FIND(CELL("contents"),$C$2:$C$4852)),ROW($C$2:$C$4852),4^8),ROW(C2452)))&amp;""</f>
        <v>#N/A</v>
      </c>
    </row>
    <row r="2453" ht="14.100000000000001" customHeight="1">
      <c r="B2453" s="20" t="s">
        <v>5053</v>
      </c>
      <c r="C2453" s="20" t="s">
        <v>5054</v>
      </c>
      <c r="D2453" s="20" t="s">
        <v>5053</v>
      </c>
      <c r="E2453" s="20" t="e">
        <f t="array" ref="E2453">INDEX(C:C,SMALL(IF(ISNUMBER(FIND(CELL("contents"),$C$2:$C$4852)),ROW($C$2:$C$4852),4^8),ROW(C2453)))&amp;""</f>
        <v>#N/A</v>
      </c>
    </row>
    <row r="2454" ht="14.100000000000001" customHeight="1">
      <c r="B2454" s="20" t="s">
        <v>5055</v>
      </c>
      <c r="C2454" s="20" t="s">
        <v>5056</v>
      </c>
      <c r="D2454" s="20" t="s">
        <v>5055</v>
      </c>
      <c r="E2454" s="20" t="e">
        <f t="array" ref="E2454">INDEX(C:C,SMALL(IF(ISNUMBER(FIND(CELL("contents"),$C$2:$C$4852)),ROW($C$2:$C$4852),4^8),ROW(C2454)))&amp;""</f>
        <v>#N/A</v>
      </c>
    </row>
    <row r="2455" ht="14.100000000000001" customHeight="1">
      <c r="B2455" s="20" t="s">
        <v>5057</v>
      </c>
      <c r="C2455" s="20" t="s">
        <v>5058</v>
      </c>
      <c r="D2455" s="20" t="s">
        <v>5057</v>
      </c>
      <c r="E2455" s="20" t="e">
        <f t="array" ref="E2455">INDEX(C:C,SMALL(IF(ISNUMBER(FIND(CELL("contents"),$C$2:$C$4852)),ROW($C$2:$C$4852),4^8),ROW(C2455)))&amp;""</f>
        <v>#N/A</v>
      </c>
    </row>
    <row r="2456" ht="14.100000000000001" customHeight="1">
      <c r="B2456" s="20" t="s">
        <v>5059</v>
      </c>
      <c r="C2456" s="20" t="s">
        <v>5060</v>
      </c>
      <c r="D2456" s="20" t="s">
        <v>5059</v>
      </c>
      <c r="E2456" s="20" t="e">
        <f t="array" ref="E2456">INDEX(C:C,SMALL(IF(ISNUMBER(FIND(CELL("contents"),$C$2:$C$4852)),ROW($C$2:$C$4852),4^8),ROW(C2456)))&amp;""</f>
        <v>#N/A</v>
      </c>
    </row>
    <row r="2457" ht="14.100000000000001" customHeight="1">
      <c r="B2457" s="20" t="s">
        <v>5061</v>
      </c>
      <c r="C2457" s="20" t="s">
        <v>5062</v>
      </c>
      <c r="D2457" s="20" t="s">
        <v>5061</v>
      </c>
      <c r="E2457" s="20" t="e">
        <f t="array" ref="E2457">INDEX(C:C,SMALL(IF(ISNUMBER(FIND(CELL("contents"),$C$2:$C$4852)),ROW($C$2:$C$4852),4^8),ROW(C2457)))&amp;""</f>
        <v>#N/A</v>
      </c>
    </row>
    <row r="2458" ht="14.100000000000001" customHeight="1">
      <c r="B2458" s="20" t="s">
        <v>5063</v>
      </c>
      <c r="C2458" s="20" t="s">
        <v>5064</v>
      </c>
      <c r="D2458" s="20" t="s">
        <v>5063</v>
      </c>
      <c r="E2458" s="20" t="e">
        <f t="array" ref="E2458">INDEX(C:C,SMALL(IF(ISNUMBER(FIND(CELL("contents"),$C$2:$C$4852)),ROW($C$2:$C$4852),4^8),ROW(C2458)))&amp;""</f>
        <v>#N/A</v>
      </c>
    </row>
    <row r="2459" ht="14.100000000000001" customHeight="1">
      <c r="B2459" s="20" t="s">
        <v>5065</v>
      </c>
      <c r="C2459" s="20" t="s">
        <v>5066</v>
      </c>
      <c r="D2459" s="20" t="s">
        <v>5065</v>
      </c>
      <c r="E2459" s="20" t="e">
        <f t="array" ref="E2459">INDEX(C:C,SMALL(IF(ISNUMBER(FIND(CELL("contents"),$C$2:$C$4852)),ROW($C$2:$C$4852),4^8),ROW(C2459)))&amp;""</f>
        <v>#N/A</v>
      </c>
    </row>
    <row r="2460" ht="14.100000000000001" customHeight="1">
      <c r="B2460" s="20" t="s">
        <v>5067</v>
      </c>
      <c r="C2460" s="20" t="s">
        <v>5068</v>
      </c>
      <c r="D2460" s="20" t="s">
        <v>5067</v>
      </c>
      <c r="E2460" s="20" t="e">
        <f t="array" ref="E2460">INDEX(C:C,SMALL(IF(ISNUMBER(FIND(CELL("contents"),$C$2:$C$4852)),ROW($C$2:$C$4852),4^8),ROW(C2460)))&amp;""</f>
        <v>#N/A</v>
      </c>
    </row>
    <row r="2461" ht="14.100000000000001" customHeight="1">
      <c r="B2461" s="20" t="s">
        <v>5069</v>
      </c>
      <c r="C2461" s="20" t="s">
        <v>5070</v>
      </c>
      <c r="D2461" s="20" t="s">
        <v>5069</v>
      </c>
      <c r="E2461" s="20" t="e">
        <f t="array" ref="E2461">INDEX(C:C,SMALL(IF(ISNUMBER(FIND(CELL("contents"),$C$2:$C$4852)),ROW($C$2:$C$4852),4^8),ROW(C2461)))&amp;""</f>
        <v>#N/A</v>
      </c>
    </row>
    <row r="2462" ht="14.100000000000001" customHeight="1">
      <c r="B2462" s="20" t="s">
        <v>5071</v>
      </c>
      <c r="C2462" s="20" t="s">
        <v>5072</v>
      </c>
      <c r="D2462" s="20" t="s">
        <v>5071</v>
      </c>
      <c r="E2462" s="20" t="e">
        <f t="array" ref="E2462">INDEX(C:C,SMALL(IF(ISNUMBER(FIND(CELL("contents"),$C$2:$C$4852)),ROW($C$2:$C$4852),4^8),ROW(C2462)))&amp;""</f>
        <v>#N/A</v>
      </c>
    </row>
    <row r="2463" ht="14.100000000000001" customHeight="1">
      <c r="B2463" s="20" t="s">
        <v>5073</v>
      </c>
      <c r="C2463" s="20" t="s">
        <v>5074</v>
      </c>
      <c r="D2463" s="20" t="s">
        <v>5073</v>
      </c>
      <c r="E2463" s="20" t="e">
        <f t="array" ref="E2463">INDEX(C:C,SMALL(IF(ISNUMBER(FIND(CELL("contents"),$C$2:$C$4852)),ROW($C$2:$C$4852),4^8),ROW(C2463)))&amp;""</f>
        <v>#N/A</v>
      </c>
    </row>
    <row r="2464" ht="14.100000000000001" customHeight="1">
      <c r="B2464" s="20" t="s">
        <v>5075</v>
      </c>
      <c r="C2464" s="20" t="s">
        <v>5076</v>
      </c>
      <c r="D2464" s="20" t="s">
        <v>5075</v>
      </c>
      <c r="E2464" s="20" t="e">
        <f t="array" ref="E2464">INDEX(C:C,SMALL(IF(ISNUMBER(FIND(CELL("contents"),$C$2:$C$4852)),ROW($C$2:$C$4852),4^8),ROW(C2464)))&amp;""</f>
        <v>#N/A</v>
      </c>
    </row>
    <row r="2465" ht="14.100000000000001" customHeight="1">
      <c r="B2465" s="20" t="s">
        <v>5077</v>
      </c>
      <c r="C2465" s="20" t="s">
        <v>5078</v>
      </c>
      <c r="D2465" s="20" t="s">
        <v>5077</v>
      </c>
      <c r="E2465" s="20" t="e">
        <f t="array" ref="E2465">INDEX(C:C,SMALL(IF(ISNUMBER(FIND(CELL("contents"),$C$2:$C$4852)),ROW($C$2:$C$4852),4^8),ROW(C2465)))&amp;""</f>
        <v>#N/A</v>
      </c>
    </row>
    <row r="2466" ht="14.100000000000001" customHeight="1">
      <c r="B2466" s="20" t="s">
        <v>5079</v>
      </c>
      <c r="C2466" s="20" t="s">
        <v>5080</v>
      </c>
      <c r="D2466" s="20" t="s">
        <v>5079</v>
      </c>
      <c r="E2466" s="20" t="e">
        <f t="array" ref="E2466">INDEX(C:C,SMALL(IF(ISNUMBER(FIND(CELL("contents"),$C$2:$C$4852)),ROW($C$2:$C$4852),4^8),ROW(C2466)))&amp;""</f>
        <v>#N/A</v>
      </c>
    </row>
    <row r="2467" ht="14.100000000000001" customHeight="1">
      <c r="B2467" s="20" t="s">
        <v>5081</v>
      </c>
      <c r="C2467" s="20" t="s">
        <v>5082</v>
      </c>
      <c r="D2467" s="20" t="s">
        <v>5081</v>
      </c>
      <c r="E2467" s="20" t="e">
        <f t="array" ref="E2467">INDEX(C:C,SMALL(IF(ISNUMBER(FIND(CELL("contents"),$C$2:$C$4852)),ROW($C$2:$C$4852),4^8),ROW(C2467)))&amp;""</f>
        <v>#N/A</v>
      </c>
    </row>
    <row r="2468" ht="14.100000000000001" customHeight="1">
      <c r="B2468" s="20" t="s">
        <v>5083</v>
      </c>
      <c r="C2468" s="20" t="s">
        <v>5084</v>
      </c>
      <c r="D2468" s="20" t="s">
        <v>5083</v>
      </c>
      <c r="E2468" s="20" t="e">
        <f t="array" ref="E2468">INDEX(C:C,SMALL(IF(ISNUMBER(FIND(CELL("contents"),$C$2:$C$4852)),ROW($C$2:$C$4852),4^8),ROW(C2468)))&amp;""</f>
        <v>#N/A</v>
      </c>
    </row>
    <row r="2469" ht="14.100000000000001" customHeight="1">
      <c r="B2469" s="20" t="s">
        <v>5085</v>
      </c>
      <c r="C2469" s="20" t="s">
        <v>5086</v>
      </c>
      <c r="D2469" s="20" t="s">
        <v>5085</v>
      </c>
      <c r="E2469" s="20" t="e">
        <f t="array" ref="E2469">INDEX(C:C,SMALL(IF(ISNUMBER(FIND(CELL("contents"),$C$2:$C$4852)),ROW($C$2:$C$4852),4^8),ROW(C2469)))&amp;""</f>
        <v>#N/A</v>
      </c>
    </row>
    <row r="2470" ht="14.100000000000001" customHeight="1">
      <c r="B2470" s="20" t="s">
        <v>5087</v>
      </c>
      <c r="C2470" s="20" t="s">
        <v>5088</v>
      </c>
      <c r="D2470" s="20" t="s">
        <v>5087</v>
      </c>
      <c r="E2470" s="20" t="e">
        <f t="array" ref="E2470">INDEX(C:C,SMALL(IF(ISNUMBER(FIND(CELL("contents"),$C$2:$C$4852)),ROW($C$2:$C$4852),4^8),ROW(C2470)))&amp;""</f>
        <v>#N/A</v>
      </c>
    </row>
    <row r="2471" ht="14.100000000000001" customHeight="1">
      <c r="B2471" s="20" t="s">
        <v>5089</v>
      </c>
      <c r="C2471" s="20" t="s">
        <v>5090</v>
      </c>
      <c r="D2471" s="20" t="s">
        <v>5089</v>
      </c>
      <c r="E2471" s="20" t="e">
        <f t="array" ref="E2471">INDEX(C:C,SMALL(IF(ISNUMBER(FIND(CELL("contents"),$C$2:$C$4852)),ROW($C$2:$C$4852),4^8),ROW(C2471)))&amp;""</f>
        <v>#N/A</v>
      </c>
    </row>
    <row r="2472" ht="14.100000000000001" customHeight="1">
      <c r="B2472" s="20" t="s">
        <v>5091</v>
      </c>
      <c r="C2472" s="20" t="s">
        <v>5092</v>
      </c>
      <c r="D2472" s="20" t="s">
        <v>5091</v>
      </c>
      <c r="E2472" s="20" t="e">
        <f t="array" ref="E2472">INDEX(C:C,SMALL(IF(ISNUMBER(FIND(CELL("contents"),$C$2:$C$4852)),ROW($C$2:$C$4852),4^8),ROW(C2472)))&amp;""</f>
        <v>#N/A</v>
      </c>
    </row>
    <row r="2473" ht="14.100000000000001" customHeight="1">
      <c r="B2473" s="20" t="s">
        <v>5093</v>
      </c>
      <c r="C2473" s="20" t="s">
        <v>5094</v>
      </c>
      <c r="D2473" s="20" t="s">
        <v>5093</v>
      </c>
      <c r="E2473" s="20" t="e">
        <f t="array" ref="E2473">INDEX(C:C,SMALL(IF(ISNUMBER(FIND(CELL("contents"),$C$2:$C$4852)),ROW($C$2:$C$4852),4^8),ROW(C2473)))&amp;""</f>
        <v>#N/A</v>
      </c>
    </row>
    <row r="2474" ht="14.100000000000001" customHeight="1">
      <c r="B2474" s="20" t="s">
        <v>5095</v>
      </c>
      <c r="C2474" s="20" t="s">
        <v>5096</v>
      </c>
      <c r="D2474" s="20" t="s">
        <v>5095</v>
      </c>
      <c r="E2474" s="20" t="e">
        <f t="array" ref="E2474">INDEX(C:C,SMALL(IF(ISNUMBER(FIND(CELL("contents"),$C$2:$C$4852)),ROW($C$2:$C$4852),4^8),ROW(C2474)))&amp;""</f>
        <v>#N/A</v>
      </c>
    </row>
    <row r="2475" ht="14.100000000000001" customHeight="1">
      <c r="B2475" s="20" t="s">
        <v>5097</v>
      </c>
      <c r="C2475" s="20" t="s">
        <v>5098</v>
      </c>
      <c r="D2475" s="20" t="s">
        <v>5097</v>
      </c>
      <c r="E2475" s="20" t="e">
        <f t="array" ref="E2475">INDEX(C:C,SMALL(IF(ISNUMBER(FIND(CELL("contents"),$C$2:$C$4852)),ROW($C$2:$C$4852),4^8),ROW(C2475)))&amp;""</f>
        <v>#N/A</v>
      </c>
    </row>
    <row r="2476" ht="14.100000000000001" customHeight="1">
      <c r="B2476" s="20" t="s">
        <v>5099</v>
      </c>
      <c r="C2476" s="20" t="s">
        <v>5100</v>
      </c>
      <c r="D2476" s="20" t="s">
        <v>5099</v>
      </c>
      <c r="E2476" s="20" t="e">
        <f t="array" ref="E2476">INDEX(C:C,SMALL(IF(ISNUMBER(FIND(CELL("contents"),$C$2:$C$4852)),ROW($C$2:$C$4852),4^8),ROW(C2476)))&amp;""</f>
        <v>#N/A</v>
      </c>
    </row>
    <row r="2477" ht="14.100000000000001" customHeight="1">
      <c r="B2477" s="20" t="s">
        <v>5101</v>
      </c>
      <c r="C2477" s="20" t="s">
        <v>5102</v>
      </c>
      <c r="D2477" s="20" t="s">
        <v>5101</v>
      </c>
      <c r="E2477" s="20" t="e">
        <f t="array" ref="E2477">INDEX(C:C,SMALL(IF(ISNUMBER(FIND(CELL("contents"),$C$2:$C$4852)),ROW($C$2:$C$4852),4^8),ROW(C2477)))&amp;""</f>
        <v>#N/A</v>
      </c>
    </row>
    <row r="2478" ht="14.100000000000001" customHeight="1">
      <c r="B2478" s="20" t="s">
        <v>5103</v>
      </c>
      <c r="C2478" s="20" t="s">
        <v>5104</v>
      </c>
      <c r="D2478" s="20" t="s">
        <v>5103</v>
      </c>
      <c r="E2478" s="20" t="e">
        <f t="array" ref="E2478">INDEX(C:C,SMALL(IF(ISNUMBER(FIND(CELL("contents"),$C$2:$C$4852)),ROW($C$2:$C$4852),4^8),ROW(C2478)))&amp;""</f>
        <v>#N/A</v>
      </c>
    </row>
    <row r="2479" ht="14.100000000000001" customHeight="1">
      <c r="B2479" s="20" t="s">
        <v>5105</v>
      </c>
      <c r="C2479" s="20" t="s">
        <v>5106</v>
      </c>
      <c r="D2479" s="20" t="s">
        <v>5105</v>
      </c>
      <c r="E2479" s="20" t="e">
        <f t="array" ref="E2479">INDEX(C:C,SMALL(IF(ISNUMBER(FIND(CELL("contents"),$C$2:$C$4852)),ROW($C$2:$C$4852),4^8),ROW(C2479)))&amp;""</f>
        <v>#N/A</v>
      </c>
    </row>
    <row r="2480" ht="14.100000000000001" customHeight="1">
      <c r="B2480" s="20" t="s">
        <v>5107</v>
      </c>
      <c r="C2480" s="20" t="s">
        <v>5108</v>
      </c>
      <c r="D2480" s="20" t="s">
        <v>5107</v>
      </c>
      <c r="E2480" s="20" t="e">
        <f t="array" ref="E2480">INDEX(C:C,SMALL(IF(ISNUMBER(FIND(CELL("contents"),$C$2:$C$4852)),ROW($C$2:$C$4852),4^8),ROW(C2480)))&amp;""</f>
        <v>#N/A</v>
      </c>
    </row>
    <row r="2481" ht="14.100000000000001" customHeight="1">
      <c r="B2481" s="20" t="s">
        <v>5109</v>
      </c>
      <c r="C2481" s="20" t="s">
        <v>5110</v>
      </c>
      <c r="D2481" s="20" t="s">
        <v>5109</v>
      </c>
      <c r="E2481" s="20" t="e">
        <f t="array" ref="E2481">INDEX(C:C,SMALL(IF(ISNUMBER(FIND(CELL("contents"),$C$2:$C$4852)),ROW($C$2:$C$4852),4^8),ROW(C2481)))&amp;""</f>
        <v>#N/A</v>
      </c>
    </row>
    <row r="2482" ht="14.100000000000001" customHeight="1">
      <c r="B2482" s="20" t="s">
        <v>5111</v>
      </c>
      <c r="C2482" s="20" t="s">
        <v>5112</v>
      </c>
      <c r="D2482" s="20" t="s">
        <v>5111</v>
      </c>
      <c r="E2482" s="20" t="e">
        <f t="array" ref="E2482">INDEX(C:C,SMALL(IF(ISNUMBER(FIND(CELL("contents"),$C$2:$C$4852)),ROW($C$2:$C$4852),4^8),ROW(C2482)))&amp;""</f>
        <v>#N/A</v>
      </c>
    </row>
    <row r="2483" ht="14.100000000000001" customHeight="1">
      <c r="B2483" s="20" t="s">
        <v>5113</v>
      </c>
      <c r="C2483" s="20" t="s">
        <v>5114</v>
      </c>
      <c r="D2483" s="20" t="s">
        <v>5113</v>
      </c>
      <c r="E2483" s="20" t="e">
        <f t="array" ref="E2483">INDEX(C:C,SMALL(IF(ISNUMBER(FIND(CELL("contents"),$C$2:$C$4852)),ROW($C$2:$C$4852),4^8),ROW(C2483)))&amp;""</f>
        <v>#N/A</v>
      </c>
    </row>
    <row r="2484" ht="14.100000000000001" customHeight="1">
      <c r="B2484" s="20" t="s">
        <v>5115</v>
      </c>
      <c r="C2484" s="20" t="s">
        <v>5116</v>
      </c>
      <c r="D2484" s="20" t="s">
        <v>5115</v>
      </c>
      <c r="E2484" s="20" t="e">
        <f t="array" ref="E2484">INDEX(C:C,SMALL(IF(ISNUMBER(FIND(CELL("contents"),$C$2:$C$4852)),ROW($C$2:$C$4852),4^8),ROW(C2484)))&amp;""</f>
        <v>#N/A</v>
      </c>
    </row>
    <row r="2485" ht="14.100000000000001" customHeight="1">
      <c r="B2485" s="20" t="s">
        <v>5117</v>
      </c>
      <c r="C2485" s="20" t="s">
        <v>5118</v>
      </c>
      <c r="D2485" s="20" t="s">
        <v>5117</v>
      </c>
      <c r="E2485" s="20" t="e">
        <f t="array" ref="E2485">INDEX(C:C,SMALL(IF(ISNUMBER(FIND(CELL("contents"),$C$2:$C$4852)),ROW($C$2:$C$4852),4^8),ROW(C2485)))&amp;""</f>
        <v>#N/A</v>
      </c>
    </row>
    <row r="2486" ht="14.100000000000001" customHeight="1">
      <c r="B2486" s="20" t="s">
        <v>5119</v>
      </c>
      <c r="C2486" s="20" t="s">
        <v>5120</v>
      </c>
      <c r="D2486" s="20" t="s">
        <v>5119</v>
      </c>
      <c r="E2486" s="20" t="e">
        <f t="array" ref="E2486">INDEX(C:C,SMALL(IF(ISNUMBER(FIND(CELL("contents"),$C$2:$C$4852)),ROW($C$2:$C$4852),4^8),ROW(C2486)))&amp;""</f>
        <v>#N/A</v>
      </c>
    </row>
    <row r="2487" ht="14.100000000000001" customHeight="1">
      <c r="B2487" s="20" t="s">
        <v>5121</v>
      </c>
      <c r="C2487" s="20" t="s">
        <v>5122</v>
      </c>
      <c r="D2487" s="20" t="s">
        <v>5121</v>
      </c>
      <c r="E2487" s="20" t="e">
        <f t="array" ref="E2487">INDEX(C:C,SMALL(IF(ISNUMBER(FIND(CELL("contents"),$C$2:$C$4852)),ROW($C$2:$C$4852),4^8),ROW(C2487)))&amp;""</f>
        <v>#N/A</v>
      </c>
    </row>
    <row r="2488" ht="14.100000000000001" customHeight="1">
      <c r="B2488" s="20" t="s">
        <v>5123</v>
      </c>
      <c r="C2488" s="20" t="s">
        <v>5124</v>
      </c>
      <c r="D2488" s="20" t="s">
        <v>5123</v>
      </c>
      <c r="E2488" s="20" t="e">
        <f t="array" ref="E2488">INDEX(C:C,SMALL(IF(ISNUMBER(FIND(CELL("contents"),$C$2:$C$4852)),ROW($C$2:$C$4852),4^8),ROW(C2488)))&amp;""</f>
        <v>#N/A</v>
      </c>
    </row>
    <row r="2489" ht="14.100000000000001" customHeight="1">
      <c r="B2489" s="20" t="s">
        <v>5125</v>
      </c>
      <c r="C2489" s="20" t="s">
        <v>5126</v>
      </c>
      <c r="D2489" s="20" t="s">
        <v>5125</v>
      </c>
      <c r="E2489" s="20" t="e">
        <f t="array" ref="E2489">INDEX(C:C,SMALL(IF(ISNUMBER(FIND(CELL("contents"),$C$2:$C$4852)),ROW($C$2:$C$4852),4^8),ROW(C2489)))&amp;""</f>
        <v>#N/A</v>
      </c>
    </row>
    <row r="2490" ht="14.100000000000001" customHeight="1">
      <c r="B2490" s="20" t="s">
        <v>5127</v>
      </c>
      <c r="C2490" s="20" t="s">
        <v>5128</v>
      </c>
      <c r="D2490" s="20" t="s">
        <v>5127</v>
      </c>
      <c r="E2490" s="20" t="e">
        <f t="array" ref="E2490">INDEX(C:C,SMALL(IF(ISNUMBER(FIND(CELL("contents"),$C$2:$C$4852)),ROW($C$2:$C$4852),4^8),ROW(C2490)))&amp;""</f>
        <v>#N/A</v>
      </c>
    </row>
    <row r="2491" ht="14.100000000000001" customHeight="1">
      <c r="B2491" s="20" t="s">
        <v>5129</v>
      </c>
      <c r="C2491" s="20" t="s">
        <v>5130</v>
      </c>
      <c r="D2491" s="20" t="s">
        <v>5129</v>
      </c>
      <c r="E2491" s="20" t="e">
        <f t="array" ref="E2491">INDEX(C:C,SMALL(IF(ISNUMBER(FIND(CELL("contents"),$C$2:$C$4852)),ROW($C$2:$C$4852),4^8),ROW(C2491)))&amp;""</f>
        <v>#N/A</v>
      </c>
    </row>
    <row r="2492" ht="14.100000000000001" customHeight="1">
      <c r="B2492" s="20" t="s">
        <v>5131</v>
      </c>
      <c r="C2492" s="20" t="s">
        <v>5132</v>
      </c>
      <c r="D2492" s="20" t="s">
        <v>5131</v>
      </c>
      <c r="E2492" s="20" t="e">
        <f t="array" ref="E2492">INDEX(C:C,SMALL(IF(ISNUMBER(FIND(CELL("contents"),$C$2:$C$4852)),ROW($C$2:$C$4852),4^8),ROW(C2492)))&amp;""</f>
        <v>#N/A</v>
      </c>
    </row>
    <row r="2493" ht="14.100000000000001" customHeight="1">
      <c r="B2493" s="20" t="s">
        <v>5133</v>
      </c>
      <c r="C2493" s="20" t="s">
        <v>5134</v>
      </c>
      <c r="D2493" s="20" t="s">
        <v>5133</v>
      </c>
      <c r="E2493" s="20" t="e">
        <f t="array" ref="E2493">INDEX(C:C,SMALL(IF(ISNUMBER(FIND(CELL("contents"),$C$2:$C$4852)),ROW($C$2:$C$4852),4^8),ROW(C2493)))&amp;""</f>
        <v>#N/A</v>
      </c>
    </row>
    <row r="2494" ht="14.100000000000001" customHeight="1">
      <c r="B2494" s="20" t="s">
        <v>5135</v>
      </c>
      <c r="C2494" s="20" t="s">
        <v>5136</v>
      </c>
      <c r="D2494" s="20" t="s">
        <v>5135</v>
      </c>
      <c r="E2494" s="20" t="e">
        <f t="array" ref="E2494">INDEX(C:C,SMALL(IF(ISNUMBER(FIND(CELL("contents"),$C$2:$C$4852)),ROW($C$2:$C$4852),4^8),ROW(C2494)))&amp;""</f>
        <v>#N/A</v>
      </c>
    </row>
    <row r="2495" ht="14.100000000000001" customHeight="1">
      <c r="B2495" s="20" t="s">
        <v>5137</v>
      </c>
      <c r="C2495" s="20" t="s">
        <v>5138</v>
      </c>
      <c r="D2495" s="20" t="s">
        <v>5137</v>
      </c>
      <c r="E2495" s="20" t="e">
        <f t="array" ref="E2495">INDEX(C:C,SMALL(IF(ISNUMBER(FIND(CELL("contents"),$C$2:$C$4852)),ROW($C$2:$C$4852),4^8),ROW(C2495)))&amp;""</f>
        <v>#N/A</v>
      </c>
    </row>
    <row r="2496" ht="14.100000000000001" customHeight="1">
      <c r="B2496" s="20" t="s">
        <v>5139</v>
      </c>
      <c r="C2496" s="20" t="s">
        <v>5140</v>
      </c>
      <c r="D2496" s="20" t="s">
        <v>5139</v>
      </c>
      <c r="E2496" s="20" t="e">
        <f t="array" ref="E2496">INDEX(C:C,SMALL(IF(ISNUMBER(FIND(CELL("contents"),$C$2:$C$4852)),ROW($C$2:$C$4852),4^8),ROW(C2496)))&amp;""</f>
        <v>#N/A</v>
      </c>
    </row>
    <row r="2497" ht="14.100000000000001" customHeight="1">
      <c r="B2497" s="20" t="s">
        <v>5141</v>
      </c>
      <c r="C2497" s="20" t="s">
        <v>5142</v>
      </c>
      <c r="D2497" s="20" t="s">
        <v>5141</v>
      </c>
      <c r="E2497" s="20" t="e">
        <f t="array" ref="E2497">INDEX(C:C,SMALL(IF(ISNUMBER(FIND(CELL("contents"),$C$2:$C$4852)),ROW($C$2:$C$4852),4^8),ROW(C2497)))&amp;""</f>
        <v>#N/A</v>
      </c>
    </row>
    <row r="2498" ht="14.100000000000001" customHeight="1">
      <c r="B2498" s="20" t="s">
        <v>5143</v>
      </c>
      <c r="C2498" s="20" t="s">
        <v>5144</v>
      </c>
      <c r="D2498" s="20" t="s">
        <v>5143</v>
      </c>
      <c r="E2498" s="20" t="e">
        <f t="array" ref="E2498">INDEX(C:C,SMALL(IF(ISNUMBER(FIND(CELL("contents"),$C$2:$C$4852)),ROW($C$2:$C$4852),4^8),ROW(C2498)))&amp;""</f>
        <v>#N/A</v>
      </c>
    </row>
    <row r="2499" ht="14.100000000000001" customHeight="1">
      <c r="B2499" s="20" t="s">
        <v>5145</v>
      </c>
      <c r="C2499" s="20" t="s">
        <v>5146</v>
      </c>
      <c r="D2499" s="20" t="s">
        <v>5145</v>
      </c>
      <c r="E2499" s="20" t="e">
        <f t="array" ref="E2499">INDEX(C:C,SMALL(IF(ISNUMBER(FIND(CELL("contents"),$C$2:$C$4852)),ROW($C$2:$C$4852),4^8),ROW(C2499)))&amp;""</f>
        <v>#N/A</v>
      </c>
    </row>
    <row r="2500" ht="14.100000000000001" customHeight="1">
      <c r="B2500" s="20" t="s">
        <v>5147</v>
      </c>
      <c r="C2500" s="20" t="s">
        <v>5148</v>
      </c>
      <c r="D2500" s="20" t="s">
        <v>5147</v>
      </c>
      <c r="E2500" s="20" t="e">
        <f t="array" ref="E2500">INDEX(C:C,SMALL(IF(ISNUMBER(FIND(CELL("contents"),$C$2:$C$4852)),ROW($C$2:$C$4852),4^8),ROW(C2500)))&amp;""</f>
        <v>#N/A</v>
      </c>
    </row>
    <row r="2501" ht="14.100000000000001" customHeight="1">
      <c r="B2501" s="20" t="s">
        <v>5149</v>
      </c>
      <c r="C2501" s="20" t="s">
        <v>5150</v>
      </c>
      <c r="D2501" s="20" t="s">
        <v>5149</v>
      </c>
      <c r="E2501" s="20" t="e">
        <f t="array" ref="E2501">INDEX(C:C,SMALL(IF(ISNUMBER(FIND(CELL("contents"),$C$2:$C$4852)),ROW($C$2:$C$4852),4^8),ROW(C2501)))&amp;""</f>
        <v>#N/A</v>
      </c>
    </row>
    <row r="2502" ht="14.100000000000001" customHeight="1">
      <c r="B2502" s="20" t="s">
        <v>5151</v>
      </c>
      <c r="C2502" s="20" t="s">
        <v>5152</v>
      </c>
      <c r="D2502" s="20" t="s">
        <v>5151</v>
      </c>
      <c r="E2502" s="20" t="e">
        <f t="array" ref="E2502">INDEX(C:C,SMALL(IF(ISNUMBER(FIND(CELL("contents"),$C$2:$C$4852)),ROW($C$2:$C$4852),4^8),ROW(C2502)))&amp;""</f>
        <v>#N/A</v>
      </c>
    </row>
    <row r="2503" ht="14.100000000000001" customHeight="1">
      <c r="B2503" s="20" t="s">
        <v>5153</v>
      </c>
      <c r="C2503" s="20" t="s">
        <v>5154</v>
      </c>
      <c r="D2503" s="20" t="s">
        <v>5153</v>
      </c>
      <c r="E2503" s="20" t="e">
        <f t="array" ref="E2503">INDEX(C:C,SMALL(IF(ISNUMBER(FIND(CELL("contents"),$C$2:$C$4852)),ROW($C$2:$C$4852),4^8),ROW(C2503)))&amp;""</f>
        <v>#N/A</v>
      </c>
    </row>
    <row r="2504" ht="14.100000000000001" customHeight="1">
      <c r="B2504" s="20" t="s">
        <v>5155</v>
      </c>
      <c r="C2504" s="20" t="s">
        <v>5156</v>
      </c>
      <c r="D2504" s="20" t="s">
        <v>5155</v>
      </c>
      <c r="E2504" s="20" t="e">
        <f t="array" ref="E2504">INDEX(C:C,SMALL(IF(ISNUMBER(FIND(CELL("contents"),$C$2:$C$4852)),ROW($C$2:$C$4852),4^8),ROW(C2504)))&amp;""</f>
        <v>#N/A</v>
      </c>
    </row>
    <row r="2505" ht="14.100000000000001" customHeight="1">
      <c r="B2505" s="20" t="s">
        <v>5157</v>
      </c>
      <c r="C2505" s="20" t="s">
        <v>5158</v>
      </c>
      <c r="D2505" s="20" t="s">
        <v>5157</v>
      </c>
      <c r="E2505" s="20" t="e">
        <f t="array" ref="E2505">INDEX(C:C,SMALL(IF(ISNUMBER(FIND(CELL("contents"),$C$2:$C$4852)),ROW($C$2:$C$4852),4^8),ROW(C2505)))&amp;""</f>
        <v>#N/A</v>
      </c>
    </row>
    <row r="2506" ht="14.100000000000001" customHeight="1">
      <c r="B2506" s="20" t="s">
        <v>5159</v>
      </c>
      <c r="C2506" s="20" t="s">
        <v>5160</v>
      </c>
      <c r="D2506" s="20" t="s">
        <v>5159</v>
      </c>
      <c r="E2506" s="20" t="e">
        <f t="array" ref="E2506">INDEX(C:C,SMALL(IF(ISNUMBER(FIND(CELL("contents"),$C$2:$C$4852)),ROW($C$2:$C$4852),4^8),ROW(C2506)))&amp;""</f>
        <v>#N/A</v>
      </c>
    </row>
    <row r="2507" ht="14.100000000000001" customHeight="1">
      <c r="B2507" s="20" t="s">
        <v>5161</v>
      </c>
      <c r="C2507" s="20" t="s">
        <v>5162</v>
      </c>
      <c r="D2507" s="20" t="s">
        <v>5161</v>
      </c>
      <c r="E2507" s="20" t="e">
        <f t="array" ref="E2507">INDEX(C:C,SMALL(IF(ISNUMBER(FIND(CELL("contents"),$C$2:$C$4852)),ROW($C$2:$C$4852),4^8),ROW(C2507)))&amp;""</f>
        <v>#N/A</v>
      </c>
    </row>
    <row r="2508" ht="14.100000000000001" customHeight="1">
      <c r="B2508" s="20" t="s">
        <v>5163</v>
      </c>
      <c r="C2508" s="20" t="s">
        <v>5164</v>
      </c>
      <c r="D2508" s="20" t="s">
        <v>5163</v>
      </c>
      <c r="E2508" s="20" t="e">
        <f t="array" ref="E2508">INDEX(C:C,SMALL(IF(ISNUMBER(FIND(CELL("contents"),$C$2:$C$4852)),ROW($C$2:$C$4852),4^8),ROW(C2508)))&amp;""</f>
        <v>#N/A</v>
      </c>
    </row>
    <row r="2509" ht="14.100000000000001" customHeight="1">
      <c r="B2509" s="20" t="s">
        <v>5165</v>
      </c>
      <c r="C2509" s="20" t="s">
        <v>5166</v>
      </c>
      <c r="D2509" s="20" t="s">
        <v>5165</v>
      </c>
      <c r="E2509" s="20" t="e">
        <f t="array" ref="E2509">INDEX(C:C,SMALL(IF(ISNUMBER(FIND(CELL("contents"),$C$2:$C$4852)),ROW($C$2:$C$4852),4^8),ROW(C2509)))&amp;""</f>
        <v>#N/A</v>
      </c>
    </row>
    <row r="2510" ht="14.100000000000001" customHeight="1">
      <c r="B2510" s="20" t="s">
        <v>5167</v>
      </c>
      <c r="C2510" s="20" t="s">
        <v>5168</v>
      </c>
      <c r="D2510" s="20" t="s">
        <v>5167</v>
      </c>
      <c r="E2510" s="20" t="e">
        <f t="array" ref="E2510">INDEX(C:C,SMALL(IF(ISNUMBER(FIND(CELL("contents"),$C$2:$C$4852)),ROW($C$2:$C$4852),4^8),ROW(C2510)))&amp;""</f>
        <v>#N/A</v>
      </c>
    </row>
    <row r="2511" ht="14.100000000000001" customHeight="1">
      <c r="B2511" s="20" t="s">
        <v>5169</v>
      </c>
      <c r="C2511" s="20" t="s">
        <v>5170</v>
      </c>
      <c r="D2511" s="20" t="s">
        <v>5169</v>
      </c>
      <c r="E2511" s="20" t="e">
        <f t="array" ref="E2511">INDEX(C:C,SMALL(IF(ISNUMBER(FIND(CELL("contents"),$C$2:$C$4852)),ROW($C$2:$C$4852),4^8),ROW(C2511)))&amp;""</f>
        <v>#N/A</v>
      </c>
    </row>
    <row r="2512" ht="14.100000000000001" customHeight="1">
      <c r="B2512" s="20" t="s">
        <v>5171</v>
      </c>
      <c r="C2512" s="20" t="s">
        <v>5172</v>
      </c>
      <c r="D2512" s="20" t="s">
        <v>5171</v>
      </c>
      <c r="E2512" s="20" t="e">
        <f t="array" ref="E2512">INDEX(C:C,SMALL(IF(ISNUMBER(FIND(CELL("contents"),$C$2:$C$4852)),ROW($C$2:$C$4852),4^8),ROW(C2512)))&amp;""</f>
        <v>#N/A</v>
      </c>
    </row>
    <row r="2513" ht="14.100000000000001" customHeight="1">
      <c r="B2513" s="20" t="s">
        <v>5173</v>
      </c>
      <c r="C2513" s="20" t="s">
        <v>5174</v>
      </c>
      <c r="D2513" s="20" t="s">
        <v>5173</v>
      </c>
      <c r="E2513" s="20" t="e">
        <f t="array" ref="E2513">INDEX(C:C,SMALL(IF(ISNUMBER(FIND(CELL("contents"),$C$2:$C$4852)),ROW($C$2:$C$4852),4^8),ROW(C2513)))&amp;""</f>
        <v>#N/A</v>
      </c>
    </row>
    <row r="2514" ht="14.100000000000001" customHeight="1">
      <c r="B2514" s="20" t="s">
        <v>5175</v>
      </c>
      <c r="C2514" s="20" t="s">
        <v>5176</v>
      </c>
      <c r="D2514" s="20" t="s">
        <v>5175</v>
      </c>
      <c r="E2514" s="20" t="e">
        <f t="array" ref="E2514">INDEX(C:C,SMALL(IF(ISNUMBER(FIND(CELL("contents"),$C$2:$C$4852)),ROW($C$2:$C$4852),4^8),ROW(C2514)))&amp;""</f>
        <v>#N/A</v>
      </c>
    </row>
    <row r="2515" ht="14.100000000000001" customHeight="1">
      <c r="B2515" s="20" t="s">
        <v>5177</v>
      </c>
      <c r="C2515" s="20" t="s">
        <v>5178</v>
      </c>
      <c r="D2515" s="20" t="s">
        <v>5177</v>
      </c>
      <c r="E2515" s="20" t="e">
        <f t="array" ref="E2515">INDEX(C:C,SMALL(IF(ISNUMBER(FIND(CELL("contents"),$C$2:$C$4852)),ROW($C$2:$C$4852),4^8),ROW(C2515)))&amp;""</f>
        <v>#N/A</v>
      </c>
    </row>
    <row r="2516" ht="14.100000000000001" customHeight="1">
      <c r="B2516" s="20" t="s">
        <v>5179</v>
      </c>
      <c r="C2516" s="20" t="s">
        <v>5180</v>
      </c>
      <c r="D2516" s="20" t="s">
        <v>5179</v>
      </c>
      <c r="E2516" s="20" t="e">
        <f t="array" ref="E2516">INDEX(C:C,SMALL(IF(ISNUMBER(FIND(CELL("contents"),$C$2:$C$4852)),ROW($C$2:$C$4852),4^8),ROW(C2516)))&amp;""</f>
        <v>#N/A</v>
      </c>
    </row>
    <row r="2517" ht="14.100000000000001" customHeight="1">
      <c r="B2517" s="20" t="s">
        <v>5181</v>
      </c>
      <c r="C2517" s="20" t="s">
        <v>5182</v>
      </c>
      <c r="D2517" s="20" t="s">
        <v>5181</v>
      </c>
      <c r="E2517" s="20" t="e">
        <f t="array" ref="E2517">INDEX(C:C,SMALL(IF(ISNUMBER(FIND(CELL("contents"),$C$2:$C$4852)),ROW($C$2:$C$4852),4^8),ROW(C2517)))&amp;""</f>
        <v>#N/A</v>
      </c>
    </row>
    <row r="2518" ht="14.100000000000001" customHeight="1">
      <c r="B2518" s="20" t="s">
        <v>5183</v>
      </c>
      <c r="C2518" s="20" t="s">
        <v>5184</v>
      </c>
      <c r="D2518" s="20" t="s">
        <v>5183</v>
      </c>
      <c r="E2518" s="20" t="e">
        <f t="array" ref="E2518">INDEX(C:C,SMALL(IF(ISNUMBER(FIND(CELL("contents"),$C$2:$C$4852)),ROW($C$2:$C$4852),4^8),ROW(C2518)))&amp;""</f>
        <v>#N/A</v>
      </c>
    </row>
    <row r="2519" ht="14.100000000000001" customHeight="1">
      <c r="B2519" s="20" t="s">
        <v>5185</v>
      </c>
      <c r="C2519" s="20" t="s">
        <v>5186</v>
      </c>
      <c r="D2519" s="20" t="s">
        <v>5185</v>
      </c>
      <c r="E2519" s="20" t="e">
        <f t="array" ref="E2519">INDEX(C:C,SMALL(IF(ISNUMBER(FIND(CELL("contents"),$C$2:$C$4852)),ROW($C$2:$C$4852),4^8),ROW(C2519)))&amp;""</f>
        <v>#N/A</v>
      </c>
    </row>
    <row r="2520" ht="14.100000000000001" customHeight="1">
      <c r="B2520" s="20" t="s">
        <v>5187</v>
      </c>
      <c r="C2520" s="20" t="s">
        <v>5188</v>
      </c>
      <c r="D2520" s="20" t="s">
        <v>5187</v>
      </c>
      <c r="E2520" s="20" t="e">
        <f t="array" ref="E2520">INDEX(C:C,SMALL(IF(ISNUMBER(FIND(CELL("contents"),$C$2:$C$4852)),ROW($C$2:$C$4852),4^8),ROW(C2520)))&amp;""</f>
        <v>#N/A</v>
      </c>
    </row>
    <row r="2521" ht="14.100000000000001" customHeight="1">
      <c r="B2521" s="20" t="s">
        <v>5189</v>
      </c>
      <c r="C2521" s="20" t="s">
        <v>5190</v>
      </c>
      <c r="D2521" s="20" t="s">
        <v>5189</v>
      </c>
      <c r="E2521" s="20" t="e">
        <f t="array" ref="E2521">INDEX(C:C,SMALL(IF(ISNUMBER(FIND(CELL("contents"),$C$2:$C$4852)),ROW($C$2:$C$4852),4^8),ROW(C2521)))&amp;""</f>
        <v>#N/A</v>
      </c>
    </row>
    <row r="2522" ht="14.100000000000001" customHeight="1">
      <c r="B2522" s="20" t="s">
        <v>5191</v>
      </c>
      <c r="C2522" s="20" t="s">
        <v>5192</v>
      </c>
      <c r="D2522" s="20" t="s">
        <v>5191</v>
      </c>
      <c r="E2522" s="20" t="e">
        <f t="array" ref="E2522">INDEX(C:C,SMALL(IF(ISNUMBER(FIND(CELL("contents"),$C$2:$C$4852)),ROW($C$2:$C$4852),4^8),ROW(C2522)))&amp;""</f>
        <v>#N/A</v>
      </c>
    </row>
    <row r="2523" ht="14.100000000000001" customHeight="1">
      <c r="B2523" s="20" t="s">
        <v>5193</v>
      </c>
      <c r="C2523" s="20" t="s">
        <v>5194</v>
      </c>
      <c r="D2523" s="20" t="s">
        <v>5193</v>
      </c>
      <c r="E2523" s="20" t="e">
        <f t="array" ref="E2523">INDEX(C:C,SMALL(IF(ISNUMBER(FIND(CELL("contents"),$C$2:$C$4852)),ROW($C$2:$C$4852),4^8),ROW(C2523)))&amp;""</f>
        <v>#N/A</v>
      </c>
    </row>
    <row r="2524" ht="14.100000000000001" customHeight="1">
      <c r="B2524" s="20" t="s">
        <v>5195</v>
      </c>
      <c r="C2524" s="20" t="s">
        <v>5196</v>
      </c>
      <c r="D2524" s="20" t="s">
        <v>5195</v>
      </c>
      <c r="E2524" s="20" t="e">
        <f t="array" ref="E2524">INDEX(C:C,SMALL(IF(ISNUMBER(FIND(CELL("contents"),$C$2:$C$4852)),ROW($C$2:$C$4852),4^8),ROW(C2524)))&amp;""</f>
        <v>#N/A</v>
      </c>
    </row>
    <row r="2525" ht="14.100000000000001" customHeight="1">
      <c r="B2525" s="20" t="s">
        <v>5197</v>
      </c>
      <c r="C2525" s="20" t="s">
        <v>5198</v>
      </c>
      <c r="D2525" s="20" t="s">
        <v>5197</v>
      </c>
      <c r="E2525" s="20" t="e">
        <f t="array" ref="E2525">INDEX(C:C,SMALL(IF(ISNUMBER(FIND(CELL("contents"),$C$2:$C$4852)),ROW($C$2:$C$4852),4^8),ROW(C2525)))&amp;""</f>
        <v>#N/A</v>
      </c>
    </row>
    <row r="2526" ht="14.100000000000001" customHeight="1">
      <c r="B2526" s="20" t="s">
        <v>5199</v>
      </c>
      <c r="C2526" s="20" t="s">
        <v>5200</v>
      </c>
      <c r="D2526" s="20" t="s">
        <v>5199</v>
      </c>
      <c r="E2526" s="20" t="e">
        <f t="array" ref="E2526">INDEX(C:C,SMALL(IF(ISNUMBER(FIND(CELL("contents"),$C$2:$C$4852)),ROW($C$2:$C$4852),4^8),ROW(C2526)))&amp;""</f>
        <v>#N/A</v>
      </c>
    </row>
    <row r="2527" ht="14.100000000000001" customHeight="1">
      <c r="B2527" s="20" t="s">
        <v>5201</v>
      </c>
      <c r="C2527" s="20" t="s">
        <v>5202</v>
      </c>
      <c r="D2527" s="20" t="s">
        <v>5201</v>
      </c>
      <c r="E2527" s="20" t="e">
        <f t="array" ref="E2527">INDEX(C:C,SMALL(IF(ISNUMBER(FIND(CELL("contents"),$C$2:$C$4852)),ROW($C$2:$C$4852),4^8),ROW(C2527)))&amp;""</f>
        <v>#N/A</v>
      </c>
    </row>
    <row r="2528" ht="14.100000000000001" customHeight="1">
      <c r="B2528" s="20" t="s">
        <v>5203</v>
      </c>
      <c r="C2528" s="20" t="s">
        <v>5204</v>
      </c>
      <c r="D2528" s="20" t="s">
        <v>5203</v>
      </c>
      <c r="E2528" s="20" t="e">
        <f t="array" ref="E2528">INDEX(C:C,SMALL(IF(ISNUMBER(FIND(CELL("contents"),$C$2:$C$4852)),ROW($C$2:$C$4852),4^8),ROW(C2528)))&amp;""</f>
        <v>#N/A</v>
      </c>
    </row>
    <row r="2529" ht="14.100000000000001" customHeight="1">
      <c r="B2529" s="20" t="s">
        <v>5205</v>
      </c>
      <c r="C2529" s="20" t="s">
        <v>5206</v>
      </c>
      <c r="D2529" s="20" t="s">
        <v>5205</v>
      </c>
      <c r="E2529" s="20" t="e">
        <f t="array" ref="E2529">INDEX(C:C,SMALL(IF(ISNUMBER(FIND(CELL("contents"),$C$2:$C$4852)),ROW($C$2:$C$4852),4^8),ROW(C2529)))&amp;""</f>
        <v>#N/A</v>
      </c>
    </row>
    <row r="2530" ht="14.100000000000001" customHeight="1">
      <c r="B2530" s="20" t="s">
        <v>5207</v>
      </c>
      <c r="C2530" s="20" t="s">
        <v>5208</v>
      </c>
      <c r="D2530" s="20" t="s">
        <v>5207</v>
      </c>
      <c r="E2530" s="20" t="e">
        <f t="array" ref="E2530">INDEX(C:C,SMALL(IF(ISNUMBER(FIND(CELL("contents"),$C$2:$C$4852)),ROW($C$2:$C$4852),4^8),ROW(C2530)))&amp;""</f>
        <v>#N/A</v>
      </c>
    </row>
    <row r="2531" ht="14.100000000000001" customHeight="1">
      <c r="B2531" s="20" t="s">
        <v>5209</v>
      </c>
      <c r="C2531" s="20" t="s">
        <v>5210</v>
      </c>
      <c r="D2531" s="20" t="s">
        <v>5209</v>
      </c>
      <c r="E2531" s="20" t="e">
        <f t="array" ref="E2531">INDEX(C:C,SMALL(IF(ISNUMBER(FIND(CELL("contents"),$C$2:$C$4852)),ROW($C$2:$C$4852),4^8),ROW(C2531)))&amp;""</f>
        <v>#N/A</v>
      </c>
    </row>
    <row r="2532" ht="14.100000000000001" customHeight="1">
      <c r="B2532" s="20" t="s">
        <v>5211</v>
      </c>
      <c r="C2532" s="20" t="s">
        <v>5212</v>
      </c>
      <c r="D2532" s="20" t="s">
        <v>5211</v>
      </c>
      <c r="E2532" s="20" t="e">
        <f t="array" ref="E2532">INDEX(C:C,SMALL(IF(ISNUMBER(FIND(CELL("contents"),$C$2:$C$4852)),ROW($C$2:$C$4852),4^8),ROW(C2532)))&amp;""</f>
        <v>#N/A</v>
      </c>
    </row>
    <row r="2533" ht="14.100000000000001" customHeight="1">
      <c r="B2533" s="20" t="s">
        <v>5213</v>
      </c>
      <c r="C2533" s="20" t="s">
        <v>5214</v>
      </c>
      <c r="D2533" s="20" t="s">
        <v>5213</v>
      </c>
      <c r="E2533" s="20" t="e">
        <f t="array" ref="E2533">INDEX(C:C,SMALL(IF(ISNUMBER(FIND(CELL("contents"),$C$2:$C$4852)),ROW($C$2:$C$4852),4^8),ROW(C2533)))&amp;""</f>
        <v>#N/A</v>
      </c>
    </row>
    <row r="2534" ht="14.100000000000001" customHeight="1">
      <c r="B2534" s="20" t="s">
        <v>5215</v>
      </c>
      <c r="C2534" s="20" t="s">
        <v>5216</v>
      </c>
      <c r="D2534" s="20" t="s">
        <v>5215</v>
      </c>
      <c r="E2534" s="20" t="e">
        <f t="array" ref="E2534">INDEX(C:C,SMALL(IF(ISNUMBER(FIND(CELL("contents"),$C$2:$C$4852)),ROW($C$2:$C$4852),4^8),ROW(C2534)))&amp;""</f>
        <v>#N/A</v>
      </c>
    </row>
    <row r="2535" ht="14.100000000000001" customHeight="1">
      <c r="B2535" s="20" t="s">
        <v>5217</v>
      </c>
      <c r="C2535" s="20" t="s">
        <v>5218</v>
      </c>
      <c r="D2535" s="20" t="s">
        <v>5217</v>
      </c>
      <c r="E2535" s="20" t="e">
        <f t="array" ref="E2535">INDEX(C:C,SMALL(IF(ISNUMBER(FIND(CELL("contents"),$C$2:$C$4852)),ROW($C$2:$C$4852),4^8),ROW(C2535)))&amp;""</f>
        <v>#N/A</v>
      </c>
    </row>
    <row r="2536" ht="14.100000000000001" customHeight="1">
      <c r="B2536" s="20" t="s">
        <v>5219</v>
      </c>
      <c r="C2536" s="20" t="s">
        <v>5220</v>
      </c>
      <c r="D2536" s="20" t="s">
        <v>5219</v>
      </c>
      <c r="E2536" s="20" t="e">
        <f t="array" ref="E2536">INDEX(C:C,SMALL(IF(ISNUMBER(FIND(CELL("contents"),$C$2:$C$4852)),ROW($C$2:$C$4852),4^8),ROW(C2536)))&amp;""</f>
        <v>#N/A</v>
      </c>
    </row>
    <row r="2537" ht="14.100000000000001" customHeight="1">
      <c r="B2537" s="20" t="s">
        <v>5221</v>
      </c>
      <c r="C2537" s="20" t="s">
        <v>5222</v>
      </c>
      <c r="D2537" s="20" t="s">
        <v>5221</v>
      </c>
      <c r="E2537" s="20" t="e">
        <f t="array" ref="E2537">INDEX(C:C,SMALL(IF(ISNUMBER(FIND(CELL("contents"),$C$2:$C$4852)),ROW($C$2:$C$4852),4^8),ROW(C2537)))&amp;""</f>
        <v>#N/A</v>
      </c>
    </row>
    <row r="2538" ht="14.100000000000001" customHeight="1">
      <c r="B2538" s="20" t="s">
        <v>5223</v>
      </c>
      <c r="C2538" s="20" t="s">
        <v>5224</v>
      </c>
      <c r="D2538" s="20" t="s">
        <v>5223</v>
      </c>
      <c r="E2538" s="20" t="e">
        <f t="array" ref="E2538">INDEX(C:C,SMALL(IF(ISNUMBER(FIND(CELL("contents"),$C$2:$C$4852)),ROW($C$2:$C$4852),4^8),ROW(C2538)))&amp;""</f>
        <v>#N/A</v>
      </c>
    </row>
    <row r="2539" ht="14.100000000000001" customHeight="1">
      <c r="B2539" s="20" t="s">
        <v>5225</v>
      </c>
      <c r="C2539" s="20" t="s">
        <v>5226</v>
      </c>
      <c r="D2539" s="20" t="s">
        <v>5225</v>
      </c>
      <c r="E2539" s="20" t="e">
        <f t="array" ref="E2539">INDEX(C:C,SMALL(IF(ISNUMBER(FIND(CELL("contents"),$C$2:$C$4852)),ROW($C$2:$C$4852),4^8),ROW(C2539)))&amp;""</f>
        <v>#N/A</v>
      </c>
    </row>
    <row r="2540" ht="14.100000000000001" customHeight="1">
      <c r="B2540" s="20" t="s">
        <v>5227</v>
      </c>
      <c r="C2540" s="20" t="s">
        <v>5228</v>
      </c>
      <c r="D2540" s="20" t="s">
        <v>5227</v>
      </c>
      <c r="E2540" s="20" t="e">
        <f t="array" ref="E2540">INDEX(C:C,SMALL(IF(ISNUMBER(FIND(CELL("contents"),$C$2:$C$4852)),ROW($C$2:$C$4852),4^8),ROW(C2540)))&amp;""</f>
        <v>#N/A</v>
      </c>
    </row>
    <row r="2541" ht="14.100000000000001" customHeight="1">
      <c r="B2541" s="20" t="s">
        <v>5229</v>
      </c>
      <c r="C2541" s="20" t="s">
        <v>5230</v>
      </c>
      <c r="D2541" s="20" t="s">
        <v>5229</v>
      </c>
      <c r="E2541" s="20" t="e">
        <f t="array" ref="E2541">INDEX(C:C,SMALL(IF(ISNUMBER(FIND(CELL("contents"),$C$2:$C$4852)),ROW($C$2:$C$4852),4^8),ROW(C2541)))&amp;""</f>
        <v>#N/A</v>
      </c>
    </row>
    <row r="2542" ht="14.100000000000001" customHeight="1">
      <c r="B2542" s="20" t="s">
        <v>5231</v>
      </c>
      <c r="C2542" s="20" t="s">
        <v>5232</v>
      </c>
      <c r="D2542" s="20" t="s">
        <v>5231</v>
      </c>
      <c r="E2542" s="20" t="e">
        <f t="array" ref="E2542">INDEX(C:C,SMALL(IF(ISNUMBER(FIND(CELL("contents"),$C$2:$C$4852)),ROW($C$2:$C$4852),4^8),ROW(C2542)))&amp;""</f>
        <v>#N/A</v>
      </c>
    </row>
    <row r="2543" ht="14.100000000000001" customHeight="1">
      <c r="B2543" s="20" t="s">
        <v>5233</v>
      </c>
      <c r="C2543" s="20" t="s">
        <v>5234</v>
      </c>
      <c r="D2543" s="20" t="s">
        <v>5233</v>
      </c>
      <c r="E2543" s="20" t="e">
        <f t="array" ref="E2543">INDEX(C:C,SMALL(IF(ISNUMBER(FIND(CELL("contents"),$C$2:$C$4852)),ROW($C$2:$C$4852),4^8),ROW(C2543)))&amp;""</f>
        <v>#N/A</v>
      </c>
    </row>
    <row r="2544" ht="14.100000000000001" customHeight="1">
      <c r="B2544" s="20" t="s">
        <v>5235</v>
      </c>
      <c r="C2544" s="20" t="s">
        <v>5236</v>
      </c>
      <c r="D2544" s="20" t="s">
        <v>5235</v>
      </c>
      <c r="E2544" s="20" t="e">
        <f t="array" ref="E2544">INDEX(C:C,SMALL(IF(ISNUMBER(FIND(CELL("contents"),$C$2:$C$4852)),ROW($C$2:$C$4852),4^8),ROW(C2544)))&amp;""</f>
        <v>#N/A</v>
      </c>
    </row>
    <row r="2545" ht="14.100000000000001" customHeight="1">
      <c r="B2545" s="20" t="s">
        <v>5237</v>
      </c>
      <c r="C2545" s="20" t="s">
        <v>5238</v>
      </c>
      <c r="D2545" s="20" t="s">
        <v>5237</v>
      </c>
      <c r="E2545" s="20" t="e">
        <f t="array" ref="E2545">INDEX(C:C,SMALL(IF(ISNUMBER(FIND(CELL("contents"),$C$2:$C$4852)),ROW($C$2:$C$4852),4^8),ROW(C2545)))&amp;""</f>
        <v>#N/A</v>
      </c>
    </row>
    <row r="2546" ht="14.100000000000001" customHeight="1">
      <c r="B2546" s="20" t="s">
        <v>5239</v>
      </c>
      <c r="C2546" s="20" t="s">
        <v>5240</v>
      </c>
      <c r="D2546" s="20" t="s">
        <v>5239</v>
      </c>
      <c r="E2546" s="20" t="e">
        <f t="array" ref="E2546">INDEX(C:C,SMALL(IF(ISNUMBER(FIND(CELL("contents"),$C$2:$C$4852)),ROW($C$2:$C$4852),4^8),ROW(C2546)))&amp;""</f>
        <v>#N/A</v>
      </c>
    </row>
    <row r="2547" ht="14.100000000000001" customHeight="1">
      <c r="B2547" s="20" t="s">
        <v>5241</v>
      </c>
      <c r="C2547" s="20" t="s">
        <v>5242</v>
      </c>
      <c r="D2547" s="20" t="s">
        <v>5241</v>
      </c>
      <c r="E2547" s="20" t="e">
        <f t="array" ref="E2547">INDEX(C:C,SMALL(IF(ISNUMBER(FIND(CELL("contents"),$C$2:$C$4852)),ROW($C$2:$C$4852),4^8),ROW(C2547)))&amp;""</f>
        <v>#N/A</v>
      </c>
    </row>
    <row r="2548" ht="14.100000000000001" customHeight="1">
      <c r="B2548" s="20" t="s">
        <v>5243</v>
      </c>
      <c r="C2548" s="20" t="s">
        <v>5244</v>
      </c>
      <c r="D2548" s="20" t="s">
        <v>5243</v>
      </c>
      <c r="E2548" s="20" t="e">
        <f t="array" ref="E2548">INDEX(C:C,SMALL(IF(ISNUMBER(FIND(CELL("contents"),$C$2:$C$4852)),ROW($C$2:$C$4852),4^8),ROW(C2548)))&amp;""</f>
        <v>#N/A</v>
      </c>
    </row>
    <row r="2549" ht="14.100000000000001" customHeight="1">
      <c r="B2549" s="20" t="s">
        <v>5245</v>
      </c>
      <c r="C2549" s="20" t="s">
        <v>5246</v>
      </c>
      <c r="D2549" s="20" t="s">
        <v>5245</v>
      </c>
      <c r="E2549" s="20" t="e">
        <f t="array" ref="E2549">INDEX(C:C,SMALL(IF(ISNUMBER(FIND(CELL("contents"),$C$2:$C$4852)),ROW($C$2:$C$4852),4^8),ROW(C2549)))&amp;""</f>
        <v>#N/A</v>
      </c>
    </row>
    <row r="2550" ht="14.100000000000001" customHeight="1">
      <c r="B2550" s="20" t="s">
        <v>5247</v>
      </c>
      <c r="C2550" s="20" t="s">
        <v>5248</v>
      </c>
      <c r="D2550" s="20" t="s">
        <v>5247</v>
      </c>
      <c r="E2550" s="20" t="e">
        <f t="array" ref="E2550">INDEX(C:C,SMALL(IF(ISNUMBER(FIND(CELL("contents"),$C$2:$C$4852)),ROW($C$2:$C$4852),4^8),ROW(C2550)))&amp;""</f>
        <v>#N/A</v>
      </c>
    </row>
    <row r="2551" ht="14.100000000000001" customHeight="1">
      <c r="B2551" s="20" t="s">
        <v>5249</v>
      </c>
      <c r="C2551" s="20" t="s">
        <v>5250</v>
      </c>
      <c r="D2551" s="20" t="s">
        <v>5249</v>
      </c>
      <c r="E2551" s="20" t="e">
        <f t="array" ref="E2551">INDEX(C:C,SMALL(IF(ISNUMBER(FIND(CELL("contents"),$C$2:$C$4852)),ROW($C$2:$C$4852),4^8),ROW(C2551)))&amp;""</f>
        <v>#N/A</v>
      </c>
    </row>
    <row r="2552" ht="14.100000000000001" customHeight="1">
      <c r="B2552" s="20" t="s">
        <v>5251</v>
      </c>
      <c r="C2552" s="20" t="s">
        <v>5252</v>
      </c>
      <c r="D2552" s="20" t="s">
        <v>5251</v>
      </c>
      <c r="E2552" s="20" t="e">
        <f t="array" ref="E2552">INDEX(C:C,SMALL(IF(ISNUMBER(FIND(CELL("contents"),$C$2:$C$4852)),ROW($C$2:$C$4852),4^8),ROW(C2552)))&amp;""</f>
        <v>#N/A</v>
      </c>
    </row>
    <row r="2553" ht="14.100000000000001" customHeight="1">
      <c r="B2553" s="20" t="s">
        <v>5253</v>
      </c>
      <c r="C2553" s="20" t="s">
        <v>5254</v>
      </c>
      <c r="D2553" s="20" t="s">
        <v>5253</v>
      </c>
      <c r="E2553" s="20" t="e">
        <f t="array" ref="E2553">INDEX(C:C,SMALL(IF(ISNUMBER(FIND(CELL("contents"),$C$2:$C$4852)),ROW($C$2:$C$4852),4^8),ROW(C2553)))&amp;""</f>
        <v>#N/A</v>
      </c>
    </row>
    <row r="2554" ht="14.100000000000001" customHeight="1">
      <c r="B2554" s="20" t="s">
        <v>5255</v>
      </c>
      <c r="C2554" s="20" t="s">
        <v>5256</v>
      </c>
      <c r="D2554" s="20" t="s">
        <v>5255</v>
      </c>
      <c r="E2554" s="20" t="e">
        <f t="array" ref="E2554">INDEX(C:C,SMALL(IF(ISNUMBER(FIND(CELL("contents"),$C$2:$C$4852)),ROW($C$2:$C$4852),4^8),ROW(C2554)))&amp;""</f>
        <v>#N/A</v>
      </c>
    </row>
    <row r="2555" ht="14.100000000000001" customHeight="1">
      <c r="B2555" s="20" t="s">
        <v>5257</v>
      </c>
      <c r="C2555" s="20" t="s">
        <v>5258</v>
      </c>
      <c r="D2555" s="20" t="s">
        <v>5257</v>
      </c>
      <c r="E2555" s="20" t="e">
        <f t="array" ref="E2555">INDEX(C:C,SMALL(IF(ISNUMBER(FIND(CELL("contents"),$C$2:$C$4852)),ROW($C$2:$C$4852),4^8),ROW(C2555)))&amp;""</f>
        <v>#N/A</v>
      </c>
    </row>
    <row r="2556" ht="14.100000000000001" customHeight="1">
      <c r="B2556" s="20" t="s">
        <v>5259</v>
      </c>
      <c r="C2556" s="20" t="s">
        <v>5260</v>
      </c>
      <c r="D2556" s="20" t="s">
        <v>5259</v>
      </c>
      <c r="E2556" s="20" t="e">
        <f t="array" ref="E2556">INDEX(C:C,SMALL(IF(ISNUMBER(FIND(CELL("contents"),$C$2:$C$4852)),ROW($C$2:$C$4852),4^8),ROW(C2556)))&amp;""</f>
        <v>#N/A</v>
      </c>
    </row>
    <row r="2557" ht="14.100000000000001" customHeight="1">
      <c r="B2557" s="20" t="s">
        <v>5261</v>
      </c>
      <c r="C2557" s="20" t="s">
        <v>5262</v>
      </c>
      <c r="D2557" s="20" t="s">
        <v>5261</v>
      </c>
      <c r="E2557" s="20" t="e">
        <f t="array" ref="E2557">INDEX(C:C,SMALL(IF(ISNUMBER(FIND(CELL("contents"),$C$2:$C$4852)),ROW($C$2:$C$4852),4^8),ROW(C2557)))&amp;""</f>
        <v>#N/A</v>
      </c>
    </row>
    <row r="2558" ht="14.100000000000001" customHeight="1">
      <c r="B2558" s="20" t="s">
        <v>5263</v>
      </c>
      <c r="C2558" s="20" t="s">
        <v>5264</v>
      </c>
      <c r="D2558" s="20" t="s">
        <v>5263</v>
      </c>
      <c r="E2558" s="20" t="e">
        <f t="array" ref="E2558">INDEX(C:C,SMALL(IF(ISNUMBER(FIND(CELL("contents"),$C$2:$C$4852)),ROW($C$2:$C$4852),4^8),ROW(C2558)))&amp;""</f>
        <v>#N/A</v>
      </c>
    </row>
    <row r="2559" ht="14.100000000000001" customHeight="1">
      <c r="B2559" s="20" t="s">
        <v>5265</v>
      </c>
      <c r="C2559" s="20" t="s">
        <v>5266</v>
      </c>
      <c r="D2559" s="20" t="s">
        <v>5265</v>
      </c>
      <c r="E2559" s="20" t="e">
        <f t="array" ref="E2559">INDEX(C:C,SMALL(IF(ISNUMBER(FIND(CELL("contents"),$C$2:$C$4852)),ROW($C$2:$C$4852),4^8),ROW(C2559)))&amp;""</f>
        <v>#N/A</v>
      </c>
    </row>
    <row r="2560" ht="14.100000000000001" customHeight="1">
      <c r="B2560" s="20" t="s">
        <v>5267</v>
      </c>
      <c r="C2560" s="20" t="s">
        <v>5268</v>
      </c>
      <c r="D2560" s="20" t="s">
        <v>5267</v>
      </c>
      <c r="E2560" s="20" t="e">
        <f t="array" ref="E2560">INDEX(C:C,SMALL(IF(ISNUMBER(FIND(CELL("contents"),$C$2:$C$4852)),ROW($C$2:$C$4852),4^8),ROW(C2560)))&amp;""</f>
        <v>#N/A</v>
      </c>
    </row>
    <row r="2561" ht="14.100000000000001" customHeight="1">
      <c r="B2561" s="20" t="s">
        <v>5269</v>
      </c>
      <c r="C2561" s="20" t="s">
        <v>5270</v>
      </c>
      <c r="D2561" s="20" t="s">
        <v>5269</v>
      </c>
      <c r="E2561" s="20" t="e">
        <f t="array" ref="E2561">INDEX(C:C,SMALL(IF(ISNUMBER(FIND(CELL("contents"),$C$2:$C$4852)),ROW($C$2:$C$4852),4^8),ROW(C2561)))&amp;""</f>
        <v>#N/A</v>
      </c>
    </row>
    <row r="2562" ht="14.100000000000001" customHeight="1">
      <c r="B2562" s="20" t="s">
        <v>5271</v>
      </c>
      <c r="C2562" s="20" t="s">
        <v>5272</v>
      </c>
      <c r="D2562" s="20" t="s">
        <v>5271</v>
      </c>
      <c r="E2562" s="20" t="e">
        <f t="array" ref="E2562">INDEX(C:C,SMALL(IF(ISNUMBER(FIND(CELL("contents"),$C$2:$C$4852)),ROW($C$2:$C$4852),4^8),ROW(C2562)))&amp;""</f>
        <v>#N/A</v>
      </c>
    </row>
    <row r="2563" ht="14.100000000000001" customHeight="1">
      <c r="B2563" s="20" t="s">
        <v>5273</v>
      </c>
      <c r="C2563" s="20" t="s">
        <v>5274</v>
      </c>
      <c r="D2563" s="20" t="s">
        <v>5273</v>
      </c>
      <c r="E2563" s="20" t="e">
        <f t="array" ref="E2563">INDEX(C:C,SMALL(IF(ISNUMBER(FIND(CELL("contents"),$C$2:$C$4852)),ROW($C$2:$C$4852),4^8),ROW(C2563)))&amp;""</f>
        <v>#N/A</v>
      </c>
    </row>
    <row r="2564" ht="14.100000000000001" customHeight="1">
      <c r="B2564" s="20" t="s">
        <v>5275</v>
      </c>
      <c r="C2564" s="20" t="s">
        <v>5276</v>
      </c>
      <c r="D2564" s="20" t="s">
        <v>5275</v>
      </c>
      <c r="E2564" s="20" t="e">
        <f t="array" ref="E2564">INDEX(C:C,SMALL(IF(ISNUMBER(FIND(CELL("contents"),$C$2:$C$4852)),ROW($C$2:$C$4852),4^8),ROW(C2564)))&amp;""</f>
        <v>#N/A</v>
      </c>
    </row>
    <row r="2565" ht="14.100000000000001" customHeight="1">
      <c r="B2565" s="20" t="s">
        <v>5277</v>
      </c>
      <c r="C2565" s="20" t="s">
        <v>5278</v>
      </c>
      <c r="D2565" s="20" t="s">
        <v>5277</v>
      </c>
      <c r="E2565" s="20" t="e">
        <f t="array" ref="E2565">INDEX(C:C,SMALL(IF(ISNUMBER(FIND(CELL("contents"),$C$2:$C$4852)),ROW($C$2:$C$4852),4^8),ROW(C2565)))&amp;""</f>
        <v>#N/A</v>
      </c>
    </row>
    <row r="2566" ht="14.100000000000001" customHeight="1">
      <c r="B2566" s="20" t="s">
        <v>5279</v>
      </c>
      <c r="C2566" s="20" t="s">
        <v>5280</v>
      </c>
      <c r="D2566" s="20" t="s">
        <v>5279</v>
      </c>
      <c r="E2566" s="20" t="e">
        <f t="array" ref="E2566">INDEX(C:C,SMALL(IF(ISNUMBER(FIND(CELL("contents"),$C$2:$C$4852)),ROW($C$2:$C$4852),4^8),ROW(C2566)))&amp;""</f>
        <v>#N/A</v>
      </c>
    </row>
    <row r="2567" ht="14.100000000000001" customHeight="1">
      <c r="B2567" s="20" t="s">
        <v>5281</v>
      </c>
      <c r="C2567" s="20" t="s">
        <v>5282</v>
      </c>
      <c r="D2567" s="20" t="s">
        <v>5281</v>
      </c>
      <c r="E2567" s="20" t="e">
        <f t="array" ref="E2567">INDEX(C:C,SMALL(IF(ISNUMBER(FIND(CELL("contents"),$C$2:$C$4852)),ROW($C$2:$C$4852),4^8),ROW(C2567)))&amp;""</f>
        <v>#N/A</v>
      </c>
    </row>
    <row r="2568" ht="14.100000000000001" customHeight="1">
      <c r="B2568" s="20" t="s">
        <v>5283</v>
      </c>
      <c r="C2568" s="20" t="s">
        <v>5284</v>
      </c>
      <c r="D2568" s="20" t="s">
        <v>5283</v>
      </c>
      <c r="E2568" s="20" t="e">
        <f t="array" ref="E2568">INDEX(C:C,SMALL(IF(ISNUMBER(FIND(CELL("contents"),$C$2:$C$4852)),ROW($C$2:$C$4852),4^8),ROW(C2568)))&amp;""</f>
        <v>#N/A</v>
      </c>
    </row>
    <row r="2569" ht="14.100000000000001" customHeight="1">
      <c r="B2569" s="20" t="s">
        <v>5285</v>
      </c>
      <c r="C2569" s="20" t="s">
        <v>5286</v>
      </c>
      <c r="D2569" s="20" t="s">
        <v>5285</v>
      </c>
      <c r="E2569" s="20" t="e">
        <f t="array" ref="E2569">INDEX(C:C,SMALL(IF(ISNUMBER(FIND(CELL("contents"),$C$2:$C$4852)),ROW($C$2:$C$4852),4^8),ROW(C2569)))&amp;""</f>
        <v>#N/A</v>
      </c>
    </row>
    <row r="2570" ht="14.100000000000001" customHeight="1">
      <c r="B2570" s="20" t="s">
        <v>5287</v>
      </c>
      <c r="C2570" s="20" t="s">
        <v>5288</v>
      </c>
      <c r="D2570" s="20" t="s">
        <v>5287</v>
      </c>
      <c r="E2570" s="20" t="e">
        <f t="array" ref="E2570">INDEX(C:C,SMALL(IF(ISNUMBER(FIND(CELL("contents"),$C$2:$C$4852)),ROW($C$2:$C$4852),4^8),ROW(C2570)))&amp;""</f>
        <v>#N/A</v>
      </c>
    </row>
    <row r="2571" ht="14.100000000000001" customHeight="1">
      <c r="B2571" s="20" t="s">
        <v>5289</v>
      </c>
      <c r="C2571" s="20" t="s">
        <v>5290</v>
      </c>
      <c r="D2571" s="20" t="s">
        <v>5289</v>
      </c>
      <c r="E2571" s="20" t="e">
        <f t="array" ref="E2571">INDEX(C:C,SMALL(IF(ISNUMBER(FIND(CELL("contents"),$C$2:$C$4852)),ROW($C$2:$C$4852),4^8),ROW(C2571)))&amp;""</f>
        <v>#N/A</v>
      </c>
    </row>
    <row r="2572" ht="14.100000000000001" customHeight="1">
      <c r="B2572" s="20" t="s">
        <v>5291</v>
      </c>
      <c r="C2572" s="20" t="s">
        <v>5292</v>
      </c>
      <c r="D2572" s="20" t="s">
        <v>5291</v>
      </c>
      <c r="E2572" s="20" t="e">
        <f t="array" ref="E2572">INDEX(C:C,SMALL(IF(ISNUMBER(FIND(CELL("contents"),$C$2:$C$4852)),ROW($C$2:$C$4852),4^8),ROW(C2572)))&amp;""</f>
        <v>#N/A</v>
      </c>
    </row>
    <row r="2573" ht="14.100000000000001" customHeight="1">
      <c r="B2573" s="20" t="s">
        <v>5293</v>
      </c>
      <c r="C2573" s="20" t="s">
        <v>5294</v>
      </c>
      <c r="D2573" s="20" t="s">
        <v>5293</v>
      </c>
      <c r="E2573" s="20" t="e">
        <f t="array" ref="E2573">INDEX(C:C,SMALL(IF(ISNUMBER(FIND(CELL("contents"),$C$2:$C$4852)),ROW($C$2:$C$4852),4^8),ROW(C2573)))&amp;""</f>
        <v>#N/A</v>
      </c>
    </row>
    <row r="2574" ht="14.100000000000001" customHeight="1">
      <c r="B2574" s="20" t="s">
        <v>5295</v>
      </c>
      <c r="C2574" s="20" t="s">
        <v>5296</v>
      </c>
      <c r="D2574" s="20" t="s">
        <v>5295</v>
      </c>
      <c r="E2574" s="20" t="e">
        <f t="array" ref="E2574">INDEX(C:C,SMALL(IF(ISNUMBER(FIND(CELL("contents"),$C$2:$C$4852)),ROW($C$2:$C$4852),4^8),ROW(C2574)))&amp;""</f>
        <v>#N/A</v>
      </c>
    </row>
    <row r="2575" ht="14.100000000000001" customHeight="1">
      <c r="B2575" s="20" t="s">
        <v>5297</v>
      </c>
      <c r="C2575" s="20" t="s">
        <v>5298</v>
      </c>
      <c r="D2575" s="20" t="s">
        <v>5297</v>
      </c>
      <c r="E2575" s="20" t="e">
        <f t="array" ref="E2575">INDEX(C:C,SMALL(IF(ISNUMBER(FIND(CELL("contents"),$C$2:$C$4852)),ROW($C$2:$C$4852),4^8),ROW(C2575)))&amp;""</f>
        <v>#N/A</v>
      </c>
    </row>
    <row r="2576" ht="14.100000000000001" customHeight="1">
      <c r="B2576" s="20" t="s">
        <v>5299</v>
      </c>
      <c r="C2576" s="20" t="s">
        <v>5300</v>
      </c>
      <c r="D2576" s="20" t="s">
        <v>5299</v>
      </c>
      <c r="E2576" s="20" t="e">
        <f t="array" ref="E2576">INDEX(C:C,SMALL(IF(ISNUMBER(FIND(CELL("contents"),$C$2:$C$4852)),ROW($C$2:$C$4852),4^8),ROW(C2576)))&amp;""</f>
        <v>#N/A</v>
      </c>
    </row>
    <row r="2577" ht="14.100000000000001" customHeight="1">
      <c r="B2577" s="20" t="s">
        <v>5301</v>
      </c>
      <c r="C2577" s="20" t="s">
        <v>5302</v>
      </c>
      <c r="D2577" s="20" t="s">
        <v>5301</v>
      </c>
      <c r="E2577" s="20" t="e">
        <f t="array" ref="E2577">INDEX(C:C,SMALL(IF(ISNUMBER(FIND(CELL("contents"),$C$2:$C$4852)),ROW($C$2:$C$4852),4^8),ROW(C2577)))&amp;""</f>
        <v>#N/A</v>
      </c>
    </row>
    <row r="2578" ht="14.100000000000001" customHeight="1">
      <c r="B2578" s="20" t="s">
        <v>5303</v>
      </c>
      <c r="C2578" s="20" t="s">
        <v>5304</v>
      </c>
      <c r="D2578" s="20" t="s">
        <v>5303</v>
      </c>
      <c r="E2578" s="20" t="e">
        <f t="array" ref="E2578">INDEX(C:C,SMALL(IF(ISNUMBER(FIND(CELL("contents"),$C$2:$C$4852)),ROW($C$2:$C$4852),4^8),ROW(C2578)))&amp;""</f>
        <v>#N/A</v>
      </c>
    </row>
    <row r="2579" ht="14.100000000000001" customHeight="1">
      <c r="B2579" s="20" t="s">
        <v>5305</v>
      </c>
      <c r="C2579" s="20" t="s">
        <v>5306</v>
      </c>
      <c r="D2579" s="20" t="s">
        <v>5305</v>
      </c>
      <c r="E2579" s="20" t="e">
        <f t="array" ref="E2579">INDEX(C:C,SMALL(IF(ISNUMBER(FIND(CELL("contents"),$C$2:$C$4852)),ROW($C$2:$C$4852),4^8),ROW(C2579)))&amp;""</f>
        <v>#N/A</v>
      </c>
    </row>
    <row r="2580" ht="14.100000000000001" customHeight="1">
      <c r="B2580" s="20" t="s">
        <v>5307</v>
      </c>
      <c r="C2580" s="20" t="s">
        <v>5308</v>
      </c>
      <c r="D2580" s="20" t="s">
        <v>5307</v>
      </c>
      <c r="E2580" s="20" t="e">
        <f t="array" ref="E2580">INDEX(C:C,SMALL(IF(ISNUMBER(FIND(CELL("contents"),$C$2:$C$4852)),ROW($C$2:$C$4852),4^8),ROW(C2580)))&amp;""</f>
        <v>#N/A</v>
      </c>
    </row>
    <row r="2581" ht="14.100000000000001" customHeight="1">
      <c r="B2581" s="20" t="s">
        <v>5309</v>
      </c>
      <c r="C2581" s="20" t="s">
        <v>5310</v>
      </c>
      <c r="D2581" s="20" t="s">
        <v>5309</v>
      </c>
      <c r="E2581" s="20" t="e">
        <f t="array" ref="E2581">INDEX(C:C,SMALL(IF(ISNUMBER(FIND(CELL("contents"),$C$2:$C$4852)),ROW($C$2:$C$4852),4^8),ROW(C2581)))&amp;""</f>
        <v>#N/A</v>
      </c>
    </row>
    <row r="2582" ht="14.100000000000001" customHeight="1">
      <c r="B2582" s="20" t="s">
        <v>5311</v>
      </c>
      <c r="C2582" s="20" t="s">
        <v>5312</v>
      </c>
      <c r="D2582" s="20" t="s">
        <v>5311</v>
      </c>
      <c r="E2582" s="20" t="e">
        <f t="array" ref="E2582">INDEX(C:C,SMALL(IF(ISNUMBER(FIND(CELL("contents"),$C$2:$C$4852)),ROW($C$2:$C$4852),4^8),ROW(C2582)))&amp;""</f>
        <v>#N/A</v>
      </c>
    </row>
    <row r="2583" ht="14.100000000000001" customHeight="1">
      <c r="B2583" s="20" t="s">
        <v>5313</v>
      </c>
      <c r="C2583" s="20" t="s">
        <v>5314</v>
      </c>
      <c r="D2583" s="20" t="s">
        <v>5313</v>
      </c>
      <c r="E2583" s="20" t="e">
        <f t="array" ref="E2583">INDEX(C:C,SMALL(IF(ISNUMBER(FIND(CELL("contents"),$C$2:$C$4852)),ROW($C$2:$C$4852),4^8),ROW(C2583)))&amp;""</f>
        <v>#N/A</v>
      </c>
    </row>
    <row r="2584" ht="14.100000000000001" customHeight="1">
      <c r="B2584" s="20" t="s">
        <v>5315</v>
      </c>
      <c r="C2584" s="20" t="s">
        <v>5316</v>
      </c>
      <c r="D2584" s="20" t="s">
        <v>5315</v>
      </c>
      <c r="E2584" s="20" t="e">
        <f t="array" ref="E2584">INDEX(C:C,SMALL(IF(ISNUMBER(FIND(CELL("contents"),$C$2:$C$4852)),ROW($C$2:$C$4852),4^8),ROW(C2584)))&amp;""</f>
        <v>#N/A</v>
      </c>
    </row>
    <row r="2585" ht="14.100000000000001" customHeight="1">
      <c r="B2585" s="20" t="s">
        <v>5317</v>
      </c>
      <c r="C2585" s="20" t="s">
        <v>5318</v>
      </c>
      <c r="D2585" s="20" t="s">
        <v>5317</v>
      </c>
      <c r="E2585" s="20" t="e">
        <f t="array" ref="E2585">INDEX(C:C,SMALL(IF(ISNUMBER(FIND(CELL("contents"),$C$2:$C$4852)),ROW($C$2:$C$4852),4^8),ROW(C2585)))&amp;""</f>
        <v>#N/A</v>
      </c>
    </row>
    <row r="2586" ht="14.100000000000001" customHeight="1">
      <c r="B2586" s="20" t="s">
        <v>5319</v>
      </c>
      <c r="C2586" s="20" t="s">
        <v>5320</v>
      </c>
      <c r="D2586" s="20" t="s">
        <v>5319</v>
      </c>
      <c r="E2586" s="20" t="e">
        <f t="array" ref="E2586">INDEX(C:C,SMALL(IF(ISNUMBER(FIND(CELL("contents"),$C$2:$C$4852)),ROW($C$2:$C$4852),4^8),ROW(C2586)))&amp;""</f>
        <v>#N/A</v>
      </c>
    </row>
    <row r="2587" ht="14.100000000000001" customHeight="1">
      <c r="B2587" s="20" t="s">
        <v>5321</v>
      </c>
      <c r="C2587" s="20" t="s">
        <v>5322</v>
      </c>
      <c r="D2587" s="20" t="s">
        <v>5321</v>
      </c>
      <c r="E2587" s="20" t="e">
        <f t="array" ref="E2587">INDEX(C:C,SMALL(IF(ISNUMBER(FIND(CELL("contents"),$C$2:$C$4852)),ROW($C$2:$C$4852),4^8),ROW(C2587)))&amp;""</f>
        <v>#N/A</v>
      </c>
    </row>
    <row r="2588" ht="14.100000000000001" customHeight="1">
      <c r="B2588" s="20" t="s">
        <v>5323</v>
      </c>
      <c r="C2588" s="20" t="s">
        <v>5324</v>
      </c>
      <c r="D2588" s="20" t="s">
        <v>5323</v>
      </c>
      <c r="E2588" s="20" t="e">
        <f t="array" ref="E2588">INDEX(C:C,SMALL(IF(ISNUMBER(FIND(CELL("contents"),$C$2:$C$4852)),ROW($C$2:$C$4852),4^8),ROW(C2588)))&amp;""</f>
        <v>#N/A</v>
      </c>
    </row>
    <row r="2589" ht="14.100000000000001" customHeight="1">
      <c r="B2589" s="20" t="s">
        <v>5325</v>
      </c>
      <c r="C2589" s="20" t="s">
        <v>5326</v>
      </c>
      <c r="D2589" s="20" t="s">
        <v>5325</v>
      </c>
      <c r="E2589" s="20" t="e">
        <f t="array" ref="E2589">INDEX(C:C,SMALL(IF(ISNUMBER(FIND(CELL("contents"),$C$2:$C$4852)),ROW($C$2:$C$4852),4^8),ROW(C2589)))&amp;""</f>
        <v>#N/A</v>
      </c>
    </row>
    <row r="2590" ht="14.100000000000001" customHeight="1">
      <c r="B2590" s="20" t="s">
        <v>5327</v>
      </c>
      <c r="C2590" s="20" t="s">
        <v>5328</v>
      </c>
      <c r="D2590" s="20" t="s">
        <v>5327</v>
      </c>
      <c r="E2590" s="20" t="e">
        <f t="array" ref="E2590">INDEX(C:C,SMALL(IF(ISNUMBER(FIND(CELL("contents"),$C$2:$C$4852)),ROW($C$2:$C$4852),4^8),ROW(C2590)))&amp;""</f>
        <v>#N/A</v>
      </c>
    </row>
    <row r="2591" ht="14.100000000000001" customHeight="1">
      <c r="B2591" s="20" t="s">
        <v>5329</v>
      </c>
      <c r="C2591" s="20" t="s">
        <v>5330</v>
      </c>
      <c r="D2591" s="20" t="s">
        <v>5329</v>
      </c>
      <c r="E2591" s="20" t="e">
        <f t="array" ref="E2591">INDEX(C:C,SMALL(IF(ISNUMBER(FIND(CELL("contents"),$C$2:$C$4852)),ROW($C$2:$C$4852),4^8),ROW(C2591)))&amp;""</f>
        <v>#N/A</v>
      </c>
    </row>
    <row r="2592" ht="14.100000000000001" customHeight="1">
      <c r="B2592" s="20" t="s">
        <v>5331</v>
      </c>
      <c r="C2592" s="20" t="s">
        <v>5332</v>
      </c>
      <c r="D2592" s="20" t="s">
        <v>5331</v>
      </c>
      <c r="E2592" s="20" t="e">
        <f t="array" ref="E2592">INDEX(C:C,SMALL(IF(ISNUMBER(FIND(CELL("contents"),$C$2:$C$4852)),ROW($C$2:$C$4852),4^8),ROW(C2592)))&amp;""</f>
        <v>#N/A</v>
      </c>
    </row>
    <row r="2593" ht="14.100000000000001" customHeight="1">
      <c r="B2593" s="20" t="s">
        <v>5333</v>
      </c>
      <c r="C2593" s="20" t="s">
        <v>5334</v>
      </c>
      <c r="D2593" s="20" t="s">
        <v>5333</v>
      </c>
      <c r="E2593" s="20" t="e">
        <f t="array" ref="E2593">INDEX(C:C,SMALL(IF(ISNUMBER(FIND(CELL("contents"),$C$2:$C$4852)),ROW($C$2:$C$4852),4^8),ROW(C2593)))&amp;""</f>
        <v>#N/A</v>
      </c>
    </row>
    <row r="2594" ht="14.100000000000001" customHeight="1">
      <c r="B2594" s="20" t="s">
        <v>5335</v>
      </c>
      <c r="C2594" s="20" t="s">
        <v>5336</v>
      </c>
      <c r="D2594" s="20" t="s">
        <v>5335</v>
      </c>
      <c r="E2594" s="20" t="e">
        <f t="array" ref="E2594">INDEX(C:C,SMALL(IF(ISNUMBER(FIND(CELL("contents"),$C$2:$C$4852)),ROW($C$2:$C$4852),4^8),ROW(C2594)))&amp;""</f>
        <v>#N/A</v>
      </c>
    </row>
    <row r="2595" ht="14.100000000000001" customHeight="1">
      <c r="B2595" s="20" t="s">
        <v>5337</v>
      </c>
      <c r="C2595" s="20" t="s">
        <v>5338</v>
      </c>
      <c r="D2595" s="20" t="s">
        <v>5337</v>
      </c>
      <c r="E2595" s="20" t="e">
        <f t="array" ref="E2595">INDEX(C:C,SMALL(IF(ISNUMBER(FIND(CELL("contents"),$C$2:$C$4852)),ROW($C$2:$C$4852),4^8),ROW(C2595)))&amp;""</f>
        <v>#N/A</v>
      </c>
    </row>
    <row r="2596" ht="14.100000000000001" customHeight="1">
      <c r="B2596" s="20" t="s">
        <v>5339</v>
      </c>
      <c r="C2596" s="20" t="s">
        <v>5340</v>
      </c>
      <c r="D2596" s="20" t="s">
        <v>5339</v>
      </c>
      <c r="E2596" s="20" t="e">
        <f t="array" ref="E2596">INDEX(C:C,SMALL(IF(ISNUMBER(FIND(CELL("contents"),$C$2:$C$4852)),ROW($C$2:$C$4852),4^8),ROW(C2596)))&amp;""</f>
        <v>#N/A</v>
      </c>
    </row>
    <row r="2597" ht="14.100000000000001" customHeight="1">
      <c r="B2597" s="20" t="s">
        <v>5341</v>
      </c>
      <c r="C2597" s="20" t="s">
        <v>5342</v>
      </c>
      <c r="D2597" s="20" t="s">
        <v>5341</v>
      </c>
      <c r="E2597" s="20" t="e">
        <f t="array" ref="E2597">INDEX(C:C,SMALL(IF(ISNUMBER(FIND(CELL("contents"),$C$2:$C$4852)),ROW($C$2:$C$4852),4^8),ROW(C2597)))&amp;""</f>
        <v>#N/A</v>
      </c>
    </row>
    <row r="2598" ht="14.100000000000001" customHeight="1">
      <c r="B2598" s="20" t="s">
        <v>5343</v>
      </c>
      <c r="C2598" s="20" t="s">
        <v>5344</v>
      </c>
      <c r="D2598" s="20" t="s">
        <v>5343</v>
      </c>
      <c r="E2598" s="20" t="e">
        <f t="array" ref="E2598">INDEX(C:C,SMALL(IF(ISNUMBER(FIND(CELL("contents"),$C$2:$C$4852)),ROW($C$2:$C$4852),4^8),ROW(C2598)))&amp;""</f>
        <v>#N/A</v>
      </c>
    </row>
    <row r="2599" ht="14.100000000000001" customHeight="1">
      <c r="B2599" s="20" t="s">
        <v>5345</v>
      </c>
      <c r="C2599" s="20" t="s">
        <v>5346</v>
      </c>
      <c r="D2599" s="20" t="s">
        <v>5345</v>
      </c>
      <c r="E2599" s="20" t="e">
        <f t="array" ref="E2599">INDEX(C:C,SMALL(IF(ISNUMBER(FIND(CELL("contents"),$C$2:$C$4852)),ROW($C$2:$C$4852),4^8),ROW(C2599)))&amp;""</f>
        <v>#N/A</v>
      </c>
    </row>
    <row r="2600" ht="14.100000000000001" customHeight="1">
      <c r="B2600" s="20" t="s">
        <v>5347</v>
      </c>
      <c r="C2600" s="20" t="s">
        <v>5348</v>
      </c>
      <c r="D2600" s="20" t="s">
        <v>5347</v>
      </c>
      <c r="E2600" s="20" t="e">
        <f t="array" ref="E2600">INDEX(C:C,SMALL(IF(ISNUMBER(FIND(CELL("contents"),$C$2:$C$4852)),ROW($C$2:$C$4852),4^8),ROW(C2600)))&amp;""</f>
        <v>#N/A</v>
      </c>
    </row>
    <row r="2601" ht="14.100000000000001" customHeight="1">
      <c r="B2601" s="20" t="s">
        <v>5349</v>
      </c>
      <c r="C2601" s="20" t="s">
        <v>5350</v>
      </c>
      <c r="D2601" s="20" t="s">
        <v>5349</v>
      </c>
      <c r="E2601" s="20" t="e">
        <f t="array" ref="E2601">INDEX(C:C,SMALL(IF(ISNUMBER(FIND(CELL("contents"),$C$2:$C$4852)),ROW($C$2:$C$4852),4^8),ROW(C2601)))&amp;""</f>
        <v>#N/A</v>
      </c>
    </row>
    <row r="2602" ht="14.100000000000001" customHeight="1">
      <c r="B2602" s="20" t="s">
        <v>5351</v>
      </c>
      <c r="C2602" s="20" t="s">
        <v>5352</v>
      </c>
      <c r="D2602" s="20" t="s">
        <v>5351</v>
      </c>
      <c r="E2602" s="20" t="e">
        <f t="array" ref="E2602">INDEX(C:C,SMALL(IF(ISNUMBER(FIND(CELL("contents"),$C$2:$C$4852)),ROW($C$2:$C$4852),4^8),ROW(C2602)))&amp;""</f>
        <v>#N/A</v>
      </c>
    </row>
    <row r="2603" ht="14.100000000000001" customHeight="1">
      <c r="B2603" s="20" t="s">
        <v>5353</v>
      </c>
      <c r="C2603" s="20" t="s">
        <v>5354</v>
      </c>
      <c r="D2603" s="20" t="s">
        <v>5353</v>
      </c>
      <c r="E2603" s="20" t="e">
        <f t="array" ref="E2603">INDEX(C:C,SMALL(IF(ISNUMBER(FIND(CELL("contents"),$C$2:$C$4852)),ROW($C$2:$C$4852),4^8),ROW(C2603)))&amp;""</f>
        <v>#N/A</v>
      </c>
    </row>
    <row r="2604" ht="14.100000000000001" customHeight="1">
      <c r="B2604" s="20" t="s">
        <v>5355</v>
      </c>
      <c r="C2604" s="20" t="s">
        <v>5356</v>
      </c>
      <c r="D2604" s="20" t="s">
        <v>5355</v>
      </c>
      <c r="E2604" s="20" t="e">
        <f t="array" ref="E2604">INDEX(C:C,SMALL(IF(ISNUMBER(FIND(CELL("contents"),$C$2:$C$4852)),ROW($C$2:$C$4852),4^8),ROW(C2604)))&amp;""</f>
        <v>#N/A</v>
      </c>
    </row>
    <row r="2605" ht="14.100000000000001" customHeight="1">
      <c r="B2605" s="20" t="s">
        <v>5357</v>
      </c>
      <c r="C2605" s="20" t="s">
        <v>5358</v>
      </c>
      <c r="D2605" s="20" t="s">
        <v>5357</v>
      </c>
      <c r="E2605" s="20" t="e">
        <f t="array" ref="E2605">INDEX(C:C,SMALL(IF(ISNUMBER(FIND(CELL("contents"),$C$2:$C$4852)),ROW($C$2:$C$4852),4^8),ROW(C2605)))&amp;""</f>
        <v>#N/A</v>
      </c>
    </row>
    <row r="2606" ht="14.100000000000001" customHeight="1">
      <c r="B2606" s="20" t="s">
        <v>5359</v>
      </c>
      <c r="C2606" s="20" t="s">
        <v>5360</v>
      </c>
      <c r="D2606" s="20" t="s">
        <v>5359</v>
      </c>
      <c r="E2606" s="20" t="e">
        <f t="array" ref="E2606">INDEX(C:C,SMALL(IF(ISNUMBER(FIND(CELL("contents"),$C$2:$C$4852)),ROW($C$2:$C$4852),4^8),ROW(C2606)))&amp;""</f>
        <v>#N/A</v>
      </c>
    </row>
    <row r="2607" ht="14.100000000000001" customHeight="1">
      <c r="B2607" s="20" t="s">
        <v>5361</v>
      </c>
      <c r="C2607" s="20" t="s">
        <v>5362</v>
      </c>
      <c r="D2607" s="20" t="s">
        <v>5361</v>
      </c>
      <c r="E2607" s="20" t="e">
        <f t="array" ref="E2607">INDEX(C:C,SMALL(IF(ISNUMBER(FIND(CELL("contents"),$C$2:$C$4852)),ROW($C$2:$C$4852),4^8),ROW(C2607)))&amp;""</f>
        <v>#N/A</v>
      </c>
    </row>
    <row r="2608" ht="14.100000000000001" customHeight="1">
      <c r="B2608" s="20" t="s">
        <v>5363</v>
      </c>
      <c r="C2608" s="20" t="s">
        <v>5364</v>
      </c>
      <c r="D2608" s="20" t="s">
        <v>5363</v>
      </c>
      <c r="E2608" s="20" t="e">
        <f t="array" ref="E2608">INDEX(C:C,SMALL(IF(ISNUMBER(FIND(CELL("contents"),$C$2:$C$4852)),ROW($C$2:$C$4852),4^8),ROW(C2608)))&amp;""</f>
        <v>#N/A</v>
      </c>
    </row>
    <row r="2609" ht="14.100000000000001" customHeight="1">
      <c r="B2609" s="20" t="s">
        <v>5365</v>
      </c>
      <c r="C2609" s="20" t="s">
        <v>5366</v>
      </c>
      <c r="D2609" s="20" t="s">
        <v>5365</v>
      </c>
      <c r="E2609" s="20" t="e">
        <f t="array" ref="E2609">INDEX(C:C,SMALL(IF(ISNUMBER(FIND(CELL("contents"),$C$2:$C$4852)),ROW($C$2:$C$4852),4^8),ROW(C2609)))&amp;""</f>
        <v>#N/A</v>
      </c>
    </row>
    <row r="2610" ht="14.100000000000001" customHeight="1">
      <c r="B2610" s="20" t="s">
        <v>5367</v>
      </c>
      <c r="C2610" s="20" t="s">
        <v>5368</v>
      </c>
      <c r="D2610" s="20" t="s">
        <v>5367</v>
      </c>
      <c r="E2610" s="20" t="e">
        <f t="array" ref="E2610">INDEX(C:C,SMALL(IF(ISNUMBER(FIND(CELL("contents"),$C$2:$C$4852)),ROW($C$2:$C$4852),4^8),ROW(C2610)))&amp;""</f>
        <v>#N/A</v>
      </c>
    </row>
    <row r="2611" ht="14.100000000000001" customHeight="1">
      <c r="B2611" s="20" t="s">
        <v>5369</v>
      </c>
      <c r="C2611" s="20" t="s">
        <v>5370</v>
      </c>
      <c r="D2611" s="20" t="s">
        <v>5369</v>
      </c>
      <c r="E2611" s="20" t="e">
        <f t="array" ref="E2611">INDEX(C:C,SMALL(IF(ISNUMBER(FIND(CELL("contents"),$C$2:$C$4852)),ROW($C$2:$C$4852),4^8),ROW(C2611)))&amp;""</f>
        <v>#N/A</v>
      </c>
    </row>
    <row r="2612" ht="14.100000000000001" customHeight="1">
      <c r="B2612" s="20" t="s">
        <v>5371</v>
      </c>
      <c r="C2612" s="20" t="s">
        <v>5372</v>
      </c>
      <c r="D2612" s="20" t="s">
        <v>5371</v>
      </c>
      <c r="E2612" s="20" t="e">
        <f t="array" ref="E2612">INDEX(C:C,SMALL(IF(ISNUMBER(FIND(CELL("contents"),$C$2:$C$4852)),ROW($C$2:$C$4852),4^8),ROW(C2612)))&amp;""</f>
        <v>#N/A</v>
      </c>
    </row>
    <row r="2613" ht="14.100000000000001" customHeight="1">
      <c r="B2613" s="20" t="s">
        <v>5373</v>
      </c>
      <c r="C2613" s="20" t="s">
        <v>5374</v>
      </c>
      <c r="D2613" s="20" t="s">
        <v>5373</v>
      </c>
      <c r="E2613" s="20" t="e">
        <f t="array" ref="E2613">INDEX(C:C,SMALL(IF(ISNUMBER(FIND(CELL("contents"),$C$2:$C$4852)),ROW($C$2:$C$4852),4^8),ROW(C2613)))&amp;""</f>
        <v>#N/A</v>
      </c>
    </row>
    <row r="2614" ht="14.100000000000001" customHeight="1">
      <c r="B2614" s="20" t="s">
        <v>5375</v>
      </c>
      <c r="C2614" s="20" t="s">
        <v>5376</v>
      </c>
      <c r="D2614" s="20" t="s">
        <v>5375</v>
      </c>
      <c r="E2614" s="20" t="e">
        <f t="array" ref="E2614">INDEX(C:C,SMALL(IF(ISNUMBER(FIND(CELL("contents"),$C$2:$C$4852)),ROW($C$2:$C$4852),4^8),ROW(C2614)))&amp;""</f>
        <v>#N/A</v>
      </c>
    </row>
    <row r="2615" ht="14.100000000000001" customHeight="1">
      <c r="B2615" s="20" t="s">
        <v>5377</v>
      </c>
      <c r="C2615" s="20" t="s">
        <v>5378</v>
      </c>
      <c r="D2615" s="20" t="s">
        <v>5377</v>
      </c>
      <c r="E2615" s="20" t="e">
        <f t="array" ref="E2615">INDEX(C:C,SMALL(IF(ISNUMBER(FIND(CELL("contents"),$C$2:$C$4852)),ROW($C$2:$C$4852),4^8),ROW(C2615)))&amp;""</f>
        <v>#N/A</v>
      </c>
    </row>
    <row r="2616" ht="14.100000000000001" customHeight="1">
      <c r="B2616" s="20" t="s">
        <v>5379</v>
      </c>
      <c r="C2616" s="20" t="s">
        <v>5380</v>
      </c>
      <c r="D2616" s="20" t="s">
        <v>5379</v>
      </c>
      <c r="E2616" s="20" t="e">
        <f t="array" ref="E2616">INDEX(C:C,SMALL(IF(ISNUMBER(FIND(CELL("contents"),$C$2:$C$4852)),ROW($C$2:$C$4852),4^8),ROW(C2616)))&amp;""</f>
        <v>#N/A</v>
      </c>
    </row>
    <row r="2617" ht="14.100000000000001" customHeight="1">
      <c r="B2617" s="20" t="s">
        <v>5381</v>
      </c>
      <c r="C2617" s="20" t="s">
        <v>5382</v>
      </c>
      <c r="D2617" s="20" t="s">
        <v>5381</v>
      </c>
      <c r="E2617" s="20" t="e">
        <f t="array" ref="E2617">INDEX(C:C,SMALL(IF(ISNUMBER(FIND(CELL("contents"),$C$2:$C$4852)),ROW($C$2:$C$4852),4^8),ROW(C2617)))&amp;""</f>
        <v>#N/A</v>
      </c>
    </row>
    <row r="2618" ht="14.100000000000001" customHeight="1">
      <c r="B2618" s="20" t="s">
        <v>5383</v>
      </c>
      <c r="C2618" s="20" t="s">
        <v>5384</v>
      </c>
      <c r="D2618" s="20" t="s">
        <v>5383</v>
      </c>
      <c r="E2618" s="20" t="e">
        <f t="array" ref="E2618">INDEX(C:C,SMALL(IF(ISNUMBER(FIND(CELL("contents"),$C$2:$C$4852)),ROW($C$2:$C$4852),4^8),ROW(C2618)))&amp;""</f>
        <v>#N/A</v>
      </c>
    </row>
    <row r="2619" ht="14.100000000000001" customHeight="1">
      <c r="B2619" s="20" t="s">
        <v>5385</v>
      </c>
      <c r="C2619" s="20" t="s">
        <v>5386</v>
      </c>
      <c r="D2619" s="20" t="s">
        <v>5385</v>
      </c>
      <c r="E2619" s="20" t="e">
        <f t="array" ref="E2619">INDEX(C:C,SMALL(IF(ISNUMBER(FIND(CELL("contents"),$C$2:$C$4852)),ROW($C$2:$C$4852),4^8),ROW(C2619)))&amp;""</f>
        <v>#N/A</v>
      </c>
    </row>
    <row r="2620" ht="14.100000000000001" customHeight="1">
      <c r="B2620" s="20" t="s">
        <v>5387</v>
      </c>
      <c r="C2620" s="20" t="s">
        <v>5388</v>
      </c>
      <c r="D2620" s="20" t="s">
        <v>5387</v>
      </c>
      <c r="E2620" s="20" t="e">
        <f t="array" ref="E2620">INDEX(C:C,SMALL(IF(ISNUMBER(FIND(CELL("contents"),$C$2:$C$4852)),ROW($C$2:$C$4852),4^8),ROW(C2620)))&amp;""</f>
        <v>#N/A</v>
      </c>
    </row>
    <row r="2621" ht="14.100000000000001" customHeight="1">
      <c r="B2621" s="20" t="s">
        <v>5389</v>
      </c>
      <c r="C2621" s="20" t="s">
        <v>5390</v>
      </c>
      <c r="D2621" s="20" t="s">
        <v>5389</v>
      </c>
      <c r="E2621" s="20" t="e">
        <f t="array" ref="E2621">INDEX(C:C,SMALL(IF(ISNUMBER(FIND(CELL("contents"),$C$2:$C$4852)),ROW($C$2:$C$4852),4^8),ROW(C2621)))&amp;""</f>
        <v>#N/A</v>
      </c>
    </row>
    <row r="2622" ht="14.100000000000001" customHeight="1">
      <c r="B2622" s="20" t="s">
        <v>5391</v>
      </c>
      <c r="C2622" s="20" t="s">
        <v>5392</v>
      </c>
      <c r="D2622" s="20" t="s">
        <v>5391</v>
      </c>
      <c r="E2622" s="20" t="e">
        <f t="array" ref="E2622">INDEX(C:C,SMALL(IF(ISNUMBER(FIND(CELL("contents"),$C$2:$C$4852)),ROW($C$2:$C$4852),4^8),ROW(C2622)))&amp;""</f>
        <v>#N/A</v>
      </c>
    </row>
    <row r="2623" ht="14.100000000000001" customHeight="1">
      <c r="B2623" s="20" t="s">
        <v>5393</v>
      </c>
      <c r="C2623" s="20" t="s">
        <v>5394</v>
      </c>
      <c r="D2623" s="20" t="s">
        <v>5393</v>
      </c>
      <c r="E2623" s="20" t="e">
        <f t="array" ref="E2623">INDEX(C:C,SMALL(IF(ISNUMBER(FIND(CELL("contents"),$C$2:$C$4852)),ROW($C$2:$C$4852),4^8),ROW(C2623)))&amp;""</f>
        <v>#N/A</v>
      </c>
    </row>
    <row r="2624" ht="14.100000000000001" customHeight="1">
      <c r="B2624" s="20" t="s">
        <v>5395</v>
      </c>
      <c r="C2624" s="20" t="s">
        <v>5396</v>
      </c>
      <c r="D2624" s="20" t="s">
        <v>5395</v>
      </c>
      <c r="E2624" s="20" t="e">
        <f t="array" ref="E2624">INDEX(C:C,SMALL(IF(ISNUMBER(FIND(CELL("contents"),$C$2:$C$4852)),ROW($C$2:$C$4852),4^8),ROW(C2624)))&amp;""</f>
        <v>#N/A</v>
      </c>
    </row>
    <row r="2625" ht="14.100000000000001" customHeight="1">
      <c r="B2625" s="20" t="s">
        <v>5397</v>
      </c>
      <c r="C2625" s="20" t="s">
        <v>5398</v>
      </c>
      <c r="D2625" s="20" t="s">
        <v>5397</v>
      </c>
      <c r="E2625" s="20" t="e">
        <f t="array" ref="E2625">INDEX(C:C,SMALL(IF(ISNUMBER(FIND(CELL("contents"),$C$2:$C$4852)),ROW($C$2:$C$4852),4^8),ROW(C2625)))&amp;""</f>
        <v>#N/A</v>
      </c>
    </row>
    <row r="2626" ht="14.100000000000001" customHeight="1">
      <c r="B2626" s="20" t="s">
        <v>5399</v>
      </c>
      <c r="C2626" s="20" t="s">
        <v>5400</v>
      </c>
      <c r="D2626" s="20" t="s">
        <v>5399</v>
      </c>
      <c r="E2626" s="20" t="e">
        <f t="array" ref="E2626">INDEX(C:C,SMALL(IF(ISNUMBER(FIND(CELL("contents"),$C$2:$C$4852)),ROW($C$2:$C$4852),4^8),ROW(C2626)))&amp;""</f>
        <v>#N/A</v>
      </c>
    </row>
    <row r="2627" ht="14.100000000000001" customHeight="1">
      <c r="B2627" s="20" t="s">
        <v>5401</v>
      </c>
      <c r="C2627" s="20" t="s">
        <v>5402</v>
      </c>
      <c r="D2627" s="20" t="s">
        <v>5401</v>
      </c>
      <c r="E2627" s="20" t="e">
        <f t="array" ref="E2627">INDEX(C:C,SMALL(IF(ISNUMBER(FIND(CELL("contents"),$C$2:$C$4852)),ROW($C$2:$C$4852),4^8),ROW(C2627)))&amp;""</f>
        <v>#N/A</v>
      </c>
    </row>
    <row r="2628" ht="14.100000000000001" customHeight="1">
      <c r="B2628" s="20" t="s">
        <v>5403</v>
      </c>
      <c r="C2628" s="20" t="s">
        <v>5404</v>
      </c>
      <c r="D2628" s="20" t="s">
        <v>5403</v>
      </c>
      <c r="E2628" s="20" t="e">
        <f t="array" ref="E2628">INDEX(C:C,SMALL(IF(ISNUMBER(FIND(CELL("contents"),$C$2:$C$4852)),ROW($C$2:$C$4852),4^8),ROW(C2628)))&amp;""</f>
        <v>#N/A</v>
      </c>
    </row>
    <row r="2629" ht="14.100000000000001" customHeight="1">
      <c r="B2629" s="20" t="s">
        <v>5405</v>
      </c>
      <c r="C2629" s="20" t="s">
        <v>5406</v>
      </c>
      <c r="D2629" s="20" t="s">
        <v>5405</v>
      </c>
      <c r="E2629" s="20" t="e">
        <f t="array" ref="E2629">INDEX(C:C,SMALL(IF(ISNUMBER(FIND(CELL("contents"),$C$2:$C$4852)),ROW($C$2:$C$4852),4^8),ROW(C2629)))&amp;""</f>
        <v>#N/A</v>
      </c>
    </row>
    <row r="2630" ht="14.100000000000001" customHeight="1">
      <c r="B2630" s="20" t="s">
        <v>5407</v>
      </c>
      <c r="C2630" s="20" t="s">
        <v>5408</v>
      </c>
      <c r="D2630" s="20" t="s">
        <v>5407</v>
      </c>
      <c r="E2630" s="20" t="e">
        <f t="array" ref="E2630">INDEX(C:C,SMALL(IF(ISNUMBER(FIND(CELL("contents"),$C$2:$C$4852)),ROW($C$2:$C$4852),4^8),ROW(C2630)))&amp;""</f>
        <v>#N/A</v>
      </c>
    </row>
    <row r="2631" ht="14.100000000000001" customHeight="1">
      <c r="B2631" s="20" t="s">
        <v>5409</v>
      </c>
      <c r="C2631" s="20" t="s">
        <v>5410</v>
      </c>
      <c r="D2631" s="20" t="s">
        <v>5409</v>
      </c>
      <c r="E2631" s="20" t="e">
        <f t="array" ref="E2631">INDEX(C:C,SMALL(IF(ISNUMBER(FIND(CELL("contents"),$C$2:$C$4852)),ROW($C$2:$C$4852),4^8),ROW(C2631)))&amp;""</f>
        <v>#N/A</v>
      </c>
    </row>
    <row r="2632" ht="14.100000000000001" customHeight="1">
      <c r="B2632" s="20" t="s">
        <v>5411</v>
      </c>
      <c r="C2632" s="20" t="s">
        <v>5412</v>
      </c>
      <c r="D2632" s="20" t="s">
        <v>5411</v>
      </c>
      <c r="E2632" s="20" t="e">
        <f t="array" ref="E2632">INDEX(C:C,SMALL(IF(ISNUMBER(FIND(CELL("contents"),$C$2:$C$4852)),ROW($C$2:$C$4852),4^8),ROW(C2632)))&amp;""</f>
        <v>#N/A</v>
      </c>
    </row>
    <row r="2633" ht="14.100000000000001" customHeight="1">
      <c r="B2633" s="20" t="s">
        <v>5413</v>
      </c>
      <c r="C2633" s="20" t="s">
        <v>5414</v>
      </c>
      <c r="D2633" s="20" t="s">
        <v>5413</v>
      </c>
      <c r="E2633" s="20" t="e">
        <f t="array" ref="E2633">INDEX(C:C,SMALL(IF(ISNUMBER(FIND(CELL("contents"),$C$2:$C$4852)),ROW($C$2:$C$4852),4^8),ROW(C2633)))&amp;""</f>
        <v>#N/A</v>
      </c>
    </row>
    <row r="2634" ht="14.100000000000001" customHeight="1">
      <c r="B2634" s="20" t="s">
        <v>5415</v>
      </c>
      <c r="C2634" s="20" t="s">
        <v>5416</v>
      </c>
      <c r="D2634" s="20" t="s">
        <v>5415</v>
      </c>
      <c r="E2634" s="20" t="e">
        <f t="array" ref="E2634">INDEX(C:C,SMALL(IF(ISNUMBER(FIND(CELL("contents"),$C$2:$C$4852)),ROW($C$2:$C$4852),4^8),ROW(C2634)))&amp;""</f>
        <v>#N/A</v>
      </c>
    </row>
    <row r="2635" ht="14.100000000000001" customHeight="1">
      <c r="B2635" s="20" t="s">
        <v>5417</v>
      </c>
      <c r="C2635" s="20" t="s">
        <v>5418</v>
      </c>
      <c r="D2635" s="20" t="s">
        <v>5417</v>
      </c>
      <c r="E2635" s="20" t="e">
        <f t="array" ref="E2635">INDEX(C:C,SMALL(IF(ISNUMBER(FIND(CELL("contents"),$C$2:$C$4852)),ROW($C$2:$C$4852),4^8),ROW(C2635)))&amp;""</f>
        <v>#N/A</v>
      </c>
    </row>
    <row r="2636" ht="14.100000000000001" customHeight="1">
      <c r="B2636" s="20" t="s">
        <v>5419</v>
      </c>
      <c r="C2636" s="20" t="s">
        <v>5420</v>
      </c>
      <c r="D2636" s="20" t="s">
        <v>5419</v>
      </c>
      <c r="E2636" s="20" t="e">
        <f t="array" ref="E2636">INDEX(C:C,SMALL(IF(ISNUMBER(FIND(CELL("contents"),$C$2:$C$4852)),ROW($C$2:$C$4852),4^8),ROW(C2636)))&amp;""</f>
        <v>#N/A</v>
      </c>
    </row>
    <row r="2637" ht="14.100000000000001" customHeight="1">
      <c r="B2637" s="20" t="s">
        <v>5421</v>
      </c>
      <c r="C2637" s="20" t="s">
        <v>5422</v>
      </c>
      <c r="D2637" s="20" t="s">
        <v>5421</v>
      </c>
      <c r="E2637" s="20" t="e">
        <f t="array" ref="E2637">INDEX(C:C,SMALL(IF(ISNUMBER(FIND(CELL("contents"),$C$2:$C$4852)),ROW($C$2:$C$4852),4^8),ROW(C2637)))&amp;""</f>
        <v>#N/A</v>
      </c>
    </row>
    <row r="2638" ht="14.100000000000001" customHeight="1">
      <c r="B2638" s="20" t="s">
        <v>5423</v>
      </c>
      <c r="C2638" s="20" t="s">
        <v>5424</v>
      </c>
      <c r="D2638" s="20" t="s">
        <v>5423</v>
      </c>
      <c r="E2638" s="20" t="e">
        <f t="array" ref="E2638">INDEX(C:C,SMALL(IF(ISNUMBER(FIND(CELL("contents"),$C$2:$C$4852)),ROW($C$2:$C$4852),4^8),ROW(C2638)))&amp;""</f>
        <v>#N/A</v>
      </c>
    </row>
    <row r="2639" ht="14.100000000000001" customHeight="1">
      <c r="B2639" s="20" t="s">
        <v>5425</v>
      </c>
      <c r="C2639" s="20" t="s">
        <v>5426</v>
      </c>
      <c r="D2639" s="20" t="s">
        <v>5425</v>
      </c>
      <c r="E2639" s="20" t="e">
        <f t="array" ref="E2639">INDEX(C:C,SMALL(IF(ISNUMBER(FIND(CELL("contents"),$C$2:$C$4852)),ROW($C$2:$C$4852),4^8),ROW(C2639)))&amp;""</f>
        <v>#N/A</v>
      </c>
    </row>
    <row r="2640" ht="14.100000000000001" customHeight="1">
      <c r="B2640" s="20" t="s">
        <v>5427</v>
      </c>
      <c r="C2640" s="20" t="s">
        <v>5428</v>
      </c>
      <c r="D2640" s="20" t="s">
        <v>5427</v>
      </c>
      <c r="E2640" s="20" t="e">
        <f t="array" ref="E2640">INDEX(C:C,SMALL(IF(ISNUMBER(FIND(CELL("contents"),$C$2:$C$4852)),ROW($C$2:$C$4852),4^8),ROW(C2640)))&amp;""</f>
        <v>#N/A</v>
      </c>
    </row>
    <row r="2641" ht="14.100000000000001" customHeight="1">
      <c r="B2641" s="20" t="s">
        <v>5429</v>
      </c>
      <c r="C2641" s="20" t="s">
        <v>5430</v>
      </c>
      <c r="D2641" s="20" t="s">
        <v>5429</v>
      </c>
      <c r="E2641" s="20" t="e">
        <f t="array" ref="E2641">INDEX(C:C,SMALL(IF(ISNUMBER(FIND(CELL("contents"),$C$2:$C$4852)),ROW($C$2:$C$4852),4^8),ROW(C2641)))&amp;""</f>
        <v>#N/A</v>
      </c>
    </row>
    <row r="2642" ht="14.100000000000001" customHeight="1">
      <c r="B2642" s="20" t="s">
        <v>5431</v>
      </c>
      <c r="C2642" s="20" t="s">
        <v>5432</v>
      </c>
      <c r="D2642" s="20" t="s">
        <v>5431</v>
      </c>
      <c r="E2642" s="20" t="e">
        <f t="array" ref="E2642">INDEX(C:C,SMALL(IF(ISNUMBER(FIND(CELL("contents"),$C$2:$C$4852)),ROW($C$2:$C$4852),4^8),ROW(C2642)))&amp;""</f>
        <v>#N/A</v>
      </c>
    </row>
    <row r="2643" ht="14.100000000000001" customHeight="1">
      <c r="B2643" s="20" t="s">
        <v>5433</v>
      </c>
      <c r="C2643" s="20" t="s">
        <v>5434</v>
      </c>
      <c r="D2643" s="20" t="s">
        <v>5433</v>
      </c>
      <c r="E2643" s="20" t="e">
        <f t="array" ref="E2643">INDEX(C:C,SMALL(IF(ISNUMBER(FIND(CELL("contents"),$C$2:$C$4852)),ROW($C$2:$C$4852),4^8),ROW(C2643)))&amp;""</f>
        <v>#N/A</v>
      </c>
    </row>
    <row r="2644" ht="14.100000000000001" customHeight="1">
      <c r="B2644" s="20" t="s">
        <v>5435</v>
      </c>
      <c r="C2644" s="20" t="s">
        <v>5436</v>
      </c>
      <c r="D2644" s="20" t="s">
        <v>5435</v>
      </c>
      <c r="E2644" s="20" t="e">
        <f t="array" ref="E2644">INDEX(C:C,SMALL(IF(ISNUMBER(FIND(CELL("contents"),$C$2:$C$4852)),ROW($C$2:$C$4852),4^8),ROW(C2644)))&amp;""</f>
        <v>#N/A</v>
      </c>
    </row>
    <row r="2645" ht="14.100000000000001" customHeight="1">
      <c r="B2645" s="20" t="s">
        <v>5437</v>
      </c>
      <c r="C2645" s="20" t="s">
        <v>5438</v>
      </c>
      <c r="D2645" s="20" t="s">
        <v>5437</v>
      </c>
      <c r="E2645" s="20" t="e">
        <f t="array" ref="E2645">INDEX(C:C,SMALL(IF(ISNUMBER(FIND(CELL("contents"),$C$2:$C$4852)),ROW($C$2:$C$4852),4^8),ROW(C2645)))&amp;""</f>
        <v>#N/A</v>
      </c>
    </row>
    <row r="2646" ht="14.100000000000001" customHeight="1">
      <c r="B2646" s="20" t="s">
        <v>5439</v>
      </c>
      <c r="C2646" s="20" t="s">
        <v>5440</v>
      </c>
      <c r="D2646" s="20" t="s">
        <v>5439</v>
      </c>
      <c r="E2646" s="20" t="e">
        <f t="array" ref="E2646">INDEX(C:C,SMALL(IF(ISNUMBER(FIND(CELL("contents"),$C$2:$C$4852)),ROW($C$2:$C$4852),4^8),ROW(C2646)))&amp;""</f>
        <v>#N/A</v>
      </c>
    </row>
    <row r="2647" ht="14.100000000000001" customHeight="1">
      <c r="B2647" s="20" t="s">
        <v>5441</v>
      </c>
      <c r="C2647" s="20" t="s">
        <v>5442</v>
      </c>
      <c r="D2647" s="20" t="s">
        <v>5441</v>
      </c>
      <c r="E2647" s="20" t="e">
        <f t="array" ref="E2647">INDEX(C:C,SMALL(IF(ISNUMBER(FIND(CELL("contents"),$C$2:$C$4852)),ROW($C$2:$C$4852),4^8),ROW(C2647)))&amp;""</f>
        <v>#N/A</v>
      </c>
    </row>
    <row r="2648" ht="14.100000000000001" customHeight="1">
      <c r="B2648" s="20" t="s">
        <v>5443</v>
      </c>
      <c r="C2648" s="20" t="s">
        <v>5444</v>
      </c>
      <c r="D2648" s="20" t="s">
        <v>5443</v>
      </c>
      <c r="E2648" s="20" t="e">
        <f t="array" ref="E2648">INDEX(C:C,SMALL(IF(ISNUMBER(FIND(CELL("contents"),$C$2:$C$4852)),ROW($C$2:$C$4852),4^8),ROW(C2648)))&amp;""</f>
        <v>#N/A</v>
      </c>
    </row>
    <row r="2649" ht="14.100000000000001" customHeight="1">
      <c r="B2649" s="20" t="s">
        <v>5445</v>
      </c>
      <c r="C2649" s="20" t="s">
        <v>5446</v>
      </c>
      <c r="D2649" s="20" t="s">
        <v>5445</v>
      </c>
      <c r="E2649" s="20" t="e">
        <f t="array" ref="E2649">INDEX(C:C,SMALL(IF(ISNUMBER(FIND(CELL("contents"),$C$2:$C$4852)),ROW($C$2:$C$4852),4^8),ROW(C2649)))&amp;""</f>
        <v>#N/A</v>
      </c>
    </row>
    <row r="2650" ht="14.100000000000001" customHeight="1">
      <c r="B2650" s="20" t="s">
        <v>5447</v>
      </c>
      <c r="C2650" s="20" t="s">
        <v>5448</v>
      </c>
      <c r="D2650" s="20" t="s">
        <v>5447</v>
      </c>
      <c r="E2650" s="20" t="e">
        <f t="array" ref="E2650">INDEX(C:C,SMALL(IF(ISNUMBER(FIND(CELL("contents"),$C$2:$C$4852)),ROW($C$2:$C$4852),4^8),ROW(C2650)))&amp;""</f>
        <v>#N/A</v>
      </c>
    </row>
    <row r="2651" ht="14.100000000000001" customHeight="1">
      <c r="B2651" s="20" t="s">
        <v>5449</v>
      </c>
      <c r="C2651" s="20" t="s">
        <v>5450</v>
      </c>
      <c r="D2651" s="20" t="s">
        <v>5449</v>
      </c>
      <c r="E2651" s="20" t="e">
        <f t="array" ref="E2651">INDEX(C:C,SMALL(IF(ISNUMBER(FIND(CELL("contents"),$C$2:$C$4852)),ROW($C$2:$C$4852),4^8),ROW(C2651)))&amp;""</f>
        <v>#N/A</v>
      </c>
    </row>
    <row r="2652" ht="14.100000000000001" customHeight="1">
      <c r="B2652" s="20" t="s">
        <v>5451</v>
      </c>
      <c r="C2652" s="20" t="s">
        <v>5452</v>
      </c>
      <c r="D2652" s="20" t="s">
        <v>5451</v>
      </c>
      <c r="E2652" s="20" t="e">
        <f t="array" ref="E2652">INDEX(C:C,SMALL(IF(ISNUMBER(FIND(CELL("contents"),$C$2:$C$4852)),ROW($C$2:$C$4852),4^8),ROW(C2652)))&amp;""</f>
        <v>#N/A</v>
      </c>
    </row>
    <row r="2653" ht="14.100000000000001" customHeight="1">
      <c r="B2653" s="20" t="s">
        <v>5453</v>
      </c>
      <c r="C2653" s="20" t="s">
        <v>5454</v>
      </c>
      <c r="D2653" s="20" t="s">
        <v>5453</v>
      </c>
      <c r="E2653" s="20" t="e">
        <f t="array" ref="E2653">INDEX(C:C,SMALL(IF(ISNUMBER(FIND(CELL("contents"),$C$2:$C$4852)),ROW($C$2:$C$4852),4^8),ROW(C2653)))&amp;""</f>
        <v>#N/A</v>
      </c>
    </row>
    <row r="2654" ht="14.100000000000001" customHeight="1">
      <c r="B2654" s="20" t="s">
        <v>5455</v>
      </c>
      <c r="C2654" s="20" t="s">
        <v>5456</v>
      </c>
      <c r="D2654" s="20" t="s">
        <v>5455</v>
      </c>
      <c r="E2654" s="20" t="e">
        <f t="array" ref="E2654">INDEX(C:C,SMALL(IF(ISNUMBER(FIND(CELL("contents"),$C$2:$C$4852)),ROW($C$2:$C$4852),4^8),ROW(C2654)))&amp;""</f>
        <v>#N/A</v>
      </c>
    </row>
    <row r="2655" ht="14.100000000000001" customHeight="1">
      <c r="B2655" s="20" t="s">
        <v>5457</v>
      </c>
      <c r="C2655" s="20" t="s">
        <v>5458</v>
      </c>
      <c r="D2655" s="20" t="s">
        <v>5457</v>
      </c>
      <c r="E2655" s="20" t="e">
        <f t="array" ref="E2655">INDEX(C:C,SMALL(IF(ISNUMBER(FIND(CELL("contents"),$C$2:$C$4852)),ROW($C$2:$C$4852),4^8),ROW(C2655)))&amp;""</f>
        <v>#N/A</v>
      </c>
    </row>
    <row r="2656" ht="14.100000000000001" customHeight="1">
      <c r="B2656" s="20" t="s">
        <v>5459</v>
      </c>
      <c r="C2656" s="20" t="s">
        <v>5460</v>
      </c>
      <c r="D2656" s="20" t="s">
        <v>5459</v>
      </c>
      <c r="E2656" s="20" t="e">
        <f t="array" ref="E2656">INDEX(C:C,SMALL(IF(ISNUMBER(FIND(CELL("contents"),$C$2:$C$4852)),ROW($C$2:$C$4852),4^8),ROW(C2656)))&amp;""</f>
        <v>#N/A</v>
      </c>
    </row>
    <row r="2657" ht="14.100000000000001" customHeight="1">
      <c r="B2657" s="20" t="s">
        <v>5461</v>
      </c>
      <c r="C2657" s="20" t="s">
        <v>5462</v>
      </c>
      <c r="D2657" s="20" t="s">
        <v>5461</v>
      </c>
      <c r="E2657" s="20" t="e">
        <f t="array" ref="E2657">INDEX(C:C,SMALL(IF(ISNUMBER(FIND(CELL("contents"),$C$2:$C$4852)),ROW($C$2:$C$4852),4^8),ROW(C2657)))&amp;""</f>
        <v>#N/A</v>
      </c>
    </row>
    <row r="2658" ht="14.100000000000001" customHeight="1">
      <c r="B2658" s="20" t="s">
        <v>5463</v>
      </c>
      <c r="C2658" s="20" t="s">
        <v>5464</v>
      </c>
      <c r="D2658" s="20" t="s">
        <v>5463</v>
      </c>
      <c r="E2658" s="20" t="e">
        <f t="array" ref="E2658">INDEX(C:C,SMALL(IF(ISNUMBER(FIND(CELL("contents"),$C$2:$C$4852)),ROW($C$2:$C$4852),4^8),ROW(C2658)))&amp;""</f>
        <v>#N/A</v>
      </c>
    </row>
    <row r="2659" ht="14.100000000000001" customHeight="1">
      <c r="B2659" s="20" t="s">
        <v>5465</v>
      </c>
      <c r="C2659" s="20" t="s">
        <v>5466</v>
      </c>
      <c r="D2659" s="20" t="s">
        <v>5465</v>
      </c>
      <c r="E2659" s="20" t="e">
        <f t="array" ref="E2659">INDEX(C:C,SMALL(IF(ISNUMBER(FIND(CELL("contents"),$C$2:$C$4852)),ROW($C$2:$C$4852),4^8),ROW(C2659)))&amp;""</f>
        <v>#N/A</v>
      </c>
    </row>
    <row r="2660" ht="14.100000000000001" customHeight="1">
      <c r="B2660" s="20" t="s">
        <v>5467</v>
      </c>
      <c r="C2660" s="20" t="s">
        <v>5468</v>
      </c>
      <c r="D2660" s="20" t="s">
        <v>5467</v>
      </c>
      <c r="E2660" s="20" t="e">
        <f t="array" ref="E2660">INDEX(C:C,SMALL(IF(ISNUMBER(FIND(CELL("contents"),$C$2:$C$4852)),ROW($C$2:$C$4852),4^8),ROW(C2660)))&amp;""</f>
        <v>#N/A</v>
      </c>
    </row>
    <row r="2661" ht="14.100000000000001" customHeight="1">
      <c r="B2661" s="20" t="s">
        <v>5469</v>
      </c>
      <c r="C2661" s="20" t="s">
        <v>5470</v>
      </c>
      <c r="D2661" s="20" t="s">
        <v>5469</v>
      </c>
      <c r="E2661" s="20" t="e">
        <f t="array" ref="E2661">INDEX(C:C,SMALL(IF(ISNUMBER(FIND(CELL("contents"),$C$2:$C$4852)),ROW($C$2:$C$4852),4^8),ROW(C2661)))&amp;""</f>
        <v>#N/A</v>
      </c>
    </row>
    <row r="2662" ht="14.100000000000001" customHeight="1">
      <c r="B2662" s="20" t="s">
        <v>5471</v>
      </c>
      <c r="C2662" s="20" t="s">
        <v>5472</v>
      </c>
      <c r="D2662" s="20" t="s">
        <v>5471</v>
      </c>
      <c r="E2662" s="20" t="e">
        <f t="array" ref="E2662">INDEX(C:C,SMALL(IF(ISNUMBER(FIND(CELL("contents"),$C$2:$C$4852)),ROW($C$2:$C$4852),4^8),ROW(C2662)))&amp;""</f>
        <v>#N/A</v>
      </c>
    </row>
    <row r="2663" ht="14.100000000000001" customHeight="1">
      <c r="B2663" s="20" t="s">
        <v>5473</v>
      </c>
      <c r="C2663" s="20" t="s">
        <v>5474</v>
      </c>
      <c r="D2663" s="20" t="s">
        <v>5473</v>
      </c>
      <c r="E2663" s="20" t="e">
        <f t="array" ref="E2663">INDEX(C:C,SMALL(IF(ISNUMBER(FIND(CELL("contents"),$C$2:$C$4852)),ROW($C$2:$C$4852),4^8),ROW(C2663)))&amp;""</f>
        <v>#N/A</v>
      </c>
    </row>
    <row r="2664" ht="14.100000000000001" customHeight="1">
      <c r="B2664" s="20" t="s">
        <v>5475</v>
      </c>
      <c r="C2664" s="20" t="s">
        <v>5476</v>
      </c>
      <c r="D2664" s="20" t="s">
        <v>5475</v>
      </c>
      <c r="E2664" s="20" t="e">
        <f t="array" ref="E2664">INDEX(C:C,SMALL(IF(ISNUMBER(FIND(CELL("contents"),$C$2:$C$4852)),ROW($C$2:$C$4852),4^8),ROW(C2664)))&amp;""</f>
        <v>#N/A</v>
      </c>
    </row>
    <row r="2665" ht="14.100000000000001" customHeight="1">
      <c r="B2665" s="20" t="s">
        <v>5477</v>
      </c>
      <c r="C2665" s="20" t="s">
        <v>5478</v>
      </c>
      <c r="D2665" s="20" t="s">
        <v>5477</v>
      </c>
      <c r="E2665" s="20" t="e">
        <f t="array" ref="E2665">INDEX(C:C,SMALL(IF(ISNUMBER(FIND(CELL("contents"),$C$2:$C$4852)),ROW($C$2:$C$4852),4^8),ROW(C2665)))&amp;""</f>
        <v>#N/A</v>
      </c>
    </row>
    <row r="2666" ht="14.100000000000001" customHeight="1">
      <c r="B2666" s="20" t="s">
        <v>5479</v>
      </c>
      <c r="C2666" s="20" t="s">
        <v>5480</v>
      </c>
      <c r="D2666" s="20" t="s">
        <v>5479</v>
      </c>
      <c r="E2666" s="20" t="e">
        <f t="array" ref="E2666">INDEX(C:C,SMALL(IF(ISNUMBER(FIND(CELL("contents"),$C$2:$C$4852)),ROW($C$2:$C$4852),4^8),ROW(C2666)))&amp;""</f>
        <v>#N/A</v>
      </c>
    </row>
    <row r="2667" ht="14.100000000000001" customHeight="1">
      <c r="B2667" s="20" t="s">
        <v>5481</v>
      </c>
      <c r="C2667" s="20" t="s">
        <v>5482</v>
      </c>
      <c r="D2667" s="20" t="s">
        <v>5481</v>
      </c>
      <c r="E2667" s="20" t="e">
        <f t="array" ref="E2667">INDEX(C:C,SMALL(IF(ISNUMBER(FIND(CELL("contents"),$C$2:$C$4852)),ROW($C$2:$C$4852),4^8),ROW(C2667)))&amp;""</f>
        <v>#N/A</v>
      </c>
    </row>
    <row r="2668" ht="14.100000000000001" customHeight="1">
      <c r="B2668" s="20" t="s">
        <v>5483</v>
      </c>
      <c r="C2668" s="20" t="s">
        <v>5484</v>
      </c>
      <c r="D2668" s="20" t="s">
        <v>5483</v>
      </c>
      <c r="E2668" s="20" t="e">
        <f t="array" ref="E2668">INDEX(C:C,SMALL(IF(ISNUMBER(FIND(CELL("contents"),$C$2:$C$4852)),ROW($C$2:$C$4852),4^8),ROW(C2668)))&amp;""</f>
        <v>#N/A</v>
      </c>
    </row>
    <row r="2669" ht="14.100000000000001" customHeight="1">
      <c r="B2669" s="20" t="s">
        <v>5485</v>
      </c>
      <c r="C2669" s="20" t="s">
        <v>5486</v>
      </c>
      <c r="D2669" s="20" t="s">
        <v>5485</v>
      </c>
      <c r="E2669" s="20" t="e">
        <f t="array" ref="E2669">INDEX(C:C,SMALL(IF(ISNUMBER(FIND(CELL("contents"),$C$2:$C$4852)),ROW($C$2:$C$4852),4^8),ROW(C2669)))&amp;""</f>
        <v>#N/A</v>
      </c>
    </row>
    <row r="2670" ht="14.100000000000001" customHeight="1">
      <c r="B2670" s="20" t="s">
        <v>5487</v>
      </c>
      <c r="C2670" s="20" t="s">
        <v>5488</v>
      </c>
      <c r="D2670" s="20" t="s">
        <v>5487</v>
      </c>
      <c r="E2670" s="20" t="e">
        <f t="array" ref="E2670">INDEX(C:C,SMALL(IF(ISNUMBER(FIND(CELL("contents"),$C$2:$C$4852)),ROW($C$2:$C$4852),4^8),ROW(C2670)))&amp;""</f>
        <v>#N/A</v>
      </c>
    </row>
    <row r="2671" ht="14.100000000000001" customHeight="1">
      <c r="B2671" s="20" t="s">
        <v>5489</v>
      </c>
      <c r="C2671" s="20" t="s">
        <v>5490</v>
      </c>
      <c r="D2671" s="20" t="s">
        <v>5489</v>
      </c>
      <c r="E2671" s="20" t="e">
        <f t="array" ref="E2671">INDEX(C:C,SMALL(IF(ISNUMBER(FIND(CELL("contents"),$C$2:$C$4852)),ROW($C$2:$C$4852),4^8),ROW(C2671)))&amp;""</f>
        <v>#N/A</v>
      </c>
    </row>
    <row r="2672" ht="14.100000000000001" customHeight="1">
      <c r="B2672" s="20" t="s">
        <v>5491</v>
      </c>
      <c r="C2672" s="20" t="s">
        <v>5492</v>
      </c>
      <c r="D2672" s="20" t="s">
        <v>5491</v>
      </c>
      <c r="E2672" s="20" t="e">
        <f t="array" ref="E2672">INDEX(C:C,SMALL(IF(ISNUMBER(FIND(CELL("contents"),$C$2:$C$4852)),ROW($C$2:$C$4852),4^8),ROW(C2672)))&amp;""</f>
        <v>#N/A</v>
      </c>
    </row>
    <row r="2673" ht="14.100000000000001" customHeight="1">
      <c r="B2673" s="20" t="s">
        <v>5493</v>
      </c>
      <c r="C2673" s="20" t="s">
        <v>5494</v>
      </c>
      <c r="D2673" s="20" t="s">
        <v>5493</v>
      </c>
      <c r="E2673" s="20" t="e">
        <f t="array" ref="E2673">INDEX(C:C,SMALL(IF(ISNUMBER(FIND(CELL("contents"),$C$2:$C$4852)),ROW($C$2:$C$4852),4^8),ROW(C2673)))&amp;""</f>
        <v>#N/A</v>
      </c>
    </row>
    <row r="2674" ht="14.100000000000001" customHeight="1">
      <c r="B2674" s="20" t="s">
        <v>5495</v>
      </c>
      <c r="C2674" s="20" t="s">
        <v>5496</v>
      </c>
      <c r="D2674" s="20" t="s">
        <v>5495</v>
      </c>
      <c r="E2674" s="20" t="e">
        <f t="array" ref="E2674">INDEX(C:C,SMALL(IF(ISNUMBER(FIND(CELL("contents"),$C$2:$C$4852)),ROW($C$2:$C$4852),4^8),ROW(C2674)))&amp;""</f>
        <v>#N/A</v>
      </c>
    </row>
    <row r="2675" ht="14.100000000000001" customHeight="1">
      <c r="B2675" s="20" t="s">
        <v>5497</v>
      </c>
      <c r="C2675" s="20" t="s">
        <v>5498</v>
      </c>
      <c r="D2675" s="20" t="s">
        <v>5497</v>
      </c>
      <c r="E2675" s="20" t="e">
        <f t="array" ref="E2675">INDEX(C:C,SMALL(IF(ISNUMBER(FIND(CELL("contents"),$C$2:$C$4852)),ROW($C$2:$C$4852),4^8),ROW(C2675)))&amp;""</f>
        <v>#N/A</v>
      </c>
    </row>
    <row r="2676" ht="14.100000000000001" customHeight="1">
      <c r="B2676" s="20" t="s">
        <v>5499</v>
      </c>
      <c r="C2676" s="20" t="s">
        <v>5500</v>
      </c>
      <c r="D2676" s="20" t="s">
        <v>5499</v>
      </c>
      <c r="E2676" s="20" t="e">
        <f t="array" ref="E2676">INDEX(C:C,SMALL(IF(ISNUMBER(FIND(CELL("contents"),$C$2:$C$4852)),ROW($C$2:$C$4852),4^8),ROW(C2676)))&amp;""</f>
        <v>#N/A</v>
      </c>
    </row>
    <row r="2677" ht="14.100000000000001" customHeight="1">
      <c r="B2677" s="20" t="s">
        <v>5501</v>
      </c>
      <c r="C2677" s="20" t="s">
        <v>5502</v>
      </c>
      <c r="D2677" s="20" t="s">
        <v>5501</v>
      </c>
      <c r="E2677" s="20" t="e">
        <f t="array" ref="E2677">INDEX(C:C,SMALL(IF(ISNUMBER(FIND(CELL("contents"),$C$2:$C$4852)),ROW($C$2:$C$4852),4^8),ROW(C2677)))&amp;""</f>
        <v>#N/A</v>
      </c>
    </row>
    <row r="2678" ht="14.100000000000001" customHeight="1">
      <c r="B2678" s="20" t="s">
        <v>5503</v>
      </c>
      <c r="C2678" s="20" t="s">
        <v>5504</v>
      </c>
      <c r="D2678" s="20" t="s">
        <v>5503</v>
      </c>
      <c r="E2678" s="20" t="e">
        <f t="array" ref="E2678">INDEX(C:C,SMALL(IF(ISNUMBER(FIND(CELL("contents"),$C$2:$C$4852)),ROW($C$2:$C$4852),4^8),ROW(C2678)))&amp;""</f>
        <v>#N/A</v>
      </c>
    </row>
    <row r="2679" ht="14.100000000000001" customHeight="1">
      <c r="B2679" s="20" t="s">
        <v>5505</v>
      </c>
      <c r="C2679" s="20" t="s">
        <v>5506</v>
      </c>
      <c r="D2679" s="20" t="s">
        <v>5505</v>
      </c>
      <c r="E2679" s="20" t="e">
        <f t="array" ref="E2679">INDEX(C:C,SMALL(IF(ISNUMBER(FIND(CELL("contents"),$C$2:$C$4852)),ROW($C$2:$C$4852),4^8),ROW(C2679)))&amp;""</f>
        <v>#N/A</v>
      </c>
    </row>
    <row r="2680" ht="14.100000000000001" customHeight="1">
      <c r="B2680" s="20" t="s">
        <v>5507</v>
      </c>
      <c r="C2680" s="20" t="s">
        <v>5508</v>
      </c>
      <c r="D2680" s="20" t="s">
        <v>5507</v>
      </c>
      <c r="E2680" s="20" t="e">
        <f t="array" ref="E2680">INDEX(C:C,SMALL(IF(ISNUMBER(FIND(CELL("contents"),$C$2:$C$4852)),ROW($C$2:$C$4852),4^8),ROW(C2680)))&amp;""</f>
        <v>#N/A</v>
      </c>
    </row>
    <row r="2681" ht="14.100000000000001" customHeight="1">
      <c r="B2681" s="20" t="s">
        <v>5509</v>
      </c>
      <c r="C2681" s="20" t="s">
        <v>5510</v>
      </c>
      <c r="D2681" s="20" t="s">
        <v>5509</v>
      </c>
      <c r="E2681" s="20" t="e">
        <f t="array" ref="E2681">INDEX(C:C,SMALL(IF(ISNUMBER(FIND(CELL("contents"),$C$2:$C$4852)),ROW($C$2:$C$4852),4^8),ROW(C2681)))&amp;""</f>
        <v>#N/A</v>
      </c>
    </row>
    <row r="2682" ht="14.100000000000001" customHeight="1">
      <c r="B2682" s="20" t="s">
        <v>5511</v>
      </c>
      <c r="C2682" s="20" t="s">
        <v>5512</v>
      </c>
      <c r="D2682" s="20" t="s">
        <v>5511</v>
      </c>
      <c r="E2682" s="20" t="e">
        <f t="array" ref="E2682">INDEX(C:C,SMALL(IF(ISNUMBER(FIND(CELL("contents"),$C$2:$C$4852)),ROW($C$2:$C$4852),4^8),ROW(C2682)))&amp;""</f>
        <v>#N/A</v>
      </c>
    </row>
    <row r="2683" ht="14.100000000000001" customHeight="1">
      <c r="B2683" s="20" t="s">
        <v>5513</v>
      </c>
      <c r="C2683" s="20" t="s">
        <v>5514</v>
      </c>
      <c r="D2683" s="20" t="s">
        <v>5513</v>
      </c>
      <c r="E2683" s="20" t="e">
        <f t="array" ref="E2683">INDEX(C:C,SMALL(IF(ISNUMBER(FIND(CELL("contents"),$C$2:$C$4852)),ROW($C$2:$C$4852),4^8),ROW(C2683)))&amp;""</f>
        <v>#N/A</v>
      </c>
    </row>
    <row r="2684" ht="14.100000000000001" customHeight="1">
      <c r="B2684" s="20" t="s">
        <v>5515</v>
      </c>
      <c r="C2684" s="20" t="s">
        <v>5516</v>
      </c>
      <c r="D2684" s="20" t="s">
        <v>5515</v>
      </c>
      <c r="E2684" s="20" t="e">
        <f t="array" ref="E2684">INDEX(C:C,SMALL(IF(ISNUMBER(FIND(CELL("contents"),$C$2:$C$4852)),ROW($C$2:$C$4852),4^8),ROW(C2684)))&amp;""</f>
        <v>#N/A</v>
      </c>
    </row>
    <row r="2685" ht="14.100000000000001" customHeight="1">
      <c r="B2685" s="20" t="s">
        <v>5517</v>
      </c>
      <c r="C2685" s="20" t="s">
        <v>5518</v>
      </c>
      <c r="D2685" s="20" t="s">
        <v>5517</v>
      </c>
      <c r="E2685" s="20" t="e">
        <f t="array" ref="E2685">INDEX(C:C,SMALL(IF(ISNUMBER(FIND(CELL("contents"),$C$2:$C$4852)),ROW($C$2:$C$4852),4^8),ROW(C2685)))&amp;""</f>
        <v>#N/A</v>
      </c>
    </row>
    <row r="2686" ht="14.100000000000001" customHeight="1">
      <c r="B2686" s="20" t="s">
        <v>5519</v>
      </c>
      <c r="C2686" s="20" t="s">
        <v>5520</v>
      </c>
      <c r="D2686" s="20" t="s">
        <v>5519</v>
      </c>
      <c r="E2686" s="20" t="e">
        <f t="array" ref="E2686">INDEX(C:C,SMALL(IF(ISNUMBER(FIND(CELL("contents"),$C$2:$C$4852)),ROW($C$2:$C$4852),4^8),ROW(C2686)))&amp;""</f>
        <v>#N/A</v>
      </c>
    </row>
    <row r="2687" ht="14.100000000000001" customHeight="1">
      <c r="B2687" s="20" t="s">
        <v>5521</v>
      </c>
      <c r="C2687" s="20" t="s">
        <v>5522</v>
      </c>
      <c r="D2687" s="20" t="s">
        <v>5521</v>
      </c>
      <c r="E2687" s="20" t="e">
        <f t="array" ref="E2687">INDEX(C:C,SMALL(IF(ISNUMBER(FIND(CELL("contents"),$C$2:$C$4852)),ROW($C$2:$C$4852),4^8),ROW(C2687)))&amp;""</f>
        <v>#N/A</v>
      </c>
    </row>
    <row r="2688" ht="14.100000000000001" customHeight="1">
      <c r="B2688" s="20" t="s">
        <v>5523</v>
      </c>
      <c r="C2688" s="20" t="s">
        <v>5524</v>
      </c>
      <c r="D2688" s="20" t="s">
        <v>5523</v>
      </c>
      <c r="E2688" s="20" t="e">
        <f t="array" ref="E2688">INDEX(C:C,SMALL(IF(ISNUMBER(FIND(CELL("contents"),$C$2:$C$4852)),ROW($C$2:$C$4852),4^8),ROW(C2688)))&amp;""</f>
        <v>#N/A</v>
      </c>
    </row>
    <row r="2689" ht="14.100000000000001" customHeight="1">
      <c r="B2689" s="20" t="s">
        <v>5525</v>
      </c>
      <c r="C2689" s="20" t="s">
        <v>5526</v>
      </c>
      <c r="D2689" s="20" t="s">
        <v>5525</v>
      </c>
      <c r="E2689" s="20" t="e">
        <f t="array" ref="E2689">INDEX(C:C,SMALL(IF(ISNUMBER(FIND(CELL("contents"),$C$2:$C$4852)),ROW($C$2:$C$4852),4^8),ROW(C2689)))&amp;""</f>
        <v>#N/A</v>
      </c>
    </row>
    <row r="2690" ht="14.100000000000001" customHeight="1">
      <c r="B2690" s="20" t="s">
        <v>5527</v>
      </c>
      <c r="C2690" s="20" t="s">
        <v>5528</v>
      </c>
      <c r="D2690" s="20" t="s">
        <v>5527</v>
      </c>
      <c r="E2690" s="20" t="e">
        <f t="array" ref="E2690">INDEX(C:C,SMALL(IF(ISNUMBER(FIND(CELL("contents"),$C$2:$C$4852)),ROW($C$2:$C$4852),4^8),ROW(C2690)))&amp;""</f>
        <v>#N/A</v>
      </c>
    </row>
    <row r="2691" ht="14.100000000000001" customHeight="1">
      <c r="B2691" s="20" t="s">
        <v>5529</v>
      </c>
      <c r="C2691" s="20" t="s">
        <v>5530</v>
      </c>
      <c r="D2691" s="20" t="s">
        <v>5529</v>
      </c>
      <c r="E2691" s="20" t="e">
        <f t="array" ref="E2691">INDEX(C:C,SMALL(IF(ISNUMBER(FIND(CELL("contents"),$C$2:$C$4852)),ROW($C$2:$C$4852),4^8),ROW(C2691)))&amp;""</f>
        <v>#N/A</v>
      </c>
    </row>
    <row r="2692" ht="14.100000000000001" customHeight="1">
      <c r="B2692" s="20" t="s">
        <v>5531</v>
      </c>
      <c r="C2692" s="20" t="s">
        <v>5532</v>
      </c>
      <c r="D2692" s="20" t="s">
        <v>5531</v>
      </c>
      <c r="E2692" s="20" t="e">
        <f t="array" ref="E2692">INDEX(C:C,SMALL(IF(ISNUMBER(FIND(CELL("contents"),$C$2:$C$4852)),ROW($C$2:$C$4852),4^8),ROW(C2692)))&amp;""</f>
        <v>#N/A</v>
      </c>
    </row>
    <row r="2693" ht="14.100000000000001" customHeight="1">
      <c r="B2693" s="20" t="s">
        <v>5533</v>
      </c>
      <c r="C2693" s="20" t="s">
        <v>5534</v>
      </c>
      <c r="D2693" s="20" t="s">
        <v>5533</v>
      </c>
      <c r="E2693" s="20" t="e">
        <f t="array" ref="E2693">INDEX(C:C,SMALL(IF(ISNUMBER(FIND(CELL("contents"),$C$2:$C$4852)),ROW($C$2:$C$4852),4^8),ROW(C2693)))&amp;""</f>
        <v>#N/A</v>
      </c>
    </row>
    <row r="2694" ht="14.100000000000001" customHeight="1">
      <c r="B2694" s="20" t="s">
        <v>5535</v>
      </c>
      <c r="C2694" s="20" t="s">
        <v>5536</v>
      </c>
      <c r="D2694" s="20" t="s">
        <v>5535</v>
      </c>
      <c r="E2694" s="20" t="e">
        <f t="array" ref="E2694">INDEX(C:C,SMALL(IF(ISNUMBER(FIND(CELL("contents"),$C$2:$C$4852)),ROW($C$2:$C$4852),4^8),ROW(C2694)))&amp;""</f>
        <v>#N/A</v>
      </c>
    </row>
    <row r="2695" ht="14.100000000000001" customHeight="1">
      <c r="B2695" s="20" t="s">
        <v>5537</v>
      </c>
      <c r="C2695" s="20" t="s">
        <v>5538</v>
      </c>
      <c r="D2695" s="20" t="s">
        <v>5537</v>
      </c>
      <c r="E2695" s="20" t="e">
        <f t="array" ref="E2695">INDEX(C:C,SMALL(IF(ISNUMBER(FIND(CELL("contents"),$C$2:$C$4852)),ROW($C$2:$C$4852),4^8),ROW(C2695)))&amp;""</f>
        <v>#N/A</v>
      </c>
    </row>
    <row r="2696" ht="14.100000000000001" customHeight="1">
      <c r="B2696" s="20" t="s">
        <v>5539</v>
      </c>
      <c r="C2696" s="20" t="s">
        <v>5540</v>
      </c>
      <c r="D2696" s="20" t="s">
        <v>5539</v>
      </c>
      <c r="E2696" s="20" t="e">
        <f t="array" ref="E2696">INDEX(C:C,SMALL(IF(ISNUMBER(FIND(CELL("contents"),$C$2:$C$4852)),ROW($C$2:$C$4852),4^8),ROW(C2696)))&amp;""</f>
        <v>#N/A</v>
      </c>
    </row>
    <row r="2697" ht="14.100000000000001" customHeight="1">
      <c r="B2697" s="20" t="s">
        <v>5541</v>
      </c>
      <c r="C2697" s="20" t="s">
        <v>5542</v>
      </c>
      <c r="D2697" s="20" t="s">
        <v>5541</v>
      </c>
      <c r="E2697" s="20" t="e">
        <f t="array" ref="E2697">INDEX(C:C,SMALL(IF(ISNUMBER(FIND(CELL("contents"),$C$2:$C$4852)),ROW($C$2:$C$4852),4^8),ROW(C2697)))&amp;""</f>
        <v>#N/A</v>
      </c>
    </row>
    <row r="2698" ht="14.100000000000001" customHeight="1">
      <c r="B2698" s="20" t="s">
        <v>5543</v>
      </c>
      <c r="C2698" s="20" t="s">
        <v>5544</v>
      </c>
      <c r="D2698" s="20" t="s">
        <v>5543</v>
      </c>
      <c r="E2698" s="20" t="e">
        <f t="array" ref="E2698">INDEX(C:C,SMALL(IF(ISNUMBER(FIND(CELL("contents"),$C$2:$C$4852)),ROW($C$2:$C$4852),4^8),ROW(C2698)))&amp;""</f>
        <v>#N/A</v>
      </c>
    </row>
    <row r="2699" ht="14.100000000000001" customHeight="1">
      <c r="B2699" s="20" t="s">
        <v>5545</v>
      </c>
      <c r="C2699" s="20" t="s">
        <v>5546</v>
      </c>
      <c r="D2699" s="20" t="s">
        <v>5545</v>
      </c>
      <c r="E2699" s="20" t="e">
        <f t="array" ref="E2699">INDEX(C:C,SMALL(IF(ISNUMBER(FIND(CELL("contents"),$C$2:$C$4852)),ROW($C$2:$C$4852),4^8),ROW(C2699)))&amp;""</f>
        <v>#N/A</v>
      </c>
    </row>
    <row r="2700" ht="14.100000000000001" customHeight="1">
      <c r="B2700" s="20" t="s">
        <v>5547</v>
      </c>
      <c r="C2700" s="20" t="s">
        <v>5548</v>
      </c>
      <c r="D2700" s="20" t="s">
        <v>5547</v>
      </c>
      <c r="E2700" s="20" t="e">
        <f t="array" ref="E2700">INDEX(C:C,SMALL(IF(ISNUMBER(FIND(CELL("contents"),$C$2:$C$4852)),ROW($C$2:$C$4852),4^8),ROW(C2700)))&amp;""</f>
        <v>#N/A</v>
      </c>
    </row>
    <row r="2701" ht="14.100000000000001" customHeight="1">
      <c r="B2701" s="20" t="s">
        <v>5549</v>
      </c>
      <c r="C2701" s="20" t="s">
        <v>5550</v>
      </c>
      <c r="D2701" s="20" t="s">
        <v>5549</v>
      </c>
      <c r="E2701" s="20" t="e">
        <f t="array" ref="E2701">INDEX(C:C,SMALL(IF(ISNUMBER(FIND(CELL("contents"),$C$2:$C$4852)),ROW($C$2:$C$4852),4^8),ROW(C2701)))&amp;""</f>
        <v>#N/A</v>
      </c>
    </row>
    <row r="2702" ht="14.100000000000001" customHeight="1">
      <c r="B2702" s="20" t="s">
        <v>5551</v>
      </c>
      <c r="C2702" s="20" t="s">
        <v>5552</v>
      </c>
      <c r="D2702" s="20" t="s">
        <v>5551</v>
      </c>
      <c r="E2702" s="20" t="e">
        <f t="array" ref="E2702">INDEX(C:C,SMALL(IF(ISNUMBER(FIND(CELL("contents"),$C$2:$C$4852)),ROW($C$2:$C$4852),4^8),ROW(C2702)))&amp;""</f>
        <v>#N/A</v>
      </c>
    </row>
    <row r="2703" ht="14.100000000000001" customHeight="1">
      <c r="B2703" s="20" t="s">
        <v>5553</v>
      </c>
      <c r="C2703" s="20" t="s">
        <v>5554</v>
      </c>
      <c r="D2703" s="20" t="s">
        <v>5553</v>
      </c>
      <c r="E2703" s="20" t="e">
        <f t="array" ref="E2703">INDEX(C:C,SMALL(IF(ISNUMBER(FIND(CELL("contents"),$C$2:$C$4852)),ROW($C$2:$C$4852),4^8),ROW(C2703)))&amp;""</f>
        <v>#N/A</v>
      </c>
    </row>
    <row r="2704" ht="14.100000000000001" customHeight="1">
      <c r="B2704" s="20" t="s">
        <v>5555</v>
      </c>
      <c r="C2704" s="20" t="s">
        <v>5556</v>
      </c>
      <c r="D2704" s="20" t="s">
        <v>5555</v>
      </c>
      <c r="E2704" s="20" t="e">
        <f t="array" ref="E2704">INDEX(C:C,SMALL(IF(ISNUMBER(FIND(CELL("contents"),$C$2:$C$4852)),ROW($C$2:$C$4852),4^8),ROW(C2704)))&amp;""</f>
        <v>#N/A</v>
      </c>
    </row>
    <row r="2705" ht="14.100000000000001" customHeight="1">
      <c r="B2705" s="20" t="s">
        <v>5557</v>
      </c>
      <c r="C2705" s="20" t="s">
        <v>5558</v>
      </c>
      <c r="D2705" s="20" t="s">
        <v>5557</v>
      </c>
      <c r="E2705" s="20" t="e">
        <f t="array" ref="E2705">INDEX(C:C,SMALL(IF(ISNUMBER(FIND(CELL("contents"),$C$2:$C$4852)),ROW($C$2:$C$4852),4^8),ROW(C2705)))&amp;""</f>
        <v>#N/A</v>
      </c>
    </row>
    <row r="2706" ht="14.100000000000001" customHeight="1">
      <c r="B2706" s="20" t="s">
        <v>5559</v>
      </c>
      <c r="C2706" s="20" t="s">
        <v>5560</v>
      </c>
      <c r="D2706" s="20" t="s">
        <v>5559</v>
      </c>
      <c r="E2706" s="20" t="e">
        <f t="array" ref="E2706">INDEX(C:C,SMALL(IF(ISNUMBER(FIND(CELL("contents"),$C$2:$C$4852)),ROW($C$2:$C$4852),4^8),ROW(C2706)))&amp;""</f>
        <v>#N/A</v>
      </c>
    </row>
    <row r="2707" ht="14.100000000000001" customHeight="1">
      <c r="B2707" s="20" t="s">
        <v>5561</v>
      </c>
      <c r="C2707" s="20" t="s">
        <v>5562</v>
      </c>
      <c r="D2707" s="20" t="s">
        <v>5561</v>
      </c>
      <c r="E2707" s="20" t="e">
        <f t="array" ref="E2707">INDEX(C:C,SMALL(IF(ISNUMBER(FIND(CELL("contents"),$C$2:$C$4852)),ROW($C$2:$C$4852),4^8),ROW(C2707)))&amp;""</f>
        <v>#N/A</v>
      </c>
    </row>
    <row r="2708" ht="14.100000000000001" customHeight="1">
      <c r="B2708" s="20" t="s">
        <v>5563</v>
      </c>
      <c r="C2708" s="20" t="s">
        <v>5564</v>
      </c>
      <c r="D2708" s="20" t="s">
        <v>5563</v>
      </c>
      <c r="E2708" s="20" t="e">
        <f t="array" ref="E2708">INDEX(C:C,SMALL(IF(ISNUMBER(FIND(CELL("contents"),$C$2:$C$4852)),ROW($C$2:$C$4852),4^8),ROW(C2708)))&amp;""</f>
        <v>#N/A</v>
      </c>
    </row>
    <row r="2709" ht="14.100000000000001" customHeight="1">
      <c r="B2709" s="20" t="s">
        <v>5565</v>
      </c>
      <c r="C2709" s="20" t="s">
        <v>5566</v>
      </c>
      <c r="D2709" s="20" t="s">
        <v>5565</v>
      </c>
      <c r="E2709" s="20" t="e">
        <f t="array" ref="E2709">INDEX(C:C,SMALL(IF(ISNUMBER(FIND(CELL("contents"),$C$2:$C$4852)),ROW($C$2:$C$4852),4^8),ROW(C2709)))&amp;""</f>
        <v>#N/A</v>
      </c>
    </row>
    <row r="2710" ht="14.100000000000001" customHeight="1">
      <c r="B2710" s="20" t="s">
        <v>5567</v>
      </c>
      <c r="C2710" s="20" t="s">
        <v>5568</v>
      </c>
      <c r="D2710" s="20" t="s">
        <v>5567</v>
      </c>
      <c r="E2710" s="20" t="e">
        <f t="array" ref="E2710">INDEX(C:C,SMALL(IF(ISNUMBER(FIND(CELL("contents"),$C$2:$C$4852)),ROW($C$2:$C$4852),4^8),ROW(C2710)))&amp;""</f>
        <v>#N/A</v>
      </c>
    </row>
    <row r="2711" ht="14.100000000000001" customHeight="1">
      <c r="B2711" s="20" t="s">
        <v>5569</v>
      </c>
      <c r="C2711" s="20" t="s">
        <v>5570</v>
      </c>
      <c r="D2711" s="20" t="s">
        <v>5569</v>
      </c>
      <c r="E2711" s="20" t="e">
        <f t="array" ref="E2711">INDEX(C:C,SMALL(IF(ISNUMBER(FIND(CELL("contents"),$C$2:$C$4852)),ROW($C$2:$C$4852),4^8),ROW(C2711)))&amp;""</f>
        <v>#N/A</v>
      </c>
    </row>
    <row r="2712" ht="14.100000000000001" customHeight="1">
      <c r="B2712" s="20" t="s">
        <v>5571</v>
      </c>
      <c r="C2712" s="20" t="s">
        <v>5572</v>
      </c>
      <c r="D2712" s="20" t="s">
        <v>5571</v>
      </c>
      <c r="E2712" s="20" t="e">
        <f t="array" ref="E2712">INDEX(C:C,SMALL(IF(ISNUMBER(FIND(CELL("contents"),$C$2:$C$4852)),ROW($C$2:$C$4852),4^8),ROW(C2712)))&amp;""</f>
        <v>#N/A</v>
      </c>
    </row>
    <row r="2713" ht="14.100000000000001" customHeight="1">
      <c r="B2713" s="20" t="s">
        <v>5573</v>
      </c>
      <c r="C2713" s="20" t="s">
        <v>5574</v>
      </c>
      <c r="D2713" s="20" t="s">
        <v>5573</v>
      </c>
      <c r="E2713" s="20" t="e">
        <f t="array" ref="E2713">INDEX(C:C,SMALL(IF(ISNUMBER(FIND(CELL("contents"),$C$2:$C$4852)),ROW($C$2:$C$4852),4^8),ROW(C2713)))&amp;""</f>
        <v>#N/A</v>
      </c>
    </row>
    <row r="2714" ht="14.100000000000001" customHeight="1">
      <c r="B2714" s="20" t="s">
        <v>5575</v>
      </c>
      <c r="C2714" s="20" t="s">
        <v>5576</v>
      </c>
      <c r="D2714" s="20" t="s">
        <v>5575</v>
      </c>
      <c r="E2714" s="20" t="e">
        <f t="array" ref="E2714">INDEX(C:C,SMALL(IF(ISNUMBER(FIND(CELL("contents"),$C$2:$C$4852)),ROW($C$2:$C$4852),4^8),ROW(C2714)))&amp;""</f>
        <v>#N/A</v>
      </c>
    </row>
    <row r="2715" ht="14.100000000000001" customHeight="1">
      <c r="B2715" s="20" t="s">
        <v>5577</v>
      </c>
      <c r="C2715" s="20" t="s">
        <v>5578</v>
      </c>
      <c r="D2715" s="20" t="s">
        <v>5577</v>
      </c>
      <c r="E2715" s="20" t="e">
        <f t="array" ref="E2715">INDEX(C:C,SMALL(IF(ISNUMBER(FIND(CELL("contents"),$C$2:$C$4852)),ROW($C$2:$C$4852),4^8),ROW(C2715)))&amp;""</f>
        <v>#N/A</v>
      </c>
    </row>
    <row r="2716" ht="14.100000000000001" customHeight="1">
      <c r="B2716" s="20" t="s">
        <v>5579</v>
      </c>
      <c r="C2716" s="20" t="s">
        <v>5580</v>
      </c>
      <c r="D2716" s="20" t="s">
        <v>5579</v>
      </c>
      <c r="E2716" s="20" t="e">
        <f t="array" ref="E2716">INDEX(C:C,SMALL(IF(ISNUMBER(FIND(CELL("contents"),$C$2:$C$4852)),ROW($C$2:$C$4852),4^8),ROW(C2716)))&amp;""</f>
        <v>#N/A</v>
      </c>
    </row>
    <row r="2717" ht="14.100000000000001" customHeight="1">
      <c r="B2717" s="20" t="s">
        <v>5581</v>
      </c>
      <c r="C2717" s="20" t="s">
        <v>5582</v>
      </c>
      <c r="D2717" s="20" t="s">
        <v>5581</v>
      </c>
      <c r="E2717" s="20" t="e">
        <f t="array" ref="E2717">INDEX(C:C,SMALL(IF(ISNUMBER(FIND(CELL("contents"),$C$2:$C$4852)),ROW($C$2:$C$4852),4^8),ROW(C2717)))&amp;""</f>
        <v>#N/A</v>
      </c>
    </row>
    <row r="2718" ht="14.100000000000001" customHeight="1">
      <c r="B2718" s="20" t="s">
        <v>5583</v>
      </c>
      <c r="C2718" s="20" t="s">
        <v>5584</v>
      </c>
      <c r="D2718" s="20" t="s">
        <v>5583</v>
      </c>
      <c r="E2718" s="20" t="e">
        <f t="array" ref="E2718">INDEX(C:C,SMALL(IF(ISNUMBER(FIND(CELL("contents"),$C$2:$C$4852)),ROW($C$2:$C$4852),4^8),ROW(C2718)))&amp;""</f>
        <v>#N/A</v>
      </c>
    </row>
    <row r="2719" ht="14.100000000000001" customHeight="1">
      <c r="B2719" s="20" t="s">
        <v>5585</v>
      </c>
      <c r="C2719" s="20" t="s">
        <v>5586</v>
      </c>
      <c r="D2719" s="20" t="s">
        <v>5585</v>
      </c>
      <c r="E2719" s="20" t="e">
        <f t="array" ref="E2719">INDEX(C:C,SMALL(IF(ISNUMBER(FIND(CELL("contents"),$C$2:$C$4852)),ROW($C$2:$C$4852),4^8),ROW(C2719)))&amp;""</f>
        <v>#N/A</v>
      </c>
    </row>
    <row r="2720" ht="14.100000000000001" customHeight="1">
      <c r="B2720" s="20" t="s">
        <v>5587</v>
      </c>
      <c r="C2720" s="20" t="s">
        <v>5588</v>
      </c>
      <c r="D2720" s="20" t="s">
        <v>5587</v>
      </c>
      <c r="E2720" s="20" t="e">
        <f t="array" ref="E2720">INDEX(C:C,SMALL(IF(ISNUMBER(FIND(CELL("contents"),$C$2:$C$4852)),ROW($C$2:$C$4852),4^8),ROW(C2720)))&amp;""</f>
        <v>#N/A</v>
      </c>
    </row>
    <row r="2721" ht="14.100000000000001" customHeight="1">
      <c r="B2721" s="20" t="s">
        <v>5589</v>
      </c>
      <c r="C2721" s="20" t="s">
        <v>5590</v>
      </c>
      <c r="D2721" s="20" t="s">
        <v>5589</v>
      </c>
      <c r="E2721" s="20" t="e">
        <f t="array" ref="E2721">INDEX(C:C,SMALL(IF(ISNUMBER(FIND(CELL("contents"),$C$2:$C$4852)),ROW($C$2:$C$4852),4^8),ROW(C2721)))&amp;""</f>
        <v>#N/A</v>
      </c>
    </row>
    <row r="2722" ht="14.100000000000001" customHeight="1">
      <c r="B2722" s="20" t="s">
        <v>5591</v>
      </c>
      <c r="C2722" s="20" t="s">
        <v>5592</v>
      </c>
      <c r="D2722" s="20" t="s">
        <v>5591</v>
      </c>
      <c r="E2722" s="20" t="e">
        <f t="array" ref="E2722">INDEX(C:C,SMALL(IF(ISNUMBER(FIND(CELL("contents"),$C$2:$C$4852)),ROW($C$2:$C$4852),4^8),ROW(C2722)))&amp;""</f>
        <v>#N/A</v>
      </c>
    </row>
    <row r="2723" ht="14.100000000000001" customHeight="1">
      <c r="B2723" s="20" t="s">
        <v>5593</v>
      </c>
      <c r="C2723" s="20" t="s">
        <v>5594</v>
      </c>
      <c r="D2723" s="20" t="s">
        <v>5593</v>
      </c>
      <c r="E2723" s="20" t="e">
        <f t="array" ref="E2723">INDEX(C:C,SMALL(IF(ISNUMBER(FIND(CELL("contents"),$C$2:$C$4852)),ROW($C$2:$C$4852),4^8),ROW(C2723)))&amp;""</f>
        <v>#N/A</v>
      </c>
    </row>
    <row r="2724" ht="14.100000000000001" customHeight="1">
      <c r="B2724" s="20" t="s">
        <v>5595</v>
      </c>
      <c r="C2724" s="20" t="s">
        <v>5596</v>
      </c>
      <c r="D2724" s="20" t="s">
        <v>5595</v>
      </c>
      <c r="E2724" s="20" t="e">
        <f t="array" ref="E2724">INDEX(C:C,SMALL(IF(ISNUMBER(FIND(CELL("contents"),$C$2:$C$4852)),ROW($C$2:$C$4852),4^8),ROW(C2724)))&amp;""</f>
        <v>#N/A</v>
      </c>
    </row>
    <row r="2725" ht="14.100000000000001" customHeight="1">
      <c r="B2725" s="20" t="s">
        <v>5597</v>
      </c>
      <c r="C2725" s="20" t="s">
        <v>5598</v>
      </c>
      <c r="D2725" s="20" t="s">
        <v>5597</v>
      </c>
      <c r="E2725" s="20" t="e">
        <f t="array" ref="E2725">INDEX(C:C,SMALL(IF(ISNUMBER(FIND(CELL("contents"),$C$2:$C$4852)),ROW($C$2:$C$4852),4^8),ROW(C2725)))&amp;""</f>
        <v>#N/A</v>
      </c>
    </row>
    <row r="2726" ht="14.100000000000001" customHeight="1">
      <c r="B2726" s="20" t="s">
        <v>5599</v>
      </c>
      <c r="C2726" s="20" t="s">
        <v>5600</v>
      </c>
      <c r="D2726" s="20" t="s">
        <v>5599</v>
      </c>
      <c r="E2726" s="20" t="e">
        <f t="array" ref="E2726">INDEX(C:C,SMALL(IF(ISNUMBER(FIND(CELL("contents"),$C$2:$C$4852)),ROW($C$2:$C$4852),4^8),ROW(C2726)))&amp;""</f>
        <v>#N/A</v>
      </c>
    </row>
    <row r="2727" ht="14.100000000000001" customHeight="1">
      <c r="B2727" s="20" t="s">
        <v>5601</v>
      </c>
      <c r="C2727" s="20" t="s">
        <v>5602</v>
      </c>
      <c r="D2727" s="20" t="s">
        <v>5601</v>
      </c>
      <c r="E2727" s="20" t="e">
        <f t="array" ref="E2727">INDEX(C:C,SMALL(IF(ISNUMBER(FIND(CELL("contents"),$C$2:$C$4852)),ROW($C$2:$C$4852),4^8),ROW(C2727)))&amp;""</f>
        <v>#N/A</v>
      </c>
    </row>
    <row r="2728" ht="14.100000000000001" customHeight="1">
      <c r="B2728" s="20" t="s">
        <v>5603</v>
      </c>
      <c r="C2728" s="20" t="s">
        <v>5604</v>
      </c>
      <c r="D2728" s="20" t="s">
        <v>5603</v>
      </c>
      <c r="E2728" s="20" t="e">
        <f t="array" ref="E2728">INDEX(C:C,SMALL(IF(ISNUMBER(FIND(CELL("contents"),$C$2:$C$4852)),ROW($C$2:$C$4852),4^8),ROW(C2728)))&amp;""</f>
        <v>#N/A</v>
      </c>
    </row>
    <row r="2729" ht="14.100000000000001" customHeight="1">
      <c r="B2729" s="20" t="s">
        <v>5605</v>
      </c>
      <c r="C2729" s="20" t="s">
        <v>5606</v>
      </c>
      <c r="D2729" s="20" t="s">
        <v>5605</v>
      </c>
      <c r="E2729" s="20" t="e">
        <f t="array" ref="E2729">INDEX(C:C,SMALL(IF(ISNUMBER(FIND(CELL("contents"),$C$2:$C$4852)),ROW($C$2:$C$4852),4^8),ROW(C2729)))&amp;""</f>
        <v>#N/A</v>
      </c>
    </row>
    <row r="2730" ht="14.100000000000001" customHeight="1">
      <c r="B2730" s="20" t="s">
        <v>5607</v>
      </c>
      <c r="C2730" s="20" t="s">
        <v>5608</v>
      </c>
      <c r="D2730" s="20" t="s">
        <v>5607</v>
      </c>
      <c r="E2730" s="20" t="e">
        <f t="array" ref="E2730">INDEX(C:C,SMALL(IF(ISNUMBER(FIND(CELL("contents"),$C$2:$C$4852)),ROW($C$2:$C$4852),4^8),ROW(C2730)))&amp;""</f>
        <v>#N/A</v>
      </c>
    </row>
    <row r="2731" ht="14.100000000000001" customHeight="1">
      <c r="B2731" s="20" t="s">
        <v>5609</v>
      </c>
      <c r="C2731" s="20" t="s">
        <v>5610</v>
      </c>
      <c r="D2731" s="20" t="s">
        <v>5609</v>
      </c>
      <c r="E2731" s="20" t="e">
        <f t="array" ref="E2731">INDEX(C:C,SMALL(IF(ISNUMBER(FIND(CELL("contents"),$C$2:$C$4852)),ROW($C$2:$C$4852),4^8),ROW(C2731)))&amp;""</f>
        <v>#N/A</v>
      </c>
    </row>
    <row r="2732" ht="14.100000000000001" customHeight="1">
      <c r="B2732" s="20" t="s">
        <v>5611</v>
      </c>
      <c r="C2732" s="20" t="s">
        <v>5612</v>
      </c>
      <c r="D2732" s="20" t="s">
        <v>5611</v>
      </c>
      <c r="E2732" s="20" t="e">
        <f t="array" ref="E2732">INDEX(C:C,SMALL(IF(ISNUMBER(FIND(CELL("contents"),$C$2:$C$4852)),ROW($C$2:$C$4852),4^8),ROW(C2732)))&amp;""</f>
        <v>#N/A</v>
      </c>
    </row>
    <row r="2733" ht="14.100000000000001" customHeight="1">
      <c r="B2733" s="20" t="s">
        <v>5613</v>
      </c>
      <c r="C2733" s="20" t="s">
        <v>5614</v>
      </c>
      <c r="D2733" s="20" t="s">
        <v>5613</v>
      </c>
      <c r="E2733" s="20" t="e">
        <f t="array" ref="E2733">INDEX(C:C,SMALL(IF(ISNUMBER(FIND(CELL("contents"),$C$2:$C$4852)),ROW($C$2:$C$4852),4^8),ROW(C2733)))&amp;""</f>
        <v>#N/A</v>
      </c>
    </row>
    <row r="2734" ht="14.100000000000001" customHeight="1">
      <c r="B2734" s="20" t="s">
        <v>5615</v>
      </c>
      <c r="C2734" s="20" t="s">
        <v>5616</v>
      </c>
      <c r="D2734" s="20" t="s">
        <v>5615</v>
      </c>
      <c r="E2734" s="20" t="e">
        <f t="array" ref="E2734">INDEX(C:C,SMALL(IF(ISNUMBER(FIND(CELL("contents"),$C$2:$C$4852)),ROW($C$2:$C$4852),4^8),ROW(C2734)))&amp;""</f>
        <v>#N/A</v>
      </c>
    </row>
    <row r="2735" ht="14.100000000000001" customHeight="1">
      <c r="B2735" s="20" t="s">
        <v>5617</v>
      </c>
      <c r="C2735" s="20" t="s">
        <v>5618</v>
      </c>
      <c r="D2735" s="20" t="s">
        <v>5617</v>
      </c>
      <c r="E2735" s="20" t="e">
        <f t="array" ref="E2735">INDEX(C:C,SMALL(IF(ISNUMBER(FIND(CELL("contents"),$C$2:$C$4852)),ROW($C$2:$C$4852),4^8),ROW(C2735)))&amp;""</f>
        <v>#N/A</v>
      </c>
    </row>
    <row r="2736" ht="14.100000000000001" customHeight="1">
      <c r="B2736" s="20" t="s">
        <v>5619</v>
      </c>
      <c r="C2736" s="20" t="s">
        <v>5620</v>
      </c>
      <c r="D2736" s="20" t="s">
        <v>5619</v>
      </c>
      <c r="E2736" s="20" t="e">
        <f t="array" ref="E2736">INDEX(C:C,SMALL(IF(ISNUMBER(FIND(CELL("contents"),$C$2:$C$4852)),ROW($C$2:$C$4852),4^8),ROW(C2736)))&amp;""</f>
        <v>#N/A</v>
      </c>
    </row>
    <row r="2737" ht="14.100000000000001" customHeight="1">
      <c r="B2737" s="20" t="s">
        <v>5621</v>
      </c>
      <c r="C2737" s="20" t="s">
        <v>5622</v>
      </c>
      <c r="D2737" s="20" t="s">
        <v>5621</v>
      </c>
      <c r="E2737" s="20" t="e">
        <f t="array" ref="E2737">INDEX(C:C,SMALL(IF(ISNUMBER(FIND(CELL("contents"),$C$2:$C$4852)),ROW($C$2:$C$4852),4^8),ROW(C2737)))&amp;""</f>
        <v>#N/A</v>
      </c>
    </row>
    <row r="2738" ht="14.100000000000001" customHeight="1">
      <c r="B2738" s="20" t="s">
        <v>5623</v>
      </c>
      <c r="C2738" s="20" t="s">
        <v>5624</v>
      </c>
      <c r="D2738" s="20" t="s">
        <v>5623</v>
      </c>
      <c r="E2738" s="20" t="e">
        <f t="array" ref="E2738">INDEX(C:C,SMALL(IF(ISNUMBER(FIND(CELL("contents"),$C$2:$C$4852)),ROW($C$2:$C$4852),4^8),ROW(C2738)))&amp;""</f>
        <v>#N/A</v>
      </c>
    </row>
    <row r="2739" ht="14.100000000000001" customHeight="1">
      <c r="B2739" s="20" t="s">
        <v>5625</v>
      </c>
      <c r="C2739" s="20" t="s">
        <v>5626</v>
      </c>
      <c r="D2739" s="20" t="s">
        <v>5625</v>
      </c>
      <c r="E2739" s="20" t="e">
        <f t="array" ref="E2739">INDEX(C:C,SMALL(IF(ISNUMBER(FIND(CELL("contents"),$C$2:$C$4852)),ROW($C$2:$C$4852),4^8),ROW(C2739)))&amp;""</f>
        <v>#N/A</v>
      </c>
    </row>
    <row r="2740" ht="14.100000000000001" customHeight="1">
      <c r="B2740" s="20" t="s">
        <v>5627</v>
      </c>
      <c r="C2740" s="20" t="s">
        <v>5628</v>
      </c>
      <c r="D2740" s="20" t="s">
        <v>5627</v>
      </c>
      <c r="E2740" s="20" t="e">
        <f t="array" ref="E2740">INDEX(C:C,SMALL(IF(ISNUMBER(FIND(CELL("contents"),$C$2:$C$4852)),ROW($C$2:$C$4852),4^8),ROW(C2740)))&amp;""</f>
        <v>#N/A</v>
      </c>
    </row>
    <row r="2741" ht="14.100000000000001" customHeight="1">
      <c r="B2741" s="20" t="s">
        <v>5629</v>
      </c>
      <c r="C2741" s="20" t="s">
        <v>5630</v>
      </c>
      <c r="D2741" s="20" t="s">
        <v>5629</v>
      </c>
      <c r="E2741" s="20" t="e">
        <f t="array" ref="E2741">INDEX(C:C,SMALL(IF(ISNUMBER(FIND(CELL("contents"),$C$2:$C$4852)),ROW($C$2:$C$4852),4^8),ROW(C2741)))&amp;""</f>
        <v>#N/A</v>
      </c>
    </row>
    <row r="2742" ht="14.100000000000001" customHeight="1">
      <c r="B2742" s="20" t="s">
        <v>5631</v>
      </c>
      <c r="C2742" s="20" t="s">
        <v>5632</v>
      </c>
      <c r="D2742" s="20" t="s">
        <v>5631</v>
      </c>
      <c r="E2742" s="20" t="e">
        <f t="array" ref="E2742">INDEX(C:C,SMALL(IF(ISNUMBER(FIND(CELL("contents"),$C$2:$C$4852)),ROW($C$2:$C$4852),4^8),ROW(C2742)))&amp;""</f>
        <v>#N/A</v>
      </c>
    </row>
    <row r="2743" ht="14.100000000000001" customHeight="1">
      <c r="B2743" s="20" t="s">
        <v>5633</v>
      </c>
      <c r="C2743" s="20" t="s">
        <v>5634</v>
      </c>
      <c r="D2743" s="20" t="s">
        <v>5633</v>
      </c>
      <c r="E2743" s="20" t="e">
        <f t="array" ref="E2743">INDEX(C:C,SMALL(IF(ISNUMBER(FIND(CELL("contents"),$C$2:$C$4852)),ROW($C$2:$C$4852),4^8),ROW(C2743)))&amp;""</f>
        <v>#N/A</v>
      </c>
    </row>
    <row r="2744" ht="14.100000000000001" customHeight="1">
      <c r="B2744" s="20" t="s">
        <v>5635</v>
      </c>
      <c r="C2744" s="20" t="s">
        <v>5636</v>
      </c>
      <c r="D2744" s="20" t="s">
        <v>5635</v>
      </c>
      <c r="E2744" s="20" t="e">
        <f t="array" ref="E2744">INDEX(C:C,SMALL(IF(ISNUMBER(FIND(CELL("contents"),$C$2:$C$4852)),ROW($C$2:$C$4852),4^8),ROW(C2744)))&amp;""</f>
        <v>#N/A</v>
      </c>
    </row>
    <row r="2745" ht="14.100000000000001" customHeight="1">
      <c r="B2745" s="20" t="s">
        <v>5637</v>
      </c>
      <c r="C2745" s="20" t="s">
        <v>5638</v>
      </c>
      <c r="D2745" s="20" t="s">
        <v>5637</v>
      </c>
      <c r="E2745" s="20" t="e">
        <f t="array" ref="E2745">INDEX(C:C,SMALL(IF(ISNUMBER(FIND(CELL("contents"),$C$2:$C$4852)),ROW($C$2:$C$4852),4^8),ROW(C2745)))&amp;""</f>
        <v>#N/A</v>
      </c>
    </row>
    <row r="2746" ht="14.100000000000001" customHeight="1">
      <c r="B2746" s="20" t="s">
        <v>5639</v>
      </c>
      <c r="C2746" s="20" t="s">
        <v>5640</v>
      </c>
      <c r="D2746" s="20" t="s">
        <v>5639</v>
      </c>
      <c r="E2746" s="20" t="e">
        <f t="array" ref="E2746">INDEX(C:C,SMALL(IF(ISNUMBER(FIND(CELL("contents"),$C$2:$C$4852)),ROW($C$2:$C$4852),4^8),ROW(C2746)))&amp;""</f>
        <v>#N/A</v>
      </c>
    </row>
    <row r="2747" ht="14.100000000000001" customHeight="1">
      <c r="B2747" s="20" t="s">
        <v>5641</v>
      </c>
      <c r="C2747" s="20" t="s">
        <v>5642</v>
      </c>
      <c r="D2747" s="20" t="s">
        <v>5641</v>
      </c>
      <c r="E2747" s="20" t="e">
        <f t="array" ref="E2747">INDEX(C:C,SMALL(IF(ISNUMBER(FIND(CELL("contents"),$C$2:$C$4852)),ROW($C$2:$C$4852),4^8),ROW(C2747)))&amp;""</f>
        <v>#N/A</v>
      </c>
    </row>
    <row r="2748" ht="14.100000000000001" customHeight="1">
      <c r="B2748" s="20" t="s">
        <v>5643</v>
      </c>
      <c r="C2748" s="20" t="s">
        <v>5644</v>
      </c>
      <c r="D2748" s="20" t="s">
        <v>5643</v>
      </c>
      <c r="E2748" s="20" t="e">
        <f t="array" ref="E2748">INDEX(C:C,SMALL(IF(ISNUMBER(FIND(CELL("contents"),$C$2:$C$4852)),ROW($C$2:$C$4852),4^8),ROW(C2748)))&amp;""</f>
        <v>#N/A</v>
      </c>
    </row>
    <row r="2749" ht="14.100000000000001" customHeight="1">
      <c r="B2749" s="20" t="s">
        <v>5645</v>
      </c>
      <c r="C2749" s="20" t="s">
        <v>5646</v>
      </c>
      <c r="D2749" s="20" t="s">
        <v>5645</v>
      </c>
      <c r="E2749" s="20" t="e">
        <f t="array" ref="E2749">INDEX(C:C,SMALL(IF(ISNUMBER(FIND(CELL("contents"),$C$2:$C$4852)),ROW($C$2:$C$4852),4^8),ROW(C2749)))&amp;""</f>
        <v>#N/A</v>
      </c>
    </row>
    <row r="2750" ht="14.100000000000001" customHeight="1">
      <c r="B2750" s="20" t="s">
        <v>5647</v>
      </c>
      <c r="C2750" s="20" t="s">
        <v>5648</v>
      </c>
      <c r="D2750" s="20" t="s">
        <v>5647</v>
      </c>
      <c r="E2750" s="20" t="e">
        <f t="array" ref="E2750">INDEX(C:C,SMALL(IF(ISNUMBER(FIND(CELL("contents"),$C$2:$C$4852)),ROW($C$2:$C$4852),4^8),ROW(C2750)))&amp;""</f>
        <v>#N/A</v>
      </c>
    </row>
    <row r="2751" ht="14.100000000000001" customHeight="1">
      <c r="B2751" s="20" t="s">
        <v>5649</v>
      </c>
      <c r="C2751" s="20" t="s">
        <v>5650</v>
      </c>
      <c r="D2751" s="20" t="s">
        <v>5649</v>
      </c>
      <c r="E2751" s="20" t="e">
        <f t="array" ref="E2751">INDEX(C:C,SMALL(IF(ISNUMBER(FIND(CELL("contents"),$C$2:$C$4852)),ROW($C$2:$C$4852),4^8),ROW(C2751)))&amp;""</f>
        <v>#N/A</v>
      </c>
    </row>
    <row r="2752" ht="14.100000000000001" customHeight="1">
      <c r="B2752" s="20" t="s">
        <v>5651</v>
      </c>
      <c r="C2752" s="20" t="s">
        <v>5652</v>
      </c>
      <c r="D2752" s="20" t="s">
        <v>5651</v>
      </c>
      <c r="E2752" s="20" t="e">
        <f t="array" ref="E2752">INDEX(C:C,SMALL(IF(ISNUMBER(FIND(CELL("contents"),$C$2:$C$4852)),ROW($C$2:$C$4852),4^8),ROW(C2752)))&amp;""</f>
        <v>#N/A</v>
      </c>
    </row>
    <row r="2753" ht="14.100000000000001" customHeight="1">
      <c r="B2753" s="20" t="s">
        <v>5653</v>
      </c>
      <c r="C2753" s="20" t="s">
        <v>5654</v>
      </c>
      <c r="D2753" s="20" t="s">
        <v>5653</v>
      </c>
      <c r="E2753" s="20" t="e">
        <f t="array" ref="E2753">INDEX(C:C,SMALL(IF(ISNUMBER(FIND(CELL("contents"),$C$2:$C$4852)),ROW($C$2:$C$4852),4^8),ROW(C2753)))&amp;""</f>
        <v>#N/A</v>
      </c>
    </row>
    <row r="2754" ht="14.100000000000001" customHeight="1">
      <c r="B2754" s="20" t="s">
        <v>5655</v>
      </c>
      <c r="C2754" s="20" t="s">
        <v>5656</v>
      </c>
      <c r="D2754" s="20" t="s">
        <v>5655</v>
      </c>
      <c r="E2754" s="20" t="e">
        <f t="array" ref="E2754">INDEX(C:C,SMALL(IF(ISNUMBER(FIND(CELL("contents"),$C$2:$C$4852)),ROW($C$2:$C$4852),4^8),ROW(C2754)))&amp;""</f>
        <v>#N/A</v>
      </c>
    </row>
    <row r="2755" ht="14.100000000000001" customHeight="1">
      <c r="B2755" s="20" t="s">
        <v>5657</v>
      </c>
      <c r="C2755" s="20" t="s">
        <v>5658</v>
      </c>
      <c r="D2755" s="20" t="s">
        <v>5657</v>
      </c>
      <c r="E2755" s="20" t="e">
        <f t="array" ref="E2755">INDEX(C:C,SMALL(IF(ISNUMBER(FIND(CELL("contents"),$C$2:$C$4852)),ROW($C$2:$C$4852),4^8),ROW(C2755)))&amp;""</f>
        <v>#N/A</v>
      </c>
    </row>
    <row r="2756" ht="14.100000000000001" customHeight="1">
      <c r="B2756" s="20" t="s">
        <v>5659</v>
      </c>
      <c r="C2756" s="20" t="s">
        <v>5660</v>
      </c>
      <c r="D2756" s="20" t="s">
        <v>5659</v>
      </c>
      <c r="E2756" s="20" t="e">
        <f t="array" ref="E2756">INDEX(C:C,SMALL(IF(ISNUMBER(FIND(CELL("contents"),$C$2:$C$4852)),ROW($C$2:$C$4852),4^8),ROW(C2756)))&amp;""</f>
        <v>#N/A</v>
      </c>
    </row>
    <row r="2757" ht="14.100000000000001" customHeight="1">
      <c r="B2757" s="20" t="s">
        <v>5661</v>
      </c>
      <c r="C2757" s="20" t="s">
        <v>5662</v>
      </c>
      <c r="D2757" s="20" t="s">
        <v>5661</v>
      </c>
      <c r="E2757" s="20" t="e">
        <f t="array" ref="E2757">INDEX(C:C,SMALL(IF(ISNUMBER(FIND(CELL("contents"),$C$2:$C$4852)),ROW($C$2:$C$4852),4^8),ROW(C2757)))&amp;""</f>
        <v>#N/A</v>
      </c>
    </row>
    <row r="2758" ht="14.100000000000001" customHeight="1">
      <c r="B2758" s="20" t="s">
        <v>5663</v>
      </c>
      <c r="C2758" s="20" t="s">
        <v>5664</v>
      </c>
      <c r="D2758" s="20" t="s">
        <v>5663</v>
      </c>
      <c r="E2758" s="20" t="e">
        <f t="array" ref="E2758">INDEX(C:C,SMALL(IF(ISNUMBER(FIND(CELL("contents"),$C$2:$C$4852)),ROW($C$2:$C$4852),4^8),ROW(C2758)))&amp;""</f>
        <v>#N/A</v>
      </c>
    </row>
    <row r="2759" ht="14.100000000000001" customHeight="1">
      <c r="B2759" s="20" t="s">
        <v>5665</v>
      </c>
      <c r="C2759" s="20" t="s">
        <v>5666</v>
      </c>
      <c r="D2759" s="20" t="s">
        <v>5665</v>
      </c>
      <c r="E2759" s="20" t="e">
        <f t="array" ref="E2759">INDEX(C:C,SMALL(IF(ISNUMBER(FIND(CELL("contents"),$C$2:$C$4852)),ROW($C$2:$C$4852),4^8),ROW(C2759)))&amp;""</f>
        <v>#N/A</v>
      </c>
    </row>
    <row r="2760" ht="14.100000000000001" customHeight="1">
      <c r="B2760" s="20" t="s">
        <v>5667</v>
      </c>
      <c r="C2760" s="20" t="s">
        <v>5668</v>
      </c>
      <c r="D2760" s="20" t="s">
        <v>5667</v>
      </c>
      <c r="E2760" s="20" t="e">
        <f t="array" ref="E2760">INDEX(C:C,SMALL(IF(ISNUMBER(FIND(CELL("contents"),$C$2:$C$4852)),ROW($C$2:$C$4852),4^8),ROW(C2760)))&amp;""</f>
        <v>#N/A</v>
      </c>
    </row>
    <row r="2761" ht="14.100000000000001" customHeight="1">
      <c r="B2761" s="20" t="s">
        <v>5669</v>
      </c>
      <c r="C2761" s="20" t="s">
        <v>5670</v>
      </c>
      <c r="D2761" s="20" t="s">
        <v>5669</v>
      </c>
      <c r="E2761" s="20" t="e">
        <f t="array" ref="E2761">INDEX(C:C,SMALL(IF(ISNUMBER(FIND(CELL("contents"),$C$2:$C$4852)),ROW($C$2:$C$4852),4^8),ROW(C2761)))&amp;""</f>
        <v>#N/A</v>
      </c>
    </row>
    <row r="2762" ht="14.100000000000001" customHeight="1">
      <c r="B2762" s="20" t="s">
        <v>5671</v>
      </c>
      <c r="C2762" s="20" t="s">
        <v>5672</v>
      </c>
      <c r="D2762" s="20" t="s">
        <v>5671</v>
      </c>
      <c r="E2762" s="20" t="e">
        <f t="array" ref="E2762">INDEX(C:C,SMALL(IF(ISNUMBER(FIND(CELL("contents"),$C$2:$C$4852)),ROW($C$2:$C$4852),4^8),ROW(C2762)))&amp;""</f>
        <v>#N/A</v>
      </c>
    </row>
    <row r="2763" ht="14.100000000000001" customHeight="1">
      <c r="B2763" s="20" t="s">
        <v>5673</v>
      </c>
      <c r="C2763" s="20" t="s">
        <v>5674</v>
      </c>
      <c r="D2763" s="20" t="s">
        <v>5673</v>
      </c>
      <c r="E2763" s="20" t="e">
        <f t="array" ref="E2763">INDEX(C:C,SMALL(IF(ISNUMBER(FIND(CELL("contents"),$C$2:$C$4852)),ROW($C$2:$C$4852),4^8),ROW(C2763)))&amp;""</f>
        <v>#N/A</v>
      </c>
    </row>
    <row r="2764" ht="14.100000000000001" customHeight="1">
      <c r="B2764" s="20" t="s">
        <v>5675</v>
      </c>
      <c r="C2764" s="20" t="s">
        <v>5676</v>
      </c>
      <c r="D2764" s="20" t="s">
        <v>5675</v>
      </c>
      <c r="E2764" s="20" t="e">
        <f t="array" ref="E2764">INDEX(C:C,SMALL(IF(ISNUMBER(FIND(CELL("contents"),$C$2:$C$4852)),ROW($C$2:$C$4852),4^8),ROW(C2764)))&amp;""</f>
        <v>#N/A</v>
      </c>
    </row>
    <row r="2765" ht="14.100000000000001" customHeight="1">
      <c r="B2765" s="20" t="s">
        <v>5677</v>
      </c>
      <c r="C2765" s="20" t="s">
        <v>5678</v>
      </c>
      <c r="D2765" s="20" t="s">
        <v>5677</v>
      </c>
      <c r="E2765" s="20" t="e">
        <f t="array" ref="E2765">INDEX(C:C,SMALL(IF(ISNUMBER(FIND(CELL("contents"),$C$2:$C$4852)),ROW($C$2:$C$4852),4^8),ROW(C2765)))&amp;""</f>
        <v>#N/A</v>
      </c>
    </row>
    <row r="2766" ht="14.100000000000001" customHeight="1">
      <c r="B2766" s="20" t="s">
        <v>5679</v>
      </c>
      <c r="C2766" s="20" t="s">
        <v>5680</v>
      </c>
      <c r="D2766" s="20" t="s">
        <v>5679</v>
      </c>
      <c r="E2766" s="20" t="e">
        <f t="array" ref="E2766">INDEX(C:C,SMALL(IF(ISNUMBER(FIND(CELL("contents"),$C$2:$C$4852)),ROW($C$2:$C$4852),4^8),ROW(C2766)))&amp;""</f>
        <v>#N/A</v>
      </c>
    </row>
    <row r="2767" ht="14.100000000000001" customHeight="1">
      <c r="B2767" s="20" t="s">
        <v>5681</v>
      </c>
      <c r="C2767" s="20" t="s">
        <v>5682</v>
      </c>
      <c r="D2767" s="20" t="s">
        <v>5681</v>
      </c>
      <c r="E2767" s="20" t="e">
        <f t="array" ref="E2767">INDEX(C:C,SMALL(IF(ISNUMBER(FIND(CELL("contents"),$C$2:$C$4852)),ROW($C$2:$C$4852),4^8),ROW(C2767)))&amp;""</f>
        <v>#N/A</v>
      </c>
    </row>
    <row r="2768" ht="14.100000000000001" customHeight="1">
      <c r="B2768" s="20" t="s">
        <v>5683</v>
      </c>
      <c r="C2768" s="20" t="s">
        <v>5684</v>
      </c>
      <c r="D2768" s="20" t="s">
        <v>5683</v>
      </c>
      <c r="E2768" s="20" t="e">
        <f t="array" ref="E2768">INDEX(C:C,SMALL(IF(ISNUMBER(FIND(CELL("contents"),$C$2:$C$4852)),ROW($C$2:$C$4852),4^8),ROW(C2768)))&amp;""</f>
        <v>#N/A</v>
      </c>
    </row>
    <row r="2769" ht="14.100000000000001" customHeight="1">
      <c r="B2769" s="20" t="s">
        <v>5685</v>
      </c>
      <c r="C2769" s="20" t="s">
        <v>5686</v>
      </c>
      <c r="D2769" s="20" t="s">
        <v>5685</v>
      </c>
      <c r="E2769" s="20" t="e">
        <f t="array" ref="E2769">INDEX(C:C,SMALL(IF(ISNUMBER(FIND(CELL("contents"),$C$2:$C$4852)),ROW($C$2:$C$4852),4^8),ROW(C2769)))&amp;""</f>
        <v>#N/A</v>
      </c>
    </row>
    <row r="2770" ht="14.100000000000001" customHeight="1">
      <c r="B2770" s="20" t="s">
        <v>5687</v>
      </c>
      <c r="C2770" s="20" t="s">
        <v>5688</v>
      </c>
      <c r="D2770" s="20" t="s">
        <v>5687</v>
      </c>
      <c r="E2770" s="20" t="e">
        <f t="array" ref="E2770">INDEX(C:C,SMALL(IF(ISNUMBER(FIND(CELL("contents"),$C$2:$C$4852)),ROW($C$2:$C$4852),4^8),ROW(C2770)))&amp;""</f>
        <v>#N/A</v>
      </c>
    </row>
    <row r="2771" ht="14.100000000000001" customHeight="1">
      <c r="B2771" s="20" t="s">
        <v>5689</v>
      </c>
      <c r="C2771" s="20" t="s">
        <v>5690</v>
      </c>
      <c r="D2771" s="20" t="s">
        <v>5689</v>
      </c>
      <c r="E2771" s="20" t="e">
        <f t="array" ref="E2771">INDEX(C:C,SMALL(IF(ISNUMBER(FIND(CELL("contents"),$C$2:$C$4852)),ROW($C$2:$C$4852),4^8),ROW(C2771)))&amp;""</f>
        <v>#N/A</v>
      </c>
    </row>
    <row r="2772" ht="14.100000000000001" customHeight="1">
      <c r="B2772" s="20" t="s">
        <v>5691</v>
      </c>
      <c r="C2772" s="20" t="s">
        <v>5692</v>
      </c>
      <c r="D2772" s="20" t="s">
        <v>5691</v>
      </c>
      <c r="E2772" s="20" t="e">
        <f t="array" ref="E2772">INDEX(C:C,SMALL(IF(ISNUMBER(FIND(CELL("contents"),$C$2:$C$4852)),ROW($C$2:$C$4852),4^8),ROW(C2772)))&amp;""</f>
        <v>#N/A</v>
      </c>
    </row>
    <row r="2773" ht="14.100000000000001" customHeight="1">
      <c r="B2773" s="20" t="s">
        <v>5693</v>
      </c>
      <c r="C2773" s="20" t="s">
        <v>5694</v>
      </c>
      <c r="D2773" s="20" t="s">
        <v>5693</v>
      </c>
      <c r="E2773" s="20" t="e">
        <f t="array" ref="E2773">INDEX(C:C,SMALL(IF(ISNUMBER(FIND(CELL("contents"),$C$2:$C$4852)),ROW($C$2:$C$4852),4^8),ROW(C2773)))&amp;""</f>
        <v>#N/A</v>
      </c>
    </row>
    <row r="2774" ht="14.100000000000001" customHeight="1">
      <c r="B2774" s="20" t="s">
        <v>5695</v>
      </c>
      <c r="C2774" s="20" t="s">
        <v>5696</v>
      </c>
      <c r="D2774" s="20" t="s">
        <v>5695</v>
      </c>
      <c r="E2774" s="20" t="e">
        <f t="array" ref="E2774">INDEX(C:C,SMALL(IF(ISNUMBER(FIND(CELL("contents"),$C$2:$C$4852)),ROW($C$2:$C$4852),4^8),ROW(C2774)))&amp;""</f>
        <v>#N/A</v>
      </c>
    </row>
    <row r="2775" ht="14.100000000000001" customHeight="1">
      <c r="B2775" s="20" t="s">
        <v>5697</v>
      </c>
      <c r="C2775" s="20" t="s">
        <v>5698</v>
      </c>
      <c r="D2775" s="20" t="s">
        <v>5697</v>
      </c>
      <c r="E2775" s="20" t="e">
        <f t="array" ref="E2775">INDEX(C:C,SMALL(IF(ISNUMBER(FIND(CELL("contents"),$C$2:$C$4852)),ROW($C$2:$C$4852),4^8),ROW(C2775)))&amp;""</f>
        <v>#N/A</v>
      </c>
    </row>
    <row r="2776" ht="14.100000000000001" customHeight="1">
      <c r="B2776" s="20" t="s">
        <v>5699</v>
      </c>
      <c r="C2776" s="20" t="s">
        <v>5700</v>
      </c>
      <c r="D2776" s="20" t="s">
        <v>5699</v>
      </c>
      <c r="E2776" s="20" t="e">
        <f t="array" ref="E2776">INDEX(C:C,SMALL(IF(ISNUMBER(FIND(CELL("contents"),$C$2:$C$4852)),ROW($C$2:$C$4852),4^8),ROW(C2776)))&amp;""</f>
        <v>#N/A</v>
      </c>
    </row>
    <row r="2777" ht="14.100000000000001" customHeight="1">
      <c r="B2777" s="20" t="s">
        <v>5701</v>
      </c>
      <c r="C2777" s="20" t="s">
        <v>5702</v>
      </c>
      <c r="D2777" s="20" t="s">
        <v>5701</v>
      </c>
      <c r="E2777" s="20" t="e">
        <f t="array" ref="E2777">INDEX(C:C,SMALL(IF(ISNUMBER(FIND(CELL("contents"),$C$2:$C$4852)),ROW($C$2:$C$4852),4^8),ROW(C2777)))&amp;""</f>
        <v>#N/A</v>
      </c>
    </row>
    <row r="2778" ht="14.100000000000001" customHeight="1">
      <c r="B2778" s="20" t="s">
        <v>5703</v>
      </c>
      <c r="C2778" s="20" t="s">
        <v>5704</v>
      </c>
      <c r="D2778" s="20" t="s">
        <v>5703</v>
      </c>
      <c r="E2778" s="20" t="e">
        <f t="array" ref="E2778">INDEX(C:C,SMALL(IF(ISNUMBER(FIND(CELL("contents"),$C$2:$C$4852)),ROW($C$2:$C$4852),4^8),ROW(C2778)))&amp;""</f>
        <v>#N/A</v>
      </c>
    </row>
    <row r="2779" ht="14.100000000000001" customHeight="1">
      <c r="B2779" s="20" t="s">
        <v>5705</v>
      </c>
      <c r="C2779" s="20" t="s">
        <v>5706</v>
      </c>
      <c r="D2779" s="20" t="s">
        <v>5705</v>
      </c>
      <c r="E2779" s="20" t="e">
        <f t="array" ref="E2779">INDEX(C:C,SMALL(IF(ISNUMBER(FIND(CELL("contents"),$C$2:$C$4852)),ROW($C$2:$C$4852),4^8),ROW(C2779)))&amp;""</f>
        <v>#N/A</v>
      </c>
    </row>
    <row r="2780" ht="14.100000000000001" customHeight="1">
      <c r="B2780" s="20" t="s">
        <v>5707</v>
      </c>
      <c r="C2780" s="20" t="s">
        <v>5708</v>
      </c>
      <c r="D2780" s="20" t="s">
        <v>5707</v>
      </c>
      <c r="E2780" s="20" t="e">
        <f t="array" ref="E2780">INDEX(C:C,SMALL(IF(ISNUMBER(FIND(CELL("contents"),$C$2:$C$4852)),ROW($C$2:$C$4852),4^8),ROW(C2780)))&amp;""</f>
        <v>#N/A</v>
      </c>
    </row>
    <row r="2781" ht="14.100000000000001" customHeight="1">
      <c r="B2781" s="20" t="s">
        <v>5709</v>
      </c>
      <c r="C2781" s="20" t="s">
        <v>5710</v>
      </c>
      <c r="D2781" s="20" t="s">
        <v>5709</v>
      </c>
      <c r="E2781" s="20" t="e">
        <f t="array" ref="E2781">INDEX(C:C,SMALL(IF(ISNUMBER(FIND(CELL("contents"),$C$2:$C$4852)),ROW($C$2:$C$4852),4^8),ROW(C2781)))&amp;""</f>
        <v>#N/A</v>
      </c>
    </row>
    <row r="2782" ht="14.100000000000001" customHeight="1">
      <c r="B2782" s="20" t="s">
        <v>5711</v>
      </c>
      <c r="C2782" s="20" t="s">
        <v>5712</v>
      </c>
      <c r="D2782" s="20" t="s">
        <v>5711</v>
      </c>
      <c r="E2782" s="20" t="e">
        <f t="array" ref="E2782">INDEX(C:C,SMALL(IF(ISNUMBER(FIND(CELL("contents"),$C$2:$C$4852)),ROW($C$2:$C$4852),4^8),ROW(C2782)))&amp;""</f>
        <v>#N/A</v>
      </c>
    </row>
    <row r="2783" ht="14.100000000000001" customHeight="1">
      <c r="B2783" s="20" t="s">
        <v>5713</v>
      </c>
      <c r="C2783" s="20" t="s">
        <v>5714</v>
      </c>
      <c r="D2783" s="20" t="s">
        <v>5713</v>
      </c>
      <c r="E2783" s="20" t="e">
        <f t="array" ref="E2783">INDEX(C:C,SMALL(IF(ISNUMBER(FIND(CELL("contents"),$C$2:$C$4852)),ROW($C$2:$C$4852),4^8),ROW(C2783)))&amp;""</f>
        <v>#N/A</v>
      </c>
    </row>
    <row r="2784" ht="14.100000000000001" customHeight="1">
      <c r="B2784" s="20" t="s">
        <v>5715</v>
      </c>
      <c r="C2784" s="20" t="s">
        <v>5716</v>
      </c>
      <c r="D2784" s="20" t="s">
        <v>5715</v>
      </c>
      <c r="E2784" s="20" t="e">
        <f t="array" ref="E2784">INDEX(C:C,SMALL(IF(ISNUMBER(FIND(CELL("contents"),$C$2:$C$4852)),ROW($C$2:$C$4852),4^8),ROW(C2784)))&amp;""</f>
        <v>#N/A</v>
      </c>
    </row>
    <row r="2785" ht="14.100000000000001" customHeight="1">
      <c r="B2785" s="20" t="s">
        <v>5717</v>
      </c>
      <c r="C2785" s="20" t="s">
        <v>5718</v>
      </c>
      <c r="D2785" s="20" t="s">
        <v>5717</v>
      </c>
      <c r="E2785" s="20" t="e">
        <f t="array" ref="E2785">INDEX(C:C,SMALL(IF(ISNUMBER(FIND(CELL("contents"),$C$2:$C$4852)),ROW($C$2:$C$4852),4^8),ROW(C2785)))&amp;""</f>
        <v>#N/A</v>
      </c>
    </row>
    <row r="2786" ht="14.100000000000001" customHeight="1">
      <c r="B2786" s="20" t="s">
        <v>5719</v>
      </c>
      <c r="C2786" s="20" t="s">
        <v>5720</v>
      </c>
      <c r="D2786" s="20" t="s">
        <v>5719</v>
      </c>
      <c r="E2786" s="20" t="e">
        <f t="array" ref="E2786">INDEX(C:C,SMALL(IF(ISNUMBER(FIND(CELL("contents"),$C$2:$C$4852)),ROW($C$2:$C$4852),4^8),ROW(C2786)))&amp;""</f>
        <v>#N/A</v>
      </c>
    </row>
    <row r="2787" ht="14.100000000000001" customHeight="1">
      <c r="B2787" s="20" t="s">
        <v>5721</v>
      </c>
      <c r="C2787" s="20" t="s">
        <v>5722</v>
      </c>
      <c r="D2787" s="20" t="s">
        <v>5721</v>
      </c>
      <c r="E2787" s="20" t="e">
        <f t="array" ref="E2787">INDEX(C:C,SMALL(IF(ISNUMBER(FIND(CELL("contents"),$C$2:$C$4852)),ROW($C$2:$C$4852),4^8),ROW(C2787)))&amp;""</f>
        <v>#N/A</v>
      </c>
    </row>
    <row r="2788" ht="14.100000000000001" customHeight="1">
      <c r="B2788" s="20" t="s">
        <v>5723</v>
      </c>
      <c r="C2788" s="20" t="s">
        <v>5724</v>
      </c>
      <c r="D2788" s="20" t="s">
        <v>5723</v>
      </c>
      <c r="E2788" s="20" t="e">
        <f t="array" ref="E2788">INDEX(C:C,SMALL(IF(ISNUMBER(FIND(CELL("contents"),$C$2:$C$4852)),ROW($C$2:$C$4852),4^8),ROW(C2788)))&amp;""</f>
        <v>#N/A</v>
      </c>
    </row>
    <row r="2789" ht="14.100000000000001" customHeight="1">
      <c r="B2789" s="20" t="s">
        <v>5725</v>
      </c>
      <c r="C2789" s="20" t="s">
        <v>5726</v>
      </c>
      <c r="D2789" s="20" t="s">
        <v>5725</v>
      </c>
      <c r="E2789" s="20" t="e">
        <f t="array" ref="E2789">INDEX(C:C,SMALL(IF(ISNUMBER(FIND(CELL("contents"),$C$2:$C$4852)),ROW($C$2:$C$4852),4^8),ROW(C2789)))&amp;""</f>
        <v>#N/A</v>
      </c>
    </row>
    <row r="2790" ht="14.100000000000001" customHeight="1">
      <c r="B2790" s="20" t="s">
        <v>5727</v>
      </c>
      <c r="C2790" s="20" t="s">
        <v>5728</v>
      </c>
      <c r="D2790" s="20" t="s">
        <v>5727</v>
      </c>
      <c r="E2790" s="20" t="e">
        <f t="array" ref="E2790">INDEX(C:C,SMALL(IF(ISNUMBER(FIND(CELL("contents"),$C$2:$C$4852)),ROW($C$2:$C$4852),4^8),ROW(C2790)))&amp;""</f>
        <v>#N/A</v>
      </c>
    </row>
    <row r="2791" ht="14.100000000000001" customHeight="1">
      <c r="B2791" s="20" t="s">
        <v>5729</v>
      </c>
      <c r="C2791" s="20" t="s">
        <v>5730</v>
      </c>
      <c r="D2791" s="20" t="s">
        <v>5729</v>
      </c>
      <c r="E2791" s="20" t="e">
        <f t="array" ref="E2791">INDEX(C:C,SMALL(IF(ISNUMBER(FIND(CELL("contents"),$C$2:$C$4852)),ROW($C$2:$C$4852),4^8),ROW(C2791)))&amp;""</f>
        <v>#N/A</v>
      </c>
    </row>
    <row r="2792" ht="14.100000000000001" customHeight="1">
      <c r="B2792" s="20" t="s">
        <v>5731</v>
      </c>
      <c r="C2792" s="20" t="s">
        <v>5732</v>
      </c>
      <c r="D2792" s="20" t="s">
        <v>5731</v>
      </c>
      <c r="E2792" s="20" t="e">
        <f t="array" ref="E2792">INDEX(C:C,SMALL(IF(ISNUMBER(FIND(CELL("contents"),$C$2:$C$4852)),ROW($C$2:$C$4852),4^8),ROW(C2792)))&amp;""</f>
        <v>#N/A</v>
      </c>
    </row>
    <row r="2793" ht="14.100000000000001" customHeight="1">
      <c r="B2793" s="20" t="s">
        <v>5733</v>
      </c>
      <c r="C2793" s="20" t="s">
        <v>5734</v>
      </c>
      <c r="D2793" s="20" t="s">
        <v>5733</v>
      </c>
      <c r="E2793" s="20" t="e">
        <f t="array" ref="E2793">INDEX(C:C,SMALL(IF(ISNUMBER(FIND(CELL("contents"),$C$2:$C$4852)),ROW($C$2:$C$4852),4^8),ROW(C2793)))&amp;""</f>
        <v>#N/A</v>
      </c>
    </row>
    <row r="2794" ht="14.100000000000001" customHeight="1">
      <c r="B2794" s="20" t="s">
        <v>5735</v>
      </c>
      <c r="C2794" s="20" t="s">
        <v>5736</v>
      </c>
      <c r="D2794" s="20" t="s">
        <v>5735</v>
      </c>
      <c r="E2794" s="20" t="e">
        <f t="array" ref="E2794">INDEX(C:C,SMALL(IF(ISNUMBER(FIND(CELL("contents"),$C$2:$C$4852)),ROW($C$2:$C$4852),4^8),ROW(C2794)))&amp;""</f>
        <v>#N/A</v>
      </c>
    </row>
    <row r="2795" ht="14.100000000000001" customHeight="1">
      <c r="B2795" s="20" t="s">
        <v>5737</v>
      </c>
      <c r="C2795" s="20" t="s">
        <v>5738</v>
      </c>
      <c r="D2795" s="20" t="s">
        <v>5737</v>
      </c>
      <c r="E2795" s="20" t="e">
        <f t="array" ref="E2795">INDEX(C:C,SMALL(IF(ISNUMBER(FIND(CELL("contents"),$C$2:$C$4852)),ROW($C$2:$C$4852),4^8),ROW(C2795)))&amp;""</f>
        <v>#N/A</v>
      </c>
    </row>
    <row r="2796" ht="14.100000000000001" customHeight="1">
      <c r="B2796" s="20" t="s">
        <v>5739</v>
      </c>
      <c r="C2796" s="20" t="s">
        <v>5740</v>
      </c>
      <c r="D2796" s="20" t="s">
        <v>5739</v>
      </c>
      <c r="E2796" s="20" t="e">
        <f t="array" ref="E2796">INDEX(C:C,SMALL(IF(ISNUMBER(FIND(CELL("contents"),$C$2:$C$4852)),ROW($C$2:$C$4852),4^8),ROW(C2796)))&amp;""</f>
        <v>#N/A</v>
      </c>
    </row>
    <row r="2797" ht="14.100000000000001" customHeight="1">
      <c r="B2797" s="20" t="s">
        <v>5741</v>
      </c>
      <c r="C2797" s="20" t="s">
        <v>5742</v>
      </c>
      <c r="D2797" s="20" t="s">
        <v>5741</v>
      </c>
      <c r="E2797" s="20" t="e">
        <f t="array" ref="E2797">INDEX(C:C,SMALL(IF(ISNUMBER(FIND(CELL("contents"),$C$2:$C$4852)),ROW($C$2:$C$4852),4^8),ROW(C2797)))&amp;""</f>
        <v>#N/A</v>
      </c>
    </row>
    <row r="2798" ht="14.100000000000001" customHeight="1">
      <c r="B2798" s="20" t="s">
        <v>5743</v>
      </c>
      <c r="C2798" s="20" t="s">
        <v>5744</v>
      </c>
      <c r="D2798" s="20" t="s">
        <v>5743</v>
      </c>
      <c r="E2798" s="20" t="e">
        <f t="array" ref="E2798">INDEX(C:C,SMALL(IF(ISNUMBER(FIND(CELL("contents"),$C$2:$C$4852)),ROW($C$2:$C$4852),4^8),ROW(C2798)))&amp;""</f>
        <v>#N/A</v>
      </c>
    </row>
    <row r="2799" ht="14.100000000000001" customHeight="1">
      <c r="B2799" s="20" t="s">
        <v>5745</v>
      </c>
      <c r="C2799" s="20" t="s">
        <v>5746</v>
      </c>
      <c r="D2799" s="20" t="s">
        <v>5745</v>
      </c>
      <c r="E2799" s="20" t="e">
        <f t="array" ref="E2799">INDEX(C:C,SMALL(IF(ISNUMBER(FIND(CELL("contents"),$C$2:$C$4852)),ROW($C$2:$C$4852),4^8),ROW(C2799)))&amp;""</f>
        <v>#N/A</v>
      </c>
    </row>
    <row r="2800" ht="14.100000000000001" customHeight="1">
      <c r="B2800" s="20" t="s">
        <v>5747</v>
      </c>
      <c r="C2800" s="20" t="s">
        <v>5748</v>
      </c>
      <c r="D2800" s="20" t="s">
        <v>5747</v>
      </c>
      <c r="E2800" s="20" t="e">
        <f t="array" ref="E2800">INDEX(C:C,SMALL(IF(ISNUMBER(FIND(CELL("contents"),$C$2:$C$4852)),ROW($C$2:$C$4852),4^8),ROW(C2800)))&amp;""</f>
        <v>#N/A</v>
      </c>
    </row>
    <row r="2801" ht="14.100000000000001" customHeight="1">
      <c r="B2801" s="20" t="s">
        <v>5749</v>
      </c>
      <c r="C2801" s="20" t="s">
        <v>5750</v>
      </c>
      <c r="D2801" s="20" t="s">
        <v>5749</v>
      </c>
      <c r="E2801" s="20" t="e">
        <f t="array" ref="E2801">INDEX(C:C,SMALL(IF(ISNUMBER(FIND(CELL("contents"),$C$2:$C$4852)),ROW($C$2:$C$4852),4^8),ROW(C2801)))&amp;""</f>
        <v>#N/A</v>
      </c>
    </row>
    <row r="2802" ht="14.100000000000001" customHeight="1">
      <c r="B2802" s="20" t="s">
        <v>5751</v>
      </c>
      <c r="C2802" s="20" t="s">
        <v>5752</v>
      </c>
      <c r="D2802" s="20" t="s">
        <v>5751</v>
      </c>
      <c r="E2802" s="20" t="e">
        <f t="array" ref="E2802">INDEX(C:C,SMALL(IF(ISNUMBER(FIND(CELL("contents"),$C$2:$C$4852)),ROW($C$2:$C$4852),4^8),ROW(C2802)))&amp;""</f>
        <v>#N/A</v>
      </c>
    </row>
    <row r="2803" ht="14.100000000000001" customHeight="1">
      <c r="B2803" s="20" t="s">
        <v>5753</v>
      </c>
      <c r="C2803" s="20" t="s">
        <v>5754</v>
      </c>
      <c r="D2803" s="20" t="s">
        <v>5753</v>
      </c>
      <c r="E2803" s="20" t="e">
        <f t="array" ref="E2803">INDEX(C:C,SMALL(IF(ISNUMBER(FIND(CELL("contents"),$C$2:$C$4852)),ROW($C$2:$C$4852),4^8),ROW(C2803)))&amp;""</f>
        <v>#N/A</v>
      </c>
    </row>
    <row r="2804" ht="14.100000000000001" customHeight="1">
      <c r="B2804" s="20" t="s">
        <v>5755</v>
      </c>
      <c r="C2804" s="20" t="s">
        <v>5756</v>
      </c>
      <c r="D2804" s="20" t="s">
        <v>5755</v>
      </c>
      <c r="E2804" s="20" t="e">
        <f t="array" ref="E2804">INDEX(C:C,SMALL(IF(ISNUMBER(FIND(CELL("contents"),$C$2:$C$4852)),ROW($C$2:$C$4852),4^8),ROW(C2804)))&amp;""</f>
        <v>#N/A</v>
      </c>
    </row>
    <row r="2805" ht="14.100000000000001" customHeight="1">
      <c r="B2805" s="20" t="s">
        <v>5757</v>
      </c>
      <c r="C2805" s="20" t="s">
        <v>5758</v>
      </c>
      <c r="D2805" s="20" t="s">
        <v>5757</v>
      </c>
      <c r="E2805" s="20" t="e">
        <f t="array" ref="E2805">INDEX(C:C,SMALL(IF(ISNUMBER(FIND(CELL("contents"),$C$2:$C$4852)),ROW($C$2:$C$4852),4^8),ROW(C2805)))&amp;""</f>
        <v>#N/A</v>
      </c>
    </row>
    <row r="2806" ht="14.100000000000001" customHeight="1">
      <c r="B2806" s="20" t="s">
        <v>5759</v>
      </c>
      <c r="C2806" s="20" t="s">
        <v>5760</v>
      </c>
      <c r="D2806" s="20" t="s">
        <v>5759</v>
      </c>
      <c r="E2806" s="20" t="e">
        <f t="array" ref="E2806">INDEX(C:C,SMALL(IF(ISNUMBER(FIND(CELL("contents"),$C$2:$C$4852)),ROW($C$2:$C$4852),4^8),ROW(C2806)))&amp;""</f>
        <v>#N/A</v>
      </c>
    </row>
    <row r="2807" ht="14.100000000000001" customHeight="1">
      <c r="B2807" s="20" t="s">
        <v>5761</v>
      </c>
      <c r="C2807" s="20" t="s">
        <v>5762</v>
      </c>
      <c r="D2807" s="20" t="s">
        <v>5761</v>
      </c>
      <c r="E2807" s="20" t="e">
        <f t="array" ref="E2807">INDEX(C:C,SMALL(IF(ISNUMBER(FIND(CELL("contents"),$C$2:$C$4852)),ROW($C$2:$C$4852),4^8),ROW(C2807)))&amp;""</f>
        <v>#N/A</v>
      </c>
    </row>
    <row r="2808" ht="14.100000000000001" customHeight="1">
      <c r="B2808" s="20" t="s">
        <v>5763</v>
      </c>
      <c r="C2808" s="20" t="s">
        <v>5764</v>
      </c>
      <c r="D2808" s="20" t="s">
        <v>5763</v>
      </c>
      <c r="E2808" s="20" t="e">
        <f t="array" ref="E2808">INDEX(C:C,SMALL(IF(ISNUMBER(FIND(CELL("contents"),$C$2:$C$4852)),ROW($C$2:$C$4852),4^8),ROW(C2808)))&amp;""</f>
        <v>#N/A</v>
      </c>
    </row>
    <row r="2809" ht="14.100000000000001" customHeight="1">
      <c r="B2809" s="20" t="s">
        <v>5765</v>
      </c>
      <c r="C2809" s="20" t="s">
        <v>5766</v>
      </c>
      <c r="D2809" s="20" t="s">
        <v>5765</v>
      </c>
      <c r="E2809" s="20" t="e">
        <f t="array" ref="E2809">INDEX(C:C,SMALL(IF(ISNUMBER(FIND(CELL("contents"),$C$2:$C$4852)),ROW($C$2:$C$4852),4^8),ROW(C2809)))&amp;""</f>
        <v>#N/A</v>
      </c>
    </row>
    <row r="2810" ht="14.100000000000001" customHeight="1">
      <c r="B2810" s="20" t="s">
        <v>5767</v>
      </c>
      <c r="C2810" s="20" t="s">
        <v>5768</v>
      </c>
      <c r="D2810" s="20" t="s">
        <v>5767</v>
      </c>
      <c r="E2810" s="20" t="e">
        <f t="array" ref="E2810">INDEX(C:C,SMALL(IF(ISNUMBER(FIND(CELL("contents"),$C$2:$C$4852)),ROW($C$2:$C$4852),4^8),ROW(C2810)))&amp;""</f>
        <v>#N/A</v>
      </c>
    </row>
    <row r="2811" ht="14.100000000000001" customHeight="1">
      <c r="B2811" s="20" t="s">
        <v>5769</v>
      </c>
      <c r="C2811" s="20" t="s">
        <v>5770</v>
      </c>
      <c r="D2811" s="20" t="s">
        <v>5769</v>
      </c>
      <c r="E2811" s="20" t="e">
        <f t="array" ref="E2811">INDEX(C:C,SMALL(IF(ISNUMBER(FIND(CELL("contents"),$C$2:$C$4852)),ROW($C$2:$C$4852),4^8),ROW(C2811)))&amp;""</f>
        <v>#N/A</v>
      </c>
    </row>
    <row r="2812" ht="14.100000000000001" customHeight="1">
      <c r="B2812" s="20" t="s">
        <v>5771</v>
      </c>
      <c r="C2812" s="20" t="s">
        <v>5772</v>
      </c>
      <c r="D2812" s="20" t="s">
        <v>5771</v>
      </c>
      <c r="E2812" s="20" t="e">
        <f t="array" ref="E2812">INDEX(C:C,SMALL(IF(ISNUMBER(FIND(CELL("contents"),$C$2:$C$4852)),ROW($C$2:$C$4852),4^8),ROW(C2812)))&amp;""</f>
        <v>#N/A</v>
      </c>
    </row>
    <row r="2813" ht="14.100000000000001" customHeight="1">
      <c r="B2813" s="20" t="s">
        <v>5773</v>
      </c>
      <c r="C2813" s="20" t="s">
        <v>5774</v>
      </c>
      <c r="D2813" s="20" t="s">
        <v>5773</v>
      </c>
      <c r="E2813" s="20" t="e">
        <f t="array" ref="E2813">INDEX(C:C,SMALL(IF(ISNUMBER(FIND(CELL("contents"),$C$2:$C$4852)),ROW($C$2:$C$4852),4^8),ROW(C2813)))&amp;""</f>
        <v>#N/A</v>
      </c>
    </row>
    <row r="2814" ht="14.100000000000001" customHeight="1">
      <c r="B2814" s="20" t="s">
        <v>5775</v>
      </c>
      <c r="C2814" s="20" t="s">
        <v>5776</v>
      </c>
      <c r="D2814" s="20" t="s">
        <v>5775</v>
      </c>
      <c r="E2814" s="20" t="e">
        <f t="array" ref="E2814">INDEX(C:C,SMALL(IF(ISNUMBER(FIND(CELL("contents"),$C$2:$C$4852)),ROW($C$2:$C$4852),4^8),ROW(C2814)))&amp;""</f>
        <v>#N/A</v>
      </c>
    </row>
    <row r="2815" ht="14.100000000000001" customHeight="1">
      <c r="B2815" s="20" t="s">
        <v>5777</v>
      </c>
      <c r="C2815" s="20" t="s">
        <v>5778</v>
      </c>
      <c r="D2815" s="20" t="s">
        <v>5777</v>
      </c>
      <c r="E2815" s="20" t="e">
        <f t="array" ref="E2815">INDEX(C:C,SMALL(IF(ISNUMBER(FIND(CELL("contents"),$C$2:$C$4852)),ROW($C$2:$C$4852),4^8),ROW(C2815)))&amp;""</f>
        <v>#N/A</v>
      </c>
    </row>
    <row r="2816" ht="14.100000000000001" customHeight="1">
      <c r="B2816" s="20" t="s">
        <v>5779</v>
      </c>
      <c r="C2816" s="20" t="s">
        <v>5780</v>
      </c>
      <c r="D2816" s="20" t="s">
        <v>5779</v>
      </c>
      <c r="E2816" s="20" t="e">
        <f t="array" ref="E2816">INDEX(C:C,SMALL(IF(ISNUMBER(FIND(CELL("contents"),$C$2:$C$4852)),ROW($C$2:$C$4852),4^8),ROW(C2816)))&amp;""</f>
        <v>#N/A</v>
      </c>
    </row>
    <row r="2817" ht="14.100000000000001" customHeight="1">
      <c r="B2817" s="20" t="s">
        <v>5781</v>
      </c>
      <c r="C2817" s="20" t="s">
        <v>5782</v>
      </c>
      <c r="D2817" s="20" t="s">
        <v>5781</v>
      </c>
      <c r="E2817" s="20" t="e">
        <f t="array" ref="E2817">INDEX(C:C,SMALL(IF(ISNUMBER(FIND(CELL("contents"),$C$2:$C$4852)),ROW($C$2:$C$4852),4^8),ROW(C2817)))&amp;""</f>
        <v>#N/A</v>
      </c>
    </row>
    <row r="2818" ht="14.100000000000001" customHeight="1">
      <c r="B2818" s="20" t="s">
        <v>5783</v>
      </c>
      <c r="C2818" s="20" t="s">
        <v>5784</v>
      </c>
      <c r="D2818" s="20" t="s">
        <v>5783</v>
      </c>
      <c r="E2818" s="20" t="e">
        <f t="array" ref="E2818">INDEX(C:C,SMALL(IF(ISNUMBER(FIND(CELL("contents"),$C$2:$C$4852)),ROW($C$2:$C$4852),4^8),ROW(C2818)))&amp;""</f>
        <v>#N/A</v>
      </c>
    </row>
    <row r="2819" ht="14.100000000000001" customHeight="1">
      <c r="B2819" s="20" t="s">
        <v>5785</v>
      </c>
      <c r="C2819" s="20" t="s">
        <v>5786</v>
      </c>
      <c r="D2819" s="20" t="s">
        <v>5785</v>
      </c>
      <c r="E2819" s="20" t="e">
        <f t="array" ref="E2819">INDEX(C:C,SMALL(IF(ISNUMBER(FIND(CELL("contents"),$C$2:$C$4852)),ROW($C$2:$C$4852),4^8),ROW(C2819)))&amp;""</f>
        <v>#N/A</v>
      </c>
    </row>
    <row r="2820" ht="14.100000000000001" customHeight="1">
      <c r="B2820" s="20" t="s">
        <v>5787</v>
      </c>
      <c r="C2820" s="20" t="s">
        <v>5788</v>
      </c>
      <c r="D2820" s="20" t="s">
        <v>5787</v>
      </c>
      <c r="E2820" s="20" t="e">
        <f t="array" ref="E2820">INDEX(C:C,SMALL(IF(ISNUMBER(FIND(CELL("contents"),$C$2:$C$4852)),ROW($C$2:$C$4852),4^8),ROW(C2820)))&amp;""</f>
        <v>#N/A</v>
      </c>
    </row>
    <row r="2821" ht="14.100000000000001" customHeight="1">
      <c r="B2821" s="20" t="s">
        <v>5789</v>
      </c>
      <c r="C2821" s="20" t="s">
        <v>5790</v>
      </c>
      <c r="D2821" s="20" t="s">
        <v>5789</v>
      </c>
      <c r="E2821" s="20" t="e">
        <f t="array" ref="E2821">INDEX(C:C,SMALL(IF(ISNUMBER(FIND(CELL("contents"),$C$2:$C$4852)),ROW($C$2:$C$4852),4^8),ROW(C2821)))&amp;""</f>
        <v>#N/A</v>
      </c>
    </row>
    <row r="2822" ht="14.100000000000001" customHeight="1">
      <c r="B2822" s="20" t="s">
        <v>5791</v>
      </c>
      <c r="C2822" s="20" t="s">
        <v>5792</v>
      </c>
      <c r="D2822" s="20" t="s">
        <v>5791</v>
      </c>
      <c r="E2822" s="20" t="e">
        <f t="array" ref="E2822">INDEX(C:C,SMALL(IF(ISNUMBER(FIND(CELL("contents"),$C$2:$C$4852)),ROW($C$2:$C$4852),4^8),ROW(C2822)))&amp;""</f>
        <v>#N/A</v>
      </c>
    </row>
    <row r="2823" ht="14.100000000000001" customHeight="1">
      <c r="B2823" s="20" t="s">
        <v>5793</v>
      </c>
      <c r="C2823" s="20" t="s">
        <v>5794</v>
      </c>
      <c r="D2823" s="20" t="s">
        <v>5793</v>
      </c>
      <c r="E2823" s="20" t="e">
        <f t="array" ref="E2823">INDEX(C:C,SMALL(IF(ISNUMBER(FIND(CELL("contents"),$C$2:$C$4852)),ROW($C$2:$C$4852),4^8),ROW(C2823)))&amp;""</f>
        <v>#N/A</v>
      </c>
    </row>
    <row r="2824" ht="14.100000000000001" customHeight="1">
      <c r="B2824" s="20" t="s">
        <v>5795</v>
      </c>
      <c r="C2824" s="20" t="s">
        <v>5796</v>
      </c>
      <c r="D2824" s="20" t="s">
        <v>5795</v>
      </c>
      <c r="E2824" s="20" t="e">
        <f t="array" ref="E2824">INDEX(C:C,SMALL(IF(ISNUMBER(FIND(CELL("contents"),$C$2:$C$4852)),ROW($C$2:$C$4852),4^8),ROW(C2824)))&amp;""</f>
        <v>#N/A</v>
      </c>
    </row>
    <row r="2825" ht="14.100000000000001" customHeight="1">
      <c r="B2825" s="20" t="s">
        <v>5797</v>
      </c>
      <c r="C2825" s="20" t="s">
        <v>5798</v>
      </c>
      <c r="D2825" s="20" t="s">
        <v>5797</v>
      </c>
      <c r="E2825" s="20" t="e">
        <f t="array" ref="E2825">INDEX(C:C,SMALL(IF(ISNUMBER(FIND(CELL("contents"),$C$2:$C$4852)),ROW($C$2:$C$4852),4^8),ROW(C2825)))&amp;""</f>
        <v>#N/A</v>
      </c>
    </row>
    <row r="2826" ht="14.100000000000001" customHeight="1">
      <c r="B2826" s="20" t="s">
        <v>5799</v>
      </c>
      <c r="C2826" s="20" t="s">
        <v>5800</v>
      </c>
      <c r="D2826" s="20" t="s">
        <v>5799</v>
      </c>
      <c r="E2826" s="20" t="e">
        <f t="array" ref="E2826">INDEX(C:C,SMALL(IF(ISNUMBER(FIND(CELL("contents"),$C$2:$C$4852)),ROW($C$2:$C$4852),4^8),ROW(C2826)))&amp;""</f>
        <v>#N/A</v>
      </c>
    </row>
    <row r="2827" ht="14.100000000000001" customHeight="1">
      <c r="B2827" s="20" t="s">
        <v>5801</v>
      </c>
      <c r="C2827" s="20" t="s">
        <v>5802</v>
      </c>
      <c r="D2827" s="20" t="s">
        <v>5801</v>
      </c>
      <c r="E2827" s="20" t="e">
        <f t="array" ref="E2827">INDEX(C:C,SMALL(IF(ISNUMBER(FIND(CELL("contents"),$C$2:$C$4852)),ROW($C$2:$C$4852),4^8),ROW(C2827)))&amp;""</f>
        <v>#N/A</v>
      </c>
    </row>
    <row r="2828" ht="14.100000000000001" customHeight="1">
      <c r="B2828" s="20" t="s">
        <v>5803</v>
      </c>
      <c r="C2828" s="20" t="s">
        <v>5804</v>
      </c>
      <c r="D2828" s="20" t="s">
        <v>5803</v>
      </c>
      <c r="E2828" s="20" t="e">
        <f t="array" ref="E2828">INDEX(C:C,SMALL(IF(ISNUMBER(FIND(CELL("contents"),$C$2:$C$4852)),ROW($C$2:$C$4852),4^8),ROW(C2828)))&amp;""</f>
        <v>#N/A</v>
      </c>
    </row>
    <row r="2829" ht="14.100000000000001" customHeight="1">
      <c r="B2829" s="20" t="s">
        <v>5805</v>
      </c>
      <c r="C2829" s="20" t="s">
        <v>5806</v>
      </c>
      <c r="D2829" s="20" t="s">
        <v>5805</v>
      </c>
      <c r="E2829" s="20" t="e">
        <f t="array" ref="E2829">INDEX(C:C,SMALL(IF(ISNUMBER(FIND(CELL("contents"),$C$2:$C$4852)),ROW($C$2:$C$4852),4^8),ROW(C2829)))&amp;""</f>
        <v>#N/A</v>
      </c>
    </row>
    <row r="2830" ht="14.100000000000001" customHeight="1">
      <c r="B2830" s="20" t="s">
        <v>5807</v>
      </c>
      <c r="C2830" s="20" t="s">
        <v>5808</v>
      </c>
      <c r="D2830" s="20" t="s">
        <v>5807</v>
      </c>
      <c r="E2830" s="20" t="e">
        <f t="array" ref="E2830">INDEX(C:C,SMALL(IF(ISNUMBER(FIND(CELL("contents"),$C$2:$C$4852)),ROW($C$2:$C$4852),4^8),ROW(C2830)))&amp;""</f>
        <v>#N/A</v>
      </c>
    </row>
    <row r="2831" ht="14.100000000000001" customHeight="1">
      <c r="B2831" s="20" t="s">
        <v>5809</v>
      </c>
      <c r="C2831" s="20" t="s">
        <v>5810</v>
      </c>
      <c r="D2831" s="20" t="s">
        <v>5809</v>
      </c>
      <c r="E2831" s="20" t="e">
        <f t="array" ref="E2831">INDEX(C:C,SMALL(IF(ISNUMBER(FIND(CELL("contents"),$C$2:$C$4852)),ROW($C$2:$C$4852),4^8),ROW(C2831)))&amp;""</f>
        <v>#N/A</v>
      </c>
    </row>
    <row r="2832" ht="14.100000000000001" customHeight="1">
      <c r="B2832" s="20" t="s">
        <v>5811</v>
      </c>
      <c r="C2832" s="20" t="s">
        <v>5812</v>
      </c>
      <c r="D2832" s="20" t="s">
        <v>5811</v>
      </c>
      <c r="E2832" s="20" t="e">
        <f t="array" ref="E2832">INDEX(C:C,SMALL(IF(ISNUMBER(FIND(CELL("contents"),$C$2:$C$4852)),ROW($C$2:$C$4852),4^8),ROW(C2832)))&amp;""</f>
        <v>#N/A</v>
      </c>
    </row>
    <row r="2833" ht="14.100000000000001" customHeight="1">
      <c r="B2833" s="20" t="s">
        <v>5813</v>
      </c>
      <c r="C2833" s="20" t="s">
        <v>5814</v>
      </c>
      <c r="D2833" s="20" t="s">
        <v>5813</v>
      </c>
      <c r="E2833" s="20" t="e">
        <f t="array" ref="E2833">INDEX(C:C,SMALL(IF(ISNUMBER(FIND(CELL("contents"),$C$2:$C$4852)),ROW($C$2:$C$4852),4^8),ROW(C2833)))&amp;""</f>
        <v>#N/A</v>
      </c>
    </row>
    <row r="2834" ht="14.100000000000001" customHeight="1">
      <c r="B2834" s="20" t="s">
        <v>5815</v>
      </c>
      <c r="C2834" s="20" t="s">
        <v>5816</v>
      </c>
      <c r="D2834" s="20" t="s">
        <v>5815</v>
      </c>
      <c r="E2834" s="20" t="e">
        <f t="array" ref="E2834">INDEX(C:C,SMALL(IF(ISNUMBER(FIND(CELL("contents"),$C$2:$C$4852)),ROW($C$2:$C$4852),4^8),ROW(C2834)))&amp;""</f>
        <v>#N/A</v>
      </c>
    </row>
    <row r="2835" ht="14.100000000000001" customHeight="1">
      <c r="B2835" s="20" t="s">
        <v>5817</v>
      </c>
      <c r="C2835" s="20" t="s">
        <v>5818</v>
      </c>
      <c r="D2835" s="20" t="s">
        <v>5817</v>
      </c>
      <c r="E2835" s="20" t="e">
        <f t="array" ref="E2835">INDEX(C:C,SMALL(IF(ISNUMBER(FIND(CELL("contents"),$C$2:$C$4852)),ROW($C$2:$C$4852),4^8),ROW(C2835)))&amp;""</f>
        <v>#N/A</v>
      </c>
    </row>
    <row r="2836" ht="14.100000000000001" customHeight="1">
      <c r="B2836" s="20" t="s">
        <v>5819</v>
      </c>
      <c r="C2836" s="20" t="s">
        <v>5820</v>
      </c>
      <c r="D2836" s="20" t="s">
        <v>5819</v>
      </c>
      <c r="E2836" s="20" t="e">
        <f t="array" ref="E2836">INDEX(C:C,SMALL(IF(ISNUMBER(FIND(CELL("contents"),$C$2:$C$4852)),ROW($C$2:$C$4852),4^8),ROW(C2836)))&amp;""</f>
        <v>#N/A</v>
      </c>
    </row>
    <row r="2837" ht="14.100000000000001" customHeight="1">
      <c r="B2837" s="20" t="s">
        <v>5821</v>
      </c>
      <c r="C2837" s="20" t="s">
        <v>5822</v>
      </c>
      <c r="D2837" s="20" t="s">
        <v>5821</v>
      </c>
      <c r="E2837" s="20" t="e">
        <f t="array" ref="E2837">INDEX(C:C,SMALL(IF(ISNUMBER(FIND(CELL("contents"),$C$2:$C$4852)),ROW($C$2:$C$4852),4^8),ROW(C2837)))&amp;""</f>
        <v>#N/A</v>
      </c>
    </row>
    <row r="2838" ht="14.100000000000001" customHeight="1">
      <c r="B2838" s="20" t="s">
        <v>5823</v>
      </c>
      <c r="C2838" s="20" t="s">
        <v>5824</v>
      </c>
      <c r="D2838" s="20" t="s">
        <v>5823</v>
      </c>
      <c r="E2838" s="20" t="e">
        <f t="array" ref="E2838">INDEX(C:C,SMALL(IF(ISNUMBER(FIND(CELL("contents"),$C$2:$C$4852)),ROW($C$2:$C$4852),4^8),ROW(C2838)))&amp;""</f>
        <v>#N/A</v>
      </c>
    </row>
    <row r="2839" ht="14.100000000000001" customHeight="1">
      <c r="B2839" s="20" t="s">
        <v>5825</v>
      </c>
      <c r="C2839" s="20" t="s">
        <v>5826</v>
      </c>
      <c r="D2839" s="20" t="s">
        <v>5825</v>
      </c>
      <c r="E2839" s="20" t="e">
        <f t="array" ref="E2839">INDEX(C:C,SMALL(IF(ISNUMBER(FIND(CELL("contents"),$C$2:$C$4852)),ROW($C$2:$C$4852),4^8),ROW(C2839)))&amp;""</f>
        <v>#N/A</v>
      </c>
    </row>
    <row r="2840" ht="14.100000000000001" customHeight="1">
      <c r="B2840" s="20" t="s">
        <v>5827</v>
      </c>
      <c r="C2840" s="20" t="s">
        <v>5828</v>
      </c>
      <c r="D2840" s="20" t="s">
        <v>5827</v>
      </c>
      <c r="E2840" s="20" t="e">
        <f t="array" ref="E2840">INDEX(C:C,SMALL(IF(ISNUMBER(FIND(CELL("contents"),$C$2:$C$4852)),ROW($C$2:$C$4852),4^8),ROW(C2840)))&amp;""</f>
        <v>#N/A</v>
      </c>
    </row>
    <row r="2841" ht="14.100000000000001" customHeight="1">
      <c r="B2841" s="20" t="s">
        <v>5829</v>
      </c>
      <c r="C2841" s="20" t="s">
        <v>5830</v>
      </c>
      <c r="D2841" s="20" t="s">
        <v>5829</v>
      </c>
      <c r="E2841" s="20" t="e">
        <f t="array" ref="E2841">INDEX(C:C,SMALL(IF(ISNUMBER(FIND(CELL("contents"),$C$2:$C$4852)),ROW($C$2:$C$4852),4^8),ROW(C2841)))&amp;""</f>
        <v>#N/A</v>
      </c>
    </row>
    <row r="2842" ht="14.100000000000001" customHeight="1">
      <c r="B2842" s="20" t="s">
        <v>5831</v>
      </c>
      <c r="C2842" s="20" t="s">
        <v>5832</v>
      </c>
      <c r="D2842" s="20" t="s">
        <v>5831</v>
      </c>
      <c r="E2842" s="20" t="e">
        <f t="array" ref="E2842">INDEX(C:C,SMALL(IF(ISNUMBER(FIND(CELL("contents"),$C$2:$C$4852)),ROW($C$2:$C$4852),4^8),ROW(C2842)))&amp;""</f>
        <v>#N/A</v>
      </c>
    </row>
    <row r="2843" ht="14.100000000000001" customHeight="1">
      <c r="B2843" s="20" t="s">
        <v>5833</v>
      </c>
      <c r="C2843" s="20" t="s">
        <v>5834</v>
      </c>
      <c r="D2843" s="20" t="s">
        <v>5833</v>
      </c>
      <c r="E2843" s="20" t="e">
        <f t="array" ref="E2843">INDEX(C:C,SMALL(IF(ISNUMBER(FIND(CELL("contents"),$C$2:$C$4852)),ROW($C$2:$C$4852),4^8),ROW(C2843)))&amp;""</f>
        <v>#N/A</v>
      </c>
    </row>
    <row r="2844" ht="14.100000000000001" customHeight="1">
      <c r="B2844" s="20" t="s">
        <v>5835</v>
      </c>
      <c r="C2844" s="20" t="s">
        <v>5836</v>
      </c>
      <c r="D2844" s="20" t="s">
        <v>5835</v>
      </c>
      <c r="E2844" s="20" t="e">
        <f t="array" ref="E2844">INDEX(C:C,SMALL(IF(ISNUMBER(FIND(CELL("contents"),$C$2:$C$4852)),ROW($C$2:$C$4852),4^8),ROW(C2844)))&amp;""</f>
        <v>#N/A</v>
      </c>
    </row>
    <row r="2845" ht="14.100000000000001" customHeight="1">
      <c r="B2845" s="20" t="s">
        <v>5837</v>
      </c>
      <c r="C2845" s="20" t="s">
        <v>5838</v>
      </c>
      <c r="D2845" s="20" t="s">
        <v>5837</v>
      </c>
      <c r="E2845" s="20" t="e">
        <f t="array" ref="E2845">INDEX(C:C,SMALL(IF(ISNUMBER(FIND(CELL("contents"),$C$2:$C$4852)),ROW($C$2:$C$4852),4^8),ROW(C2845)))&amp;""</f>
        <v>#N/A</v>
      </c>
    </row>
    <row r="2846" ht="14.100000000000001" customHeight="1">
      <c r="B2846" s="20" t="s">
        <v>5839</v>
      </c>
      <c r="C2846" s="20" t="s">
        <v>5840</v>
      </c>
      <c r="D2846" s="20" t="s">
        <v>5839</v>
      </c>
      <c r="E2846" s="20" t="e">
        <f t="array" ref="E2846">INDEX(C:C,SMALL(IF(ISNUMBER(FIND(CELL("contents"),$C$2:$C$4852)),ROW($C$2:$C$4852),4^8),ROW(C2846)))&amp;""</f>
        <v>#N/A</v>
      </c>
    </row>
    <row r="2847" ht="14.100000000000001" customHeight="1">
      <c r="B2847" s="20" t="s">
        <v>5841</v>
      </c>
      <c r="C2847" s="20" t="s">
        <v>5842</v>
      </c>
      <c r="D2847" s="20" t="s">
        <v>5841</v>
      </c>
      <c r="E2847" s="20" t="e">
        <f t="array" ref="E2847">INDEX(C:C,SMALL(IF(ISNUMBER(FIND(CELL("contents"),$C$2:$C$4852)),ROW($C$2:$C$4852),4^8),ROW(C2847)))&amp;""</f>
        <v>#N/A</v>
      </c>
    </row>
    <row r="2848" ht="14.100000000000001" customHeight="1">
      <c r="B2848" s="20" t="s">
        <v>5843</v>
      </c>
      <c r="C2848" s="20" t="s">
        <v>5844</v>
      </c>
      <c r="D2848" s="20" t="s">
        <v>5843</v>
      </c>
      <c r="E2848" s="20" t="e">
        <f t="array" ref="E2848">INDEX(C:C,SMALL(IF(ISNUMBER(FIND(CELL("contents"),$C$2:$C$4852)),ROW($C$2:$C$4852),4^8),ROW(C2848)))&amp;""</f>
        <v>#N/A</v>
      </c>
    </row>
    <row r="2849" ht="14.100000000000001" customHeight="1">
      <c r="B2849" s="20" t="s">
        <v>5845</v>
      </c>
      <c r="C2849" s="20" t="s">
        <v>5846</v>
      </c>
      <c r="D2849" s="20" t="s">
        <v>5845</v>
      </c>
      <c r="E2849" s="20" t="e">
        <f t="array" ref="E2849">INDEX(C:C,SMALL(IF(ISNUMBER(FIND(CELL("contents"),$C$2:$C$4852)),ROW($C$2:$C$4852),4^8),ROW(C2849)))&amp;""</f>
        <v>#N/A</v>
      </c>
    </row>
    <row r="2850" ht="14.100000000000001" customHeight="1">
      <c r="B2850" s="20" t="s">
        <v>5847</v>
      </c>
      <c r="C2850" s="20" t="s">
        <v>5848</v>
      </c>
      <c r="D2850" s="20" t="s">
        <v>5847</v>
      </c>
      <c r="E2850" s="20" t="e">
        <f t="array" ref="E2850">INDEX(C:C,SMALL(IF(ISNUMBER(FIND(CELL("contents"),$C$2:$C$4852)),ROW($C$2:$C$4852),4^8),ROW(C2850)))&amp;""</f>
        <v>#N/A</v>
      </c>
    </row>
    <row r="2851" ht="14.100000000000001" customHeight="1">
      <c r="B2851" s="20" t="s">
        <v>5849</v>
      </c>
      <c r="C2851" s="20" t="s">
        <v>5850</v>
      </c>
      <c r="D2851" s="20" t="s">
        <v>5849</v>
      </c>
      <c r="E2851" s="20" t="e">
        <f t="array" ref="E2851">INDEX(C:C,SMALL(IF(ISNUMBER(FIND(CELL("contents"),$C$2:$C$4852)),ROW($C$2:$C$4852),4^8),ROW(C2851)))&amp;""</f>
        <v>#N/A</v>
      </c>
    </row>
    <row r="2852" ht="14.100000000000001" customHeight="1">
      <c r="B2852" s="20" t="s">
        <v>5851</v>
      </c>
      <c r="C2852" s="20" t="s">
        <v>5852</v>
      </c>
      <c r="D2852" s="20" t="s">
        <v>5851</v>
      </c>
      <c r="E2852" s="20" t="e">
        <f t="array" ref="E2852">INDEX(C:C,SMALL(IF(ISNUMBER(FIND(CELL("contents"),$C$2:$C$4852)),ROW($C$2:$C$4852),4^8),ROW(C2852)))&amp;""</f>
        <v>#N/A</v>
      </c>
    </row>
    <row r="2853" ht="14.100000000000001" customHeight="1">
      <c r="B2853" s="20" t="s">
        <v>5853</v>
      </c>
      <c r="C2853" s="20" t="s">
        <v>5854</v>
      </c>
      <c r="D2853" s="20" t="s">
        <v>5853</v>
      </c>
      <c r="E2853" s="20" t="e">
        <f t="array" ref="E2853">INDEX(C:C,SMALL(IF(ISNUMBER(FIND(CELL("contents"),$C$2:$C$4852)),ROW($C$2:$C$4852),4^8),ROW(C2853)))&amp;""</f>
        <v>#N/A</v>
      </c>
    </row>
    <row r="2854" ht="14.100000000000001" customHeight="1">
      <c r="B2854" s="20" t="s">
        <v>5855</v>
      </c>
      <c r="C2854" s="20" t="s">
        <v>5856</v>
      </c>
      <c r="D2854" s="20" t="s">
        <v>5855</v>
      </c>
      <c r="E2854" s="20" t="e">
        <f t="array" ref="E2854">INDEX(C:C,SMALL(IF(ISNUMBER(FIND(CELL("contents"),$C$2:$C$4852)),ROW($C$2:$C$4852),4^8),ROW(C2854)))&amp;""</f>
        <v>#N/A</v>
      </c>
    </row>
    <row r="2855" ht="14.100000000000001" customHeight="1">
      <c r="B2855" s="20" t="s">
        <v>5857</v>
      </c>
      <c r="C2855" s="20" t="s">
        <v>5858</v>
      </c>
      <c r="D2855" s="20" t="s">
        <v>5857</v>
      </c>
      <c r="E2855" s="20" t="e">
        <f t="array" ref="E2855">INDEX(C:C,SMALL(IF(ISNUMBER(FIND(CELL("contents"),$C$2:$C$4852)),ROW($C$2:$C$4852),4^8),ROW(C2855)))&amp;""</f>
        <v>#N/A</v>
      </c>
    </row>
    <row r="2856" ht="14.100000000000001" customHeight="1">
      <c r="B2856" s="20" t="s">
        <v>5859</v>
      </c>
      <c r="C2856" s="20" t="s">
        <v>5860</v>
      </c>
      <c r="D2856" s="20" t="s">
        <v>5859</v>
      </c>
      <c r="E2856" s="20" t="e">
        <f t="array" ref="E2856">INDEX(C:C,SMALL(IF(ISNUMBER(FIND(CELL("contents"),$C$2:$C$4852)),ROW($C$2:$C$4852),4^8),ROW(C2856)))&amp;""</f>
        <v>#N/A</v>
      </c>
    </row>
    <row r="2857" ht="14.100000000000001" customHeight="1">
      <c r="B2857" s="20" t="s">
        <v>5861</v>
      </c>
      <c r="C2857" s="20" t="s">
        <v>5862</v>
      </c>
      <c r="D2857" s="20" t="s">
        <v>5861</v>
      </c>
      <c r="E2857" s="20" t="e">
        <f t="array" ref="E2857">INDEX(C:C,SMALL(IF(ISNUMBER(FIND(CELL("contents"),$C$2:$C$4852)),ROW($C$2:$C$4852),4^8),ROW(C2857)))&amp;""</f>
        <v>#N/A</v>
      </c>
    </row>
    <row r="2858" ht="14.100000000000001" customHeight="1">
      <c r="B2858" s="20" t="s">
        <v>5863</v>
      </c>
      <c r="C2858" s="20" t="s">
        <v>5864</v>
      </c>
      <c r="D2858" s="20" t="s">
        <v>5863</v>
      </c>
      <c r="E2858" s="20" t="e">
        <f t="array" ref="E2858">INDEX(C:C,SMALL(IF(ISNUMBER(FIND(CELL("contents"),$C$2:$C$4852)),ROW($C$2:$C$4852),4^8),ROW(C2858)))&amp;""</f>
        <v>#N/A</v>
      </c>
    </row>
    <row r="2859" ht="14.100000000000001" customHeight="1">
      <c r="B2859" s="20" t="s">
        <v>5865</v>
      </c>
      <c r="C2859" s="20" t="s">
        <v>5866</v>
      </c>
      <c r="D2859" s="20" t="s">
        <v>5865</v>
      </c>
      <c r="E2859" s="20" t="e">
        <f t="array" ref="E2859">INDEX(C:C,SMALL(IF(ISNUMBER(FIND(CELL("contents"),$C$2:$C$4852)),ROW($C$2:$C$4852),4^8),ROW(C2859)))&amp;""</f>
        <v>#N/A</v>
      </c>
    </row>
    <row r="2860" ht="14.100000000000001" customHeight="1">
      <c r="B2860" s="20" t="s">
        <v>5867</v>
      </c>
      <c r="C2860" s="20" t="s">
        <v>5868</v>
      </c>
      <c r="D2860" s="20" t="s">
        <v>5867</v>
      </c>
      <c r="E2860" s="20" t="e">
        <f t="array" ref="E2860">INDEX(C:C,SMALL(IF(ISNUMBER(FIND(CELL("contents"),$C$2:$C$4852)),ROW($C$2:$C$4852),4^8),ROW(C2860)))&amp;""</f>
        <v>#N/A</v>
      </c>
    </row>
    <row r="2861" ht="14.100000000000001" customHeight="1">
      <c r="B2861" s="20" t="s">
        <v>5869</v>
      </c>
      <c r="C2861" s="20" t="s">
        <v>5870</v>
      </c>
      <c r="D2861" s="20" t="s">
        <v>5869</v>
      </c>
      <c r="E2861" s="20" t="e">
        <f t="array" ref="E2861">INDEX(C:C,SMALL(IF(ISNUMBER(FIND(CELL("contents"),$C$2:$C$4852)),ROW($C$2:$C$4852),4^8),ROW(C2861)))&amp;""</f>
        <v>#N/A</v>
      </c>
    </row>
    <row r="2862" ht="14.100000000000001" customHeight="1">
      <c r="B2862" s="20" t="s">
        <v>5871</v>
      </c>
      <c r="C2862" s="20" t="s">
        <v>5872</v>
      </c>
      <c r="D2862" s="20" t="s">
        <v>5871</v>
      </c>
      <c r="E2862" s="20" t="e">
        <f t="array" ref="E2862">INDEX(C:C,SMALL(IF(ISNUMBER(FIND(CELL("contents"),$C$2:$C$4852)),ROW($C$2:$C$4852),4^8),ROW(C2862)))&amp;""</f>
        <v>#N/A</v>
      </c>
    </row>
    <row r="2863" ht="14.100000000000001" customHeight="1">
      <c r="B2863" s="20" t="s">
        <v>5873</v>
      </c>
      <c r="C2863" s="20" t="s">
        <v>5874</v>
      </c>
      <c r="D2863" s="20" t="s">
        <v>5873</v>
      </c>
      <c r="E2863" s="20" t="e">
        <f t="array" ref="E2863">INDEX(C:C,SMALL(IF(ISNUMBER(FIND(CELL("contents"),$C$2:$C$4852)),ROW($C$2:$C$4852),4^8),ROW(C2863)))&amp;""</f>
        <v>#N/A</v>
      </c>
    </row>
    <row r="2864" ht="14.100000000000001" customHeight="1">
      <c r="B2864" s="20" t="s">
        <v>5875</v>
      </c>
      <c r="C2864" s="20" t="s">
        <v>5876</v>
      </c>
      <c r="D2864" s="20" t="s">
        <v>5875</v>
      </c>
      <c r="E2864" s="20" t="e">
        <f t="array" ref="E2864">INDEX(C:C,SMALL(IF(ISNUMBER(FIND(CELL("contents"),$C$2:$C$4852)),ROW($C$2:$C$4852),4^8),ROW(C2864)))&amp;""</f>
        <v>#N/A</v>
      </c>
    </row>
    <row r="2865" ht="14.100000000000001" customHeight="1">
      <c r="B2865" s="20" t="s">
        <v>5877</v>
      </c>
      <c r="C2865" s="20" t="s">
        <v>5878</v>
      </c>
      <c r="D2865" s="20" t="s">
        <v>5877</v>
      </c>
      <c r="E2865" s="20" t="e">
        <f t="array" ref="E2865">INDEX(C:C,SMALL(IF(ISNUMBER(FIND(CELL("contents"),$C$2:$C$4852)),ROW($C$2:$C$4852),4^8),ROW(C2865)))&amp;""</f>
        <v>#N/A</v>
      </c>
    </row>
    <row r="2866" ht="14.100000000000001" customHeight="1">
      <c r="B2866" s="20" t="s">
        <v>5879</v>
      </c>
      <c r="C2866" s="20" t="s">
        <v>5880</v>
      </c>
      <c r="D2866" s="20" t="s">
        <v>5879</v>
      </c>
      <c r="E2866" s="20" t="e">
        <f t="array" ref="E2866">INDEX(C:C,SMALL(IF(ISNUMBER(FIND(CELL("contents"),$C$2:$C$4852)),ROW($C$2:$C$4852),4^8),ROW(C2866)))&amp;""</f>
        <v>#N/A</v>
      </c>
    </row>
    <row r="2867" ht="14.100000000000001" customHeight="1">
      <c r="B2867" s="20" t="s">
        <v>5881</v>
      </c>
      <c r="C2867" s="20" t="s">
        <v>5882</v>
      </c>
      <c r="D2867" s="20" t="s">
        <v>5881</v>
      </c>
      <c r="E2867" s="20" t="e">
        <f t="array" ref="E2867">INDEX(C:C,SMALL(IF(ISNUMBER(FIND(CELL("contents"),$C$2:$C$4852)),ROW($C$2:$C$4852),4^8),ROW(C2867)))&amp;""</f>
        <v>#N/A</v>
      </c>
    </row>
    <row r="2868" ht="14.100000000000001" customHeight="1">
      <c r="B2868" s="20" t="s">
        <v>5883</v>
      </c>
      <c r="C2868" s="20" t="s">
        <v>5884</v>
      </c>
      <c r="D2868" s="20" t="s">
        <v>5883</v>
      </c>
      <c r="E2868" s="20" t="e">
        <f t="array" ref="E2868">INDEX(C:C,SMALL(IF(ISNUMBER(FIND(CELL("contents"),$C$2:$C$4852)),ROW($C$2:$C$4852),4^8),ROW(C2868)))&amp;""</f>
        <v>#N/A</v>
      </c>
    </row>
    <row r="2869" ht="14.100000000000001" customHeight="1">
      <c r="B2869" s="20" t="s">
        <v>5885</v>
      </c>
      <c r="C2869" s="20" t="s">
        <v>5886</v>
      </c>
      <c r="D2869" s="20" t="s">
        <v>5885</v>
      </c>
      <c r="E2869" s="20" t="e">
        <f t="array" ref="E2869">INDEX(C:C,SMALL(IF(ISNUMBER(FIND(CELL("contents"),$C$2:$C$4852)),ROW($C$2:$C$4852),4^8),ROW(C2869)))&amp;""</f>
        <v>#N/A</v>
      </c>
    </row>
    <row r="2870" ht="14.100000000000001" customHeight="1">
      <c r="B2870" s="20" t="s">
        <v>5887</v>
      </c>
      <c r="C2870" s="20" t="s">
        <v>5888</v>
      </c>
      <c r="D2870" s="20" t="s">
        <v>5887</v>
      </c>
      <c r="E2870" s="20" t="e">
        <f t="array" ref="E2870">INDEX(C:C,SMALL(IF(ISNUMBER(FIND(CELL("contents"),$C$2:$C$4852)),ROW($C$2:$C$4852),4^8),ROW(C2870)))&amp;""</f>
        <v>#N/A</v>
      </c>
    </row>
    <row r="2871" ht="14.100000000000001" customHeight="1">
      <c r="B2871" s="20" t="s">
        <v>5889</v>
      </c>
      <c r="C2871" s="20" t="s">
        <v>5890</v>
      </c>
      <c r="D2871" s="20" t="s">
        <v>5889</v>
      </c>
      <c r="E2871" s="20" t="e">
        <f t="array" ref="E2871">INDEX(C:C,SMALL(IF(ISNUMBER(FIND(CELL("contents"),$C$2:$C$4852)),ROW($C$2:$C$4852),4^8),ROW(C2871)))&amp;""</f>
        <v>#N/A</v>
      </c>
    </row>
    <row r="2872" ht="14.100000000000001" customHeight="1">
      <c r="B2872" s="20" t="s">
        <v>5891</v>
      </c>
      <c r="C2872" s="20" t="s">
        <v>5892</v>
      </c>
      <c r="D2872" s="20" t="s">
        <v>5891</v>
      </c>
      <c r="E2872" s="20" t="e">
        <f t="array" ref="E2872">INDEX(C:C,SMALL(IF(ISNUMBER(FIND(CELL("contents"),$C$2:$C$4852)),ROW($C$2:$C$4852),4^8),ROW(C2872)))&amp;""</f>
        <v>#N/A</v>
      </c>
    </row>
    <row r="2873" ht="14.100000000000001" customHeight="1">
      <c r="B2873" s="20" t="s">
        <v>5893</v>
      </c>
      <c r="C2873" s="20" t="s">
        <v>5894</v>
      </c>
      <c r="D2873" s="20" t="s">
        <v>5893</v>
      </c>
      <c r="E2873" s="20" t="e">
        <f t="array" ref="E2873">INDEX(C:C,SMALL(IF(ISNUMBER(FIND(CELL("contents"),$C$2:$C$4852)),ROW($C$2:$C$4852),4^8),ROW(C2873)))&amp;""</f>
        <v>#N/A</v>
      </c>
    </row>
    <row r="2874" ht="14.100000000000001" customHeight="1">
      <c r="B2874" s="20" t="s">
        <v>5895</v>
      </c>
      <c r="C2874" s="20" t="s">
        <v>5896</v>
      </c>
      <c r="D2874" s="20" t="s">
        <v>5895</v>
      </c>
      <c r="E2874" s="20" t="e">
        <f t="array" ref="E2874">INDEX(C:C,SMALL(IF(ISNUMBER(FIND(CELL("contents"),$C$2:$C$4852)),ROW($C$2:$C$4852),4^8),ROW(C2874)))&amp;""</f>
        <v>#N/A</v>
      </c>
    </row>
    <row r="2875" ht="14.100000000000001" customHeight="1">
      <c r="B2875" s="20" t="s">
        <v>5897</v>
      </c>
      <c r="C2875" s="20" t="s">
        <v>5898</v>
      </c>
      <c r="D2875" s="20" t="s">
        <v>5897</v>
      </c>
      <c r="E2875" s="20" t="e">
        <f t="array" ref="E2875">INDEX(C:C,SMALL(IF(ISNUMBER(FIND(CELL("contents"),$C$2:$C$4852)),ROW($C$2:$C$4852),4^8),ROW(C2875)))&amp;""</f>
        <v>#N/A</v>
      </c>
    </row>
    <row r="2876" ht="14.100000000000001" customHeight="1">
      <c r="B2876" s="20" t="s">
        <v>5899</v>
      </c>
      <c r="C2876" s="20" t="s">
        <v>5900</v>
      </c>
      <c r="D2876" s="20" t="s">
        <v>5899</v>
      </c>
      <c r="E2876" s="20" t="e">
        <f t="array" ref="E2876">INDEX(C:C,SMALL(IF(ISNUMBER(FIND(CELL("contents"),$C$2:$C$4852)),ROW($C$2:$C$4852),4^8),ROW(C2876)))&amp;""</f>
        <v>#N/A</v>
      </c>
    </row>
    <row r="2877" ht="14.100000000000001" customHeight="1">
      <c r="B2877" s="20" t="s">
        <v>5901</v>
      </c>
      <c r="C2877" s="20" t="s">
        <v>5902</v>
      </c>
      <c r="D2877" s="20" t="s">
        <v>5901</v>
      </c>
      <c r="E2877" s="20" t="e">
        <f t="array" ref="E2877">INDEX(C:C,SMALL(IF(ISNUMBER(FIND(CELL("contents"),$C$2:$C$4852)),ROW($C$2:$C$4852),4^8),ROW(C2877)))&amp;""</f>
        <v>#N/A</v>
      </c>
    </row>
    <row r="2878" ht="14.100000000000001" customHeight="1">
      <c r="B2878" s="20" t="s">
        <v>142</v>
      </c>
      <c r="C2878" s="20" t="s">
        <v>143</v>
      </c>
      <c r="D2878" s="20" t="s">
        <v>142</v>
      </c>
      <c r="E2878" s="20" t="e">
        <f t="array" ref="E2878">INDEX(C:C,SMALL(IF(ISNUMBER(FIND(CELL("contents"),$C$2:$C$4852)),ROW($C$2:$C$4852),4^8),ROW(C2878)))&amp;""</f>
        <v>#N/A</v>
      </c>
    </row>
    <row r="2879" ht="14.100000000000001" customHeight="1">
      <c r="B2879" s="20" t="s">
        <v>5903</v>
      </c>
      <c r="C2879" s="20" t="s">
        <v>5904</v>
      </c>
      <c r="D2879" s="20" t="s">
        <v>5903</v>
      </c>
      <c r="E2879" s="20" t="e">
        <f t="array" ref="E2879">INDEX(C:C,SMALL(IF(ISNUMBER(FIND(CELL("contents"),$C$2:$C$4852)),ROW($C$2:$C$4852),4^8),ROW(C2879)))&amp;""</f>
        <v>#N/A</v>
      </c>
    </row>
    <row r="2880" ht="14.100000000000001" customHeight="1">
      <c r="B2880" s="20" t="s">
        <v>5905</v>
      </c>
      <c r="C2880" s="20" t="s">
        <v>5906</v>
      </c>
      <c r="D2880" s="20" t="s">
        <v>5905</v>
      </c>
      <c r="E2880" s="20" t="e">
        <f t="array" ref="E2880">INDEX(C:C,SMALL(IF(ISNUMBER(FIND(CELL("contents"),$C$2:$C$4852)),ROW($C$2:$C$4852),4^8),ROW(C2880)))&amp;""</f>
        <v>#N/A</v>
      </c>
    </row>
    <row r="2881" ht="14.100000000000001" customHeight="1">
      <c r="B2881" s="20" t="s">
        <v>5907</v>
      </c>
      <c r="C2881" s="20" t="s">
        <v>5908</v>
      </c>
      <c r="D2881" s="20" t="s">
        <v>5907</v>
      </c>
      <c r="E2881" s="20" t="e">
        <f t="array" ref="E2881">INDEX(C:C,SMALL(IF(ISNUMBER(FIND(CELL("contents"),$C$2:$C$4852)),ROW($C$2:$C$4852),4^8),ROW(C2881)))&amp;""</f>
        <v>#N/A</v>
      </c>
    </row>
    <row r="2882" ht="14.100000000000001" customHeight="1">
      <c r="B2882" s="20" t="s">
        <v>5909</v>
      </c>
      <c r="C2882" s="20" t="s">
        <v>5910</v>
      </c>
      <c r="D2882" s="20" t="s">
        <v>5909</v>
      </c>
      <c r="E2882" s="20" t="e">
        <f t="array" ref="E2882">INDEX(C:C,SMALL(IF(ISNUMBER(FIND(CELL("contents"),$C$2:$C$4852)),ROW($C$2:$C$4852),4^8),ROW(C2882)))&amp;""</f>
        <v>#N/A</v>
      </c>
    </row>
    <row r="2883" ht="14.100000000000001" customHeight="1">
      <c r="B2883" s="20" t="s">
        <v>5911</v>
      </c>
      <c r="C2883" s="20" t="s">
        <v>5912</v>
      </c>
      <c r="D2883" s="20" t="s">
        <v>5911</v>
      </c>
      <c r="E2883" s="20" t="e">
        <f t="array" ref="E2883">INDEX(C:C,SMALL(IF(ISNUMBER(FIND(CELL("contents"),$C$2:$C$4852)),ROW($C$2:$C$4852),4^8),ROW(C2883)))&amp;""</f>
        <v>#N/A</v>
      </c>
    </row>
    <row r="2884" ht="14.100000000000001" customHeight="1">
      <c r="B2884" s="20" t="s">
        <v>5913</v>
      </c>
      <c r="C2884" s="20" t="s">
        <v>5914</v>
      </c>
      <c r="D2884" s="20" t="s">
        <v>5913</v>
      </c>
      <c r="E2884" s="20" t="e">
        <f t="array" ref="E2884">INDEX(C:C,SMALL(IF(ISNUMBER(FIND(CELL("contents"),$C$2:$C$4852)),ROW($C$2:$C$4852),4^8),ROW(C2884)))&amp;""</f>
        <v>#N/A</v>
      </c>
    </row>
    <row r="2885" ht="14.100000000000001" customHeight="1">
      <c r="B2885" s="20" t="s">
        <v>5915</v>
      </c>
      <c r="C2885" s="20" t="s">
        <v>5916</v>
      </c>
      <c r="D2885" s="20" t="s">
        <v>5915</v>
      </c>
      <c r="E2885" s="20" t="e">
        <f t="array" ref="E2885">INDEX(C:C,SMALL(IF(ISNUMBER(FIND(CELL("contents"),$C$2:$C$4852)),ROW($C$2:$C$4852),4^8),ROW(C2885)))&amp;""</f>
        <v>#N/A</v>
      </c>
    </row>
    <row r="2886" ht="14.100000000000001" customHeight="1">
      <c r="B2886" s="20" t="s">
        <v>5917</v>
      </c>
      <c r="C2886" s="20" t="s">
        <v>5918</v>
      </c>
      <c r="D2886" s="20" t="s">
        <v>5917</v>
      </c>
      <c r="E2886" s="20" t="e">
        <f t="array" ref="E2886">INDEX(C:C,SMALL(IF(ISNUMBER(FIND(CELL("contents"),$C$2:$C$4852)),ROW($C$2:$C$4852),4^8),ROW(C2886)))&amp;""</f>
        <v>#N/A</v>
      </c>
    </row>
    <row r="2887" ht="14.100000000000001" customHeight="1">
      <c r="B2887" s="20" t="s">
        <v>5919</v>
      </c>
      <c r="C2887" s="20" t="s">
        <v>5920</v>
      </c>
      <c r="D2887" s="20" t="s">
        <v>5919</v>
      </c>
      <c r="E2887" s="20" t="e">
        <f t="array" ref="E2887">INDEX(C:C,SMALL(IF(ISNUMBER(FIND(CELL("contents"),$C$2:$C$4852)),ROW($C$2:$C$4852),4^8),ROW(C2887)))&amp;""</f>
        <v>#N/A</v>
      </c>
    </row>
    <row r="2888" ht="14.100000000000001" customHeight="1">
      <c r="B2888" s="20" t="s">
        <v>5921</v>
      </c>
      <c r="C2888" s="20" t="s">
        <v>5922</v>
      </c>
      <c r="D2888" s="20" t="s">
        <v>5921</v>
      </c>
      <c r="E2888" s="20" t="e">
        <f t="array" ref="E2888">INDEX(C:C,SMALL(IF(ISNUMBER(FIND(CELL("contents"),$C$2:$C$4852)),ROW($C$2:$C$4852),4^8),ROW(C2888)))&amp;""</f>
        <v>#N/A</v>
      </c>
    </row>
    <row r="2889" ht="14.100000000000001" customHeight="1">
      <c r="B2889" s="20" t="s">
        <v>5923</v>
      </c>
      <c r="C2889" s="20" t="s">
        <v>5924</v>
      </c>
      <c r="D2889" s="20" t="s">
        <v>5923</v>
      </c>
      <c r="E2889" s="20" t="e">
        <f t="array" ref="E2889">INDEX(C:C,SMALL(IF(ISNUMBER(FIND(CELL("contents"),$C$2:$C$4852)),ROW($C$2:$C$4852),4^8),ROW(C2889)))&amp;""</f>
        <v>#N/A</v>
      </c>
    </row>
    <row r="2890" ht="14.100000000000001" customHeight="1">
      <c r="B2890" s="20" t="s">
        <v>5925</v>
      </c>
      <c r="C2890" s="20" t="s">
        <v>5926</v>
      </c>
      <c r="D2890" s="20" t="s">
        <v>5925</v>
      </c>
      <c r="E2890" s="20" t="e">
        <f t="array" ref="E2890">INDEX(C:C,SMALL(IF(ISNUMBER(FIND(CELL("contents"),$C$2:$C$4852)),ROW($C$2:$C$4852),4^8),ROW(C2890)))&amp;""</f>
        <v>#N/A</v>
      </c>
    </row>
    <row r="2891" ht="14.100000000000001" customHeight="1">
      <c r="B2891" s="20" t="s">
        <v>5927</v>
      </c>
      <c r="C2891" s="20" t="s">
        <v>5928</v>
      </c>
      <c r="D2891" s="20" t="s">
        <v>5927</v>
      </c>
      <c r="E2891" s="20" t="e">
        <f t="array" ref="E2891">INDEX(C:C,SMALL(IF(ISNUMBER(FIND(CELL("contents"),$C$2:$C$4852)),ROW($C$2:$C$4852),4^8),ROW(C2891)))&amp;""</f>
        <v>#N/A</v>
      </c>
    </row>
    <row r="2892" ht="14.100000000000001" customHeight="1">
      <c r="B2892" s="20" t="s">
        <v>5929</v>
      </c>
      <c r="C2892" s="20" t="s">
        <v>5930</v>
      </c>
      <c r="D2892" s="20" t="s">
        <v>5929</v>
      </c>
      <c r="E2892" s="20" t="e">
        <f t="array" ref="E2892">INDEX(C:C,SMALL(IF(ISNUMBER(FIND(CELL("contents"),$C$2:$C$4852)),ROW($C$2:$C$4852),4^8),ROW(C2892)))&amp;""</f>
        <v>#N/A</v>
      </c>
    </row>
    <row r="2893" ht="14.100000000000001" customHeight="1">
      <c r="B2893" s="20" t="s">
        <v>5931</v>
      </c>
      <c r="C2893" s="20" t="s">
        <v>5932</v>
      </c>
      <c r="D2893" s="20" t="s">
        <v>5931</v>
      </c>
      <c r="E2893" s="20" t="e">
        <f t="array" ref="E2893">INDEX(C:C,SMALL(IF(ISNUMBER(FIND(CELL("contents"),$C$2:$C$4852)),ROW($C$2:$C$4852),4^8),ROW(C2893)))&amp;""</f>
        <v>#N/A</v>
      </c>
    </row>
    <row r="2894" ht="14.100000000000001" customHeight="1">
      <c r="B2894" s="20" t="s">
        <v>5933</v>
      </c>
      <c r="C2894" s="20" t="s">
        <v>5934</v>
      </c>
      <c r="D2894" s="20" t="s">
        <v>5933</v>
      </c>
      <c r="E2894" s="20" t="e">
        <f t="array" ref="E2894">INDEX(C:C,SMALL(IF(ISNUMBER(FIND(CELL("contents"),$C$2:$C$4852)),ROW($C$2:$C$4852),4^8),ROW(C2894)))&amp;""</f>
        <v>#N/A</v>
      </c>
    </row>
    <row r="2895" ht="14.100000000000001" customHeight="1">
      <c r="B2895" s="20" t="s">
        <v>5935</v>
      </c>
      <c r="C2895" s="20" t="s">
        <v>5936</v>
      </c>
      <c r="D2895" s="20" t="s">
        <v>5935</v>
      </c>
      <c r="E2895" s="20" t="e">
        <f t="array" ref="E2895">INDEX(C:C,SMALL(IF(ISNUMBER(FIND(CELL("contents"),$C$2:$C$4852)),ROW($C$2:$C$4852),4^8),ROW(C2895)))&amp;""</f>
        <v>#N/A</v>
      </c>
    </row>
    <row r="2896" ht="14.100000000000001" customHeight="1">
      <c r="B2896" s="20" t="s">
        <v>5937</v>
      </c>
      <c r="C2896" s="20" t="s">
        <v>5938</v>
      </c>
      <c r="D2896" s="20" t="s">
        <v>5937</v>
      </c>
      <c r="E2896" s="20" t="e">
        <f t="array" ref="E2896">INDEX(C:C,SMALL(IF(ISNUMBER(FIND(CELL("contents"),$C$2:$C$4852)),ROW($C$2:$C$4852),4^8),ROW(C2896)))&amp;""</f>
        <v>#N/A</v>
      </c>
    </row>
    <row r="2897" ht="14.100000000000001" customHeight="1">
      <c r="B2897" s="20" t="s">
        <v>5939</v>
      </c>
      <c r="C2897" s="20" t="s">
        <v>5940</v>
      </c>
      <c r="D2897" s="20" t="s">
        <v>5939</v>
      </c>
      <c r="E2897" s="20" t="e">
        <f t="array" ref="E2897">INDEX(C:C,SMALL(IF(ISNUMBER(FIND(CELL("contents"),$C$2:$C$4852)),ROW($C$2:$C$4852),4^8),ROW(C2897)))&amp;""</f>
        <v>#N/A</v>
      </c>
    </row>
    <row r="2898" ht="14.100000000000001" customHeight="1">
      <c r="B2898" s="20" t="s">
        <v>5941</v>
      </c>
      <c r="C2898" s="20" t="s">
        <v>5942</v>
      </c>
      <c r="D2898" s="20" t="s">
        <v>5941</v>
      </c>
      <c r="E2898" s="20" t="e">
        <f t="array" ref="E2898">INDEX(C:C,SMALL(IF(ISNUMBER(FIND(CELL("contents"),$C$2:$C$4852)),ROW($C$2:$C$4852),4^8),ROW(C2898)))&amp;""</f>
        <v>#N/A</v>
      </c>
    </row>
    <row r="2899" ht="14.100000000000001" customHeight="1">
      <c r="B2899" s="20" t="s">
        <v>5943</v>
      </c>
      <c r="C2899" s="20" t="s">
        <v>5944</v>
      </c>
      <c r="D2899" s="20" t="s">
        <v>5943</v>
      </c>
      <c r="E2899" s="20" t="e">
        <f t="array" ref="E2899">INDEX(C:C,SMALL(IF(ISNUMBER(FIND(CELL("contents"),$C$2:$C$4852)),ROW($C$2:$C$4852),4^8),ROW(C2899)))&amp;""</f>
        <v>#N/A</v>
      </c>
    </row>
    <row r="2900" ht="14.100000000000001" customHeight="1">
      <c r="B2900" s="20" t="s">
        <v>5945</v>
      </c>
      <c r="C2900" s="20" t="s">
        <v>5946</v>
      </c>
      <c r="D2900" s="20" t="s">
        <v>5945</v>
      </c>
      <c r="E2900" s="20" t="e">
        <f t="array" ref="E2900">INDEX(C:C,SMALL(IF(ISNUMBER(FIND(CELL("contents"),$C$2:$C$4852)),ROW($C$2:$C$4852),4^8),ROW(C2900)))&amp;""</f>
        <v>#N/A</v>
      </c>
    </row>
    <row r="2901" ht="14.100000000000001" customHeight="1">
      <c r="B2901" s="20" t="s">
        <v>5947</v>
      </c>
      <c r="C2901" s="20" t="s">
        <v>5948</v>
      </c>
      <c r="D2901" s="20" t="s">
        <v>5947</v>
      </c>
      <c r="E2901" s="20" t="e">
        <f t="array" ref="E2901">INDEX(C:C,SMALL(IF(ISNUMBER(FIND(CELL("contents"),$C$2:$C$4852)),ROW($C$2:$C$4852),4^8),ROW(C2901)))&amp;""</f>
        <v>#N/A</v>
      </c>
    </row>
    <row r="2902" ht="14.100000000000001" customHeight="1">
      <c r="B2902" s="20" t="s">
        <v>5949</v>
      </c>
      <c r="C2902" s="20" t="s">
        <v>5950</v>
      </c>
      <c r="D2902" s="20" t="s">
        <v>5949</v>
      </c>
      <c r="E2902" s="20" t="e">
        <f t="array" ref="E2902">INDEX(C:C,SMALL(IF(ISNUMBER(FIND(CELL("contents"),$C$2:$C$4852)),ROW($C$2:$C$4852),4^8),ROW(C2902)))&amp;""</f>
        <v>#N/A</v>
      </c>
    </row>
    <row r="2903" ht="14.100000000000001" customHeight="1">
      <c r="B2903" s="20" t="s">
        <v>5951</v>
      </c>
      <c r="C2903" s="20" t="s">
        <v>5952</v>
      </c>
      <c r="D2903" s="20" t="s">
        <v>5951</v>
      </c>
      <c r="E2903" s="20" t="e">
        <f t="array" ref="E2903">INDEX(C:C,SMALL(IF(ISNUMBER(FIND(CELL("contents"),$C$2:$C$4852)),ROW($C$2:$C$4852),4^8),ROW(C2903)))&amp;""</f>
        <v>#N/A</v>
      </c>
    </row>
    <row r="2904" ht="14.100000000000001" customHeight="1">
      <c r="B2904" s="20" t="s">
        <v>5953</v>
      </c>
      <c r="C2904" s="20" t="s">
        <v>5954</v>
      </c>
      <c r="D2904" s="20" t="s">
        <v>5953</v>
      </c>
      <c r="E2904" s="20" t="e">
        <f t="array" ref="E2904">INDEX(C:C,SMALL(IF(ISNUMBER(FIND(CELL("contents"),$C$2:$C$4852)),ROW($C$2:$C$4852),4^8),ROW(C2904)))&amp;""</f>
        <v>#N/A</v>
      </c>
    </row>
    <row r="2905" ht="14.100000000000001" customHeight="1">
      <c r="B2905" s="20" t="s">
        <v>5955</v>
      </c>
      <c r="C2905" s="20" t="s">
        <v>5956</v>
      </c>
      <c r="D2905" s="20" t="s">
        <v>5955</v>
      </c>
      <c r="E2905" s="20" t="e">
        <f t="array" ref="E2905">INDEX(C:C,SMALL(IF(ISNUMBER(FIND(CELL("contents"),$C$2:$C$4852)),ROW($C$2:$C$4852),4^8),ROW(C2905)))&amp;""</f>
        <v>#N/A</v>
      </c>
    </row>
    <row r="2906" ht="14.100000000000001" customHeight="1">
      <c r="B2906" s="20" t="s">
        <v>5957</v>
      </c>
      <c r="C2906" s="20" t="s">
        <v>5958</v>
      </c>
      <c r="D2906" s="20" t="s">
        <v>5957</v>
      </c>
      <c r="E2906" s="20" t="e">
        <f t="array" ref="E2906">INDEX(C:C,SMALL(IF(ISNUMBER(FIND(CELL("contents"),$C$2:$C$4852)),ROW($C$2:$C$4852),4^8),ROW(C2906)))&amp;""</f>
        <v>#N/A</v>
      </c>
    </row>
    <row r="2907" ht="14.100000000000001" customHeight="1">
      <c r="B2907" s="20" t="s">
        <v>5959</v>
      </c>
      <c r="C2907" s="20" t="s">
        <v>5960</v>
      </c>
      <c r="D2907" s="20" t="s">
        <v>5959</v>
      </c>
      <c r="E2907" s="20" t="e">
        <f t="array" ref="E2907">INDEX(C:C,SMALL(IF(ISNUMBER(FIND(CELL("contents"),$C$2:$C$4852)),ROW($C$2:$C$4852),4^8),ROW(C2907)))&amp;""</f>
        <v>#N/A</v>
      </c>
    </row>
    <row r="2908" ht="14.100000000000001" customHeight="1">
      <c r="B2908" s="20" t="s">
        <v>5961</v>
      </c>
      <c r="C2908" s="20" t="s">
        <v>5962</v>
      </c>
      <c r="D2908" s="20" t="s">
        <v>5961</v>
      </c>
      <c r="E2908" s="20" t="e">
        <f t="array" ref="E2908">INDEX(C:C,SMALL(IF(ISNUMBER(FIND(CELL("contents"),$C$2:$C$4852)),ROW($C$2:$C$4852),4^8),ROW(C2908)))&amp;""</f>
        <v>#N/A</v>
      </c>
    </row>
    <row r="2909" ht="14.100000000000001" customHeight="1">
      <c r="B2909" s="20" t="s">
        <v>5963</v>
      </c>
      <c r="C2909" s="20" t="s">
        <v>5964</v>
      </c>
      <c r="D2909" s="20" t="s">
        <v>5963</v>
      </c>
      <c r="E2909" s="20" t="e">
        <f t="array" ref="E2909">INDEX(C:C,SMALL(IF(ISNUMBER(FIND(CELL("contents"),$C$2:$C$4852)),ROW($C$2:$C$4852),4^8),ROW(C2909)))&amp;""</f>
        <v>#N/A</v>
      </c>
    </row>
    <row r="2910" ht="14.100000000000001" customHeight="1">
      <c r="B2910" s="20" t="s">
        <v>5965</v>
      </c>
      <c r="C2910" s="20" t="s">
        <v>5966</v>
      </c>
      <c r="D2910" s="20" t="s">
        <v>5965</v>
      </c>
      <c r="E2910" s="20" t="e">
        <f t="array" ref="E2910">INDEX(C:C,SMALL(IF(ISNUMBER(FIND(CELL("contents"),$C$2:$C$4852)),ROW($C$2:$C$4852),4^8),ROW(C2910)))&amp;""</f>
        <v>#N/A</v>
      </c>
    </row>
    <row r="2911" ht="14.100000000000001" customHeight="1">
      <c r="B2911" s="20" t="s">
        <v>5967</v>
      </c>
      <c r="C2911" s="20" t="s">
        <v>5968</v>
      </c>
      <c r="D2911" s="20" t="s">
        <v>5967</v>
      </c>
      <c r="E2911" s="20" t="e">
        <f t="array" ref="E2911">INDEX(C:C,SMALL(IF(ISNUMBER(FIND(CELL("contents"),$C$2:$C$4852)),ROW($C$2:$C$4852),4^8),ROW(C2911)))&amp;""</f>
        <v>#N/A</v>
      </c>
    </row>
    <row r="2912" ht="14.100000000000001" customHeight="1">
      <c r="B2912" s="20" t="s">
        <v>5969</v>
      </c>
      <c r="C2912" s="20" t="s">
        <v>5970</v>
      </c>
      <c r="D2912" s="20" t="s">
        <v>5969</v>
      </c>
      <c r="E2912" s="20" t="e">
        <f t="array" ref="E2912">INDEX(C:C,SMALL(IF(ISNUMBER(FIND(CELL("contents"),$C$2:$C$4852)),ROW($C$2:$C$4852),4^8),ROW(C2912)))&amp;""</f>
        <v>#N/A</v>
      </c>
    </row>
    <row r="2913" ht="14.100000000000001" customHeight="1">
      <c r="B2913" s="20" t="s">
        <v>5971</v>
      </c>
      <c r="C2913" s="20" t="s">
        <v>5972</v>
      </c>
      <c r="D2913" s="20" t="s">
        <v>5971</v>
      </c>
      <c r="E2913" s="20" t="e">
        <f t="array" ref="E2913">INDEX(C:C,SMALL(IF(ISNUMBER(FIND(CELL("contents"),$C$2:$C$4852)),ROW($C$2:$C$4852),4^8),ROW(C2913)))&amp;""</f>
        <v>#N/A</v>
      </c>
    </row>
    <row r="2914" ht="14.100000000000001" customHeight="1">
      <c r="B2914" s="20" t="s">
        <v>5973</v>
      </c>
      <c r="C2914" s="20" t="s">
        <v>5974</v>
      </c>
      <c r="D2914" s="20" t="s">
        <v>5973</v>
      </c>
      <c r="E2914" s="20" t="e">
        <f t="array" ref="E2914">INDEX(C:C,SMALL(IF(ISNUMBER(FIND(CELL("contents"),$C$2:$C$4852)),ROW($C$2:$C$4852),4^8),ROW(C2914)))&amp;""</f>
        <v>#N/A</v>
      </c>
    </row>
    <row r="2915" ht="14.100000000000001" customHeight="1">
      <c r="B2915" s="20" t="s">
        <v>5975</v>
      </c>
      <c r="C2915" s="20" t="s">
        <v>5976</v>
      </c>
      <c r="D2915" s="20" t="s">
        <v>5975</v>
      </c>
      <c r="E2915" s="20" t="e">
        <f t="array" ref="E2915">INDEX(C:C,SMALL(IF(ISNUMBER(FIND(CELL("contents"),$C$2:$C$4852)),ROW($C$2:$C$4852),4^8),ROW(C2915)))&amp;""</f>
        <v>#N/A</v>
      </c>
    </row>
    <row r="2916" ht="14.100000000000001" customHeight="1">
      <c r="B2916" s="20" t="s">
        <v>5977</v>
      </c>
      <c r="C2916" s="20" t="s">
        <v>5978</v>
      </c>
      <c r="D2916" s="20" t="s">
        <v>5977</v>
      </c>
      <c r="E2916" s="20" t="e">
        <f t="array" ref="E2916">INDEX(C:C,SMALL(IF(ISNUMBER(FIND(CELL("contents"),$C$2:$C$4852)),ROW($C$2:$C$4852),4^8),ROW(C2916)))&amp;""</f>
        <v>#N/A</v>
      </c>
    </row>
    <row r="2917" ht="14.100000000000001" customHeight="1">
      <c r="B2917" s="20" t="s">
        <v>5979</v>
      </c>
      <c r="C2917" s="20" t="s">
        <v>5980</v>
      </c>
      <c r="D2917" s="20" t="s">
        <v>5979</v>
      </c>
      <c r="E2917" s="20" t="e">
        <f t="array" ref="E2917">INDEX(C:C,SMALL(IF(ISNUMBER(FIND(CELL("contents"),$C$2:$C$4852)),ROW($C$2:$C$4852),4^8),ROW(C2917)))&amp;""</f>
        <v>#N/A</v>
      </c>
    </row>
    <row r="2918" ht="14.100000000000001" customHeight="1">
      <c r="B2918" s="20" t="s">
        <v>5981</v>
      </c>
      <c r="C2918" s="20" t="s">
        <v>5982</v>
      </c>
      <c r="D2918" s="20" t="s">
        <v>5981</v>
      </c>
      <c r="E2918" s="20" t="e">
        <f t="array" ref="E2918">INDEX(C:C,SMALL(IF(ISNUMBER(FIND(CELL("contents"),$C$2:$C$4852)),ROW($C$2:$C$4852),4^8),ROW(C2918)))&amp;""</f>
        <v>#N/A</v>
      </c>
    </row>
    <row r="2919" ht="14.100000000000001" customHeight="1">
      <c r="B2919" s="20" t="s">
        <v>5983</v>
      </c>
      <c r="C2919" s="20" t="s">
        <v>5984</v>
      </c>
      <c r="D2919" s="20" t="s">
        <v>5983</v>
      </c>
      <c r="E2919" s="20" t="e">
        <f t="array" ref="E2919">INDEX(C:C,SMALL(IF(ISNUMBER(FIND(CELL("contents"),$C$2:$C$4852)),ROW($C$2:$C$4852),4^8),ROW(C2919)))&amp;""</f>
        <v>#N/A</v>
      </c>
    </row>
    <row r="2920" ht="14.100000000000001" customHeight="1">
      <c r="B2920" s="20" t="s">
        <v>5985</v>
      </c>
      <c r="C2920" s="20" t="s">
        <v>5986</v>
      </c>
      <c r="D2920" s="20" t="s">
        <v>5985</v>
      </c>
      <c r="E2920" s="20" t="e">
        <f t="array" ref="E2920">INDEX(C:C,SMALL(IF(ISNUMBER(FIND(CELL("contents"),$C$2:$C$4852)),ROW($C$2:$C$4852),4^8),ROW(C2920)))&amp;""</f>
        <v>#N/A</v>
      </c>
    </row>
    <row r="2921" ht="14.100000000000001" customHeight="1">
      <c r="B2921" s="20" t="s">
        <v>5987</v>
      </c>
      <c r="C2921" s="20" t="s">
        <v>5988</v>
      </c>
      <c r="D2921" s="20" t="s">
        <v>5987</v>
      </c>
      <c r="E2921" s="20" t="e">
        <f t="array" ref="E2921">INDEX(C:C,SMALL(IF(ISNUMBER(FIND(CELL("contents"),$C$2:$C$4852)),ROW($C$2:$C$4852),4^8),ROW(C2921)))&amp;""</f>
        <v>#N/A</v>
      </c>
    </row>
    <row r="2922" ht="14.100000000000001" customHeight="1">
      <c r="B2922" s="20" t="s">
        <v>5989</v>
      </c>
      <c r="C2922" s="20" t="s">
        <v>5990</v>
      </c>
      <c r="D2922" s="20" t="s">
        <v>5989</v>
      </c>
      <c r="E2922" s="20" t="e">
        <f t="array" ref="E2922">INDEX(C:C,SMALL(IF(ISNUMBER(FIND(CELL("contents"),$C$2:$C$4852)),ROW($C$2:$C$4852),4^8),ROW(C2922)))&amp;""</f>
        <v>#N/A</v>
      </c>
    </row>
    <row r="2923" ht="14.100000000000001" customHeight="1">
      <c r="B2923" s="20" t="s">
        <v>5991</v>
      </c>
      <c r="C2923" s="20" t="s">
        <v>5992</v>
      </c>
      <c r="D2923" s="20" t="s">
        <v>5991</v>
      </c>
      <c r="E2923" s="20" t="e">
        <f t="array" ref="E2923">INDEX(C:C,SMALL(IF(ISNUMBER(FIND(CELL("contents"),$C$2:$C$4852)),ROW($C$2:$C$4852),4^8),ROW(C2923)))&amp;""</f>
        <v>#N/A</v>
      </c>
    </row>
    <row r="2924" ht="14.100000000000001" customHeight="1">
      <c r="B2924" s="20" t="s">
        <v>5993</v>
      </c>
      <c r="C2924" s="20" t="s">
        <v>5994</v>
      </c>
      <c r="D2924" s="20" t="s">
        <v>5993</v>
      </c>
      <c r="E2924" s="20" t="e">
        <f t="array" ref="E2924">INDEX(C:C,SMALL(IF(ISNUMBER(FIND(CELL("contents"),$C$2:$C$4852)),ROW($C$2:$C$4852),4^8),ROW(C2924)))&amp;""</f>
        <v>#N/A</v>
      </c>
    </row>
    <row r="2925" ht="14.100000000000001" customHeight="1">
      <c r="B2925" s="20" t="s">
        <v>5995</v>
      </c>
      <c r="C2925" s="20" t="s">
        <v>5996</v>
      </c>
      <c r="D2925" s="20" t="s">
        <v>5995</v>
      </c>
      <c r="E2925" s="20" t="e">
        <f t="array" ref="E2925">INDEX(C:C,SMALL(IF(ISNUMBER(FIND(CELL("contents"),$C$2:$C$4852)),ROW($C$2:$C$4852),4^8),ROW(C2925)))&amp;""</f>
        <v>#N/A</v>
      </c>
    </row>
    <row r="2926" ht="14.100000000000001" customHeight="1">
      <c r="B2926" s="20" t="s">
        <v>5997</v>
      </c>
      <c r="C2926" s="20" t="s">
        <v>5998</v>
      </c>
      <c r="D2926" s="20" t="s">
        <v>5997</v>
      </c>
      <c r="E2926" s="20" t="e">
        <f t="array" ref="E2926">INDEX(C:C,SMALL(IF(ISNUMBER(FIND(CELL("contents"),$C$2:$C$4852)),ROW($C$2:$C$4852),4^8),ROW(C2926)))&amp;""</f>
        <v>#N/A</v>
      </c>
    </row>
    <row r="2927" ht="14.100000000000001" customHeight="1">
      <c r="B2927" s="20" t="s">
        <v>5999</v>
      </c>
      <c r="C2927" s="20" t="s">
        <v>6000</v>
      </c>
      <c r="D2927" s="20" t="s">
        <v>5999</v>
      </c>
      <c r="E2927" s="20" t="e">
        <f t="array" ref="E2927">INDEX(C:C,SMALL(IF(ISNUMBER(FIND(CELL("contents"),$C$2:$C$4852)),ROW($C$2:$C$4852),4^8),ROW(C2927)))&amp;""</f>
        <v>#N/A</v>
      </c>
    </row>
    <row r="2928" ht="14.100000000000001" customHeight="1">
      <c r="B2928" s="20" t="s">
        <v>6001</v>
      </c>
      <c r="C2928" s="20" t="s">
        <v>6002</v>
      </c>
      <c r="D2928" s="20" t="s">
        <v>6001</v>
      </c>
      <c r="E2928" s="20" t="e">
        <f t="array" ref="E2928">INDEX(C:C,SMALL(IF(ISNUMBER(FIND(CELL("contents"),$C$2:$C$4852)),ROW($C$2:$C$4852),4^8),ROW(C2928)))&amp;""</f>
        <v>#N/A</v>
      </c>
    </row>
    <row r="2929" ht="14.100000000000001" customHeight="1">
      <c r="B2929" s="20" t="s">
        <v>6003</v>
      </c>
      <c r="C2929" s="20" t="s">
        <v>6004</v>
      </c>
      <c r="D2929" s="20" t="s">
        <v>6003</v>
      </c>
      <c r="E2929" s="20" t="e">
        <f t="array" ref="E2929">INDEX(C:C,SMALL(IF(ISNUMBER(FIND(CELL("contents"),$C$2:$C$4852)),ROW($C$2:$C$4852),4^8),ROW(C2929)))&amp;""</f>
        <v>#N/A</v>
      </c>
    </row>
    <row r="2930" ht="14.100000000000001" customHeight="1">
      <c r="B2930" s="20" t="s">
        <v>6005</v>
      </c>
      <c r="C2930" s="20" t="s">
        <v>6006</v>
      </c>
      <c r="D2930" s="20" t="s">
        <v>6005</v>
      </c>
      <c r="E2930" s="20" t="e">
        <f t="array" ref="E2930">INDEX(C:C,SMALL(IF(ISNUMBER(FIND(CELL("contents"),$C$2:$C$4852)),ROW($C$2:$C$4852),4^8),ROW(C2930)))&amp;""</f>
        <v>#N/A</v>
      </c>
    </row>
    <row r="2931" ht="14.100000000000001" customHeight="1">
      <c r="B2931" s="20" t="s">
        <v>6007</v>
      </c>
      <c r="C2931" s="20" t="s">
        <v>6008</v>
      </c>
      <c r="D2931" s="20" t="s">
        <v>6007</v>
      </c>
      <c r="E2931" s="20" t="e">
        <f t="array" ref="E2931">INDEX(C:C,SMALL(IF(ISNUMBER(FIND(CELL("contents"),$C$2:$C$4852)),ROW($C$2:$C$4852),4^8),ROW(C2931)))&amp;""</f>
        <v>#N/A</v>
      </c>
    </row>
    <row r="2932" ht="14.100000000000001" customHeight="1">
      <c r="B2932" s="20" t="s">
        <v>6009</v>
      </c>
      <c r="C2932" s="20" t="s">
        <v>6010</v>
      </c>
      <c r="D2932" s="20" t="s">
        <v>6009</v>
      </c>
      <c r="E2932" s="20" t="e">
        <f t="array" ref="E2932">INDEX(C:C,SMALL(IF(ISNUMBER(FIND(CELL("contents"),$C$2:$C$4852)),ROW($C$2:$C$4852),4^8),ROW(C2932)))&amp;""</f>
        <v>#N/A</v>
      </c>
    </row>
    <row r="2933" ht="14.100000000000001" customHeight="1">
      <c r="B2933" s="20" t="s">
        <v>6011</v>
      </c>
      <c r="C2933" s="20" t="s">
        <v>6012</v>
      </c>
      <c r="D2933" s="20" t="s">
        <v>6011</v>
      </c>
      <c r="E2933" s="20" t="e">
        <f t="array" ref="E2933">INDEX(C:C,SMALL(IF(ISNUMBER(FIND(CELL("contents"),$C$2:$C$4852)),ROW($C$2:$C$4852),4^8),ROW(C2933)))&amp;""</f>
        <v>#N/A</v>
      </c>
    </row>
    <row r="2934" ht="14.100000000000001" customHeight="1">
      <c r="B2934" s="20" t="s">
        <v>6013</v>
      </c>
      <c r="C2934" s="20" t="s">
        <v>6014</v>
      </c>
      <c r="D2934" s="20" t="s">
        <v>6013</v>
      </c>
      <c r="E2934" s="20" t="e">
        <f t="array" ref="E2934">INDEX(C:C,SMALL(IF(ISNUMBER(FIND(CELL("contents"),$C$2:$C$4852)),ROW($C$2:$C$4852),4^8),ROW(C2934)))&amp;""</f>
        <v>#N/A</v>
      </c>
    </row>
    <row r="2935" ht="14.100000000000001" customHeight="1">
      <c r="B2935" s="20" t="s">
        <v>6015</v>
      </c>
      <c r="C2935" s="20" t="s">
        <v>6016</v>
      </c>
      <c r="D2935" s="20" t="s">
        <v>6015</v>
      </c>
      <c r="E2935" s="20" t="e">
        <f t="array" ref="E2935">INDEX(C:C,SMALL(IF(ISNUMBER(FIND(CELL("contents"),$C$2:$C$4852)),ROW($C$2:$C$4852),4^8),ROW(C2935)))&amp;""</f>
        <v>#N/A</v>
      </c>
    </row>
    <row r="2936" ht="14.100000000000001" customHeight="1">
      <c r="B2936" s="20" t="s">
        <v>6017</v>
      </c>
      <c r="C2936" s="20" t="s">
        <v>6018</v>
      </c>
      <c r="D2936" s="20" t="s">
        <v>6017</v>
      </c>
      <c r="E2936" s="20" t="e">
        <f t="array" ref="E2936">INDEX(C:C,SMALL(IF(ISNUMBER(FIND(CELL("contents"),$C$2:$C$4852)),ROW($C$2:$C$4852),4^8),ROW(C2936)))&amp;""</f>
        <v>#N/A</v>
      </c>
    </row>
    <row r="2937" ht="14.100000000000001" customHeight="1">
      <c r="B2937" s="20" t="s">
        <v>6019</v>
      </c>
      <c r="C2937" s="20" t="s">
        <v>6020</v>
      </c>
      <c r="D2937" s="20" t="s">
        <v>6019</v>
      </c>
      <c r="E2937" s="20" t="e">
        <f t="array" ref="E2937">INDEX(C:C,SMALL(IF(ISNUMBER(FIND(CELL("contents"),$C$2:$C$4852)),ROW($C$2:$C$4852),4^8),ROW(C2937)))&amp;""</f>
        <v>#N/A</v>
      </c>
    </row>
    <row r="2938" ht="14.100000000000001" customHeight="1">
      <c r="B2938" s="20" t="s">
        <v>6021</v>
      </c>
      <c r="C2938" s="20" t="s">
        <v>6022</v>
      </c>
      <c r="D2938" s="20" t="s">
        <v>6021</v>
      </c>
      <c r="E2938" s="20" t="e">
        <f t="array" ref="E2938">INDEX(C:C,SMALL(IF(ISNUMBER(FIND(CELL("contents"),$C$2:$C$4852)),ROW($C$2:$C$4852),4^8),ROW(C2938)))&amp;""</f>
        <v>#N/A</v>
      </c>
    </row>
    <row r="2939" ht="14.100000000000001" customHeight="1">
      <c r="B2939" s="20" t="s">
        <v>6023</v>
      </c>
      <c r="C2939" s="20" t="s">
        <v>6024</v>
      </c>
      <c r="D2939" s="20" t="s">
        <v>6023</v>
      </c>
      <c r="E2939" s="20" t="e">
        <f t="array" ref="E2939">INDEX(C:C,SMALL(IF(ISNUMBER(FIND(CELL("contents"),$C$2:$C$4852)),ROW($C$2:$C$4852),4^8),ROW(C2939)))&amp;""</f>
        <v>#N/A</v>
      </c>
    </row>
    <row r="2940" ht="14.100000000000001" customHeight="1">
      <c r="B2940" s="20" t="s">
        <v>6025</v>
      </c>
      <c r="C2940" s="20" t="s">
        <v>6026</v>
      </c>
      <c r="D2940" s="20" t="s">
        <v>6025</v>
      </c>
      <c r="E2940" s="20" t="e">
        <f t="array" ref="E2940">INDEX(C:C,SMALL(IF(ISNUMBER(FIND(CELL("contents"),$C$2:$C$4852)),ROW($C$2:$C$4852),4^8),ROW(C2940)))&amp;""</f>
        <v>#N/A</v>
      </c>
    </row>
    <row r="2941" ht="14.100000000000001" customHeight="1">
      <c r="B2941" s="20" t="s">
        <v>6027</v>
      </c>
      <c r="C2941" s="20" t="s">
        <v>6028</v>
      </c>
      <c r="D2941" s="20" t="s">
        <v>6027</v>
      </c>
      <c r="E2941" s="20" t="e">
        <f t="array" ref="E2941">INDEX(C:C,SMALL(IF(ISNUMBER(FIND(CELL("contents"),$C$2:$C$4852)),ROW($C$2:$C$4852),4^8),ROW(C2941)))&amp;""</f>
        <v>#N/A</v>
      </c>
    </row>
    <row r="2942" ht="14.100000000000001" customHeight="1">
      <c r="B2942" s="20" t="s">
        <v>6029</v>
      </c>
      <c r="C2942" s="20" t="s">
        <v>6030</v>
      </c>
      <c r="D2942" s="20" t="s">
        <v>6029</v>
      </c>
      <c r="E2942" s="20" t="e">
        <f t="array" ref="E2942">INDEX(C:C,SMALL(IF(ISNUMBER(FIND(CELL("contents"),$C$2:$C$4852)),ROW($C$2:$C$4852),4^8),ROW(C2942)))&amp;""</f>
        <v>#N/A</v>
      </c>
    </row>
    <row r="2943" ht="14.100000000000001" customHeight="1">
      <c r="B2943" s="20" t="s">
        <v>6031</v>
      </c>
      <c r="C2943" s="20" t="s">
        <v>6032</v>
      </c>
      <c r="D2943" s="20" t="s">
        <v>6031</v>
      </c>
      <c r="E2943" s="20" t="e">
        <f t="array" ref="E2943">INDEX(C:C,SMALL(IF(ISNUMBER(FIND(CELL("contents"),$C$2:$C$4852)),ROW($C$2:$C$4852),4^8),ROW(C2943)))&amp;""</f>
        <v>#N/A</v>
      </c>
    </row>
    <row r="2944" ht="14.100000000000001" customHeight="1">
      <c r="B2944" s="20" t="s">
        <v>6033</v>
      </c>
      <c r="C2944" s="20" t="s">
        <v>6034</v>
      </c>
      <c r="D2944" s="20" t="s">
        <v>6033</v>
      </c>
      <c r="E2944" s="20" t="e">
        <f t="array" ref="E2944">INDEX(C:C,SMALL(IF(ISNUMBER(FIND(CELL("contents"),$C$2:$C$4852)),ROW($C$2:$C$4852),4^8),ROW(C2944)))&amp;""</f>
        <v>#N/A</v>
      </c>
    </row>
    <row r="2945" ht="14.100000000000001" customHeight="1">
      <c r="B2945" s="20" t="s">
        <v>6035</v>
      </c>
      <c r="C2945" s="20" t="s">
        <v>6036</v>
      </c>
      <c r="D2945" s="20" t="s">
        <v>6035</v>
      </c>
      <c r="E2945" s="20" t="e">
        <f t="array" ref="E2945">INDEX(C:C,SMALL(IF(ISNUMBER(FIND(CELL("contents"),$C$2:$C$4852)),ROW($C$2:$C$4852),4^8),ROW(C2945)))&amp;""</f>
        <v>#N/A</v>
      </c>
    </row>
    <row r="2946" ht="14.100000000000001" customHeight="1">
      <c r="B2946" s="20" t="s">
        <v>6037</v>
      </c>
      <c r="C2946" s="20" t="s">
        <v>6038</v>
      </c>
      <c r="D2946" s="20" t="s">
        <v>6037</v>
      </c>
      <c r="E2946" s="20" t="e">
        <f t="array" ref="E2946">INDEX(C:C,SMALL(IF(ISNUMBER(FIND(CELL("contents"),$C$2:$C$4852)),ROW($C$2:$C$4852),4^8),ROW(C2946)))&amp;""</f>
        <v>#N/A</v>
      </c>
    </row>
    <row r="2947" ht="14.100000000000001" customHeight="1">
      <c r="B2947" s="20" t="s">
        <v>6039</v>
      </c>
      <c r="C2947" s="20" t="s">
        <v>6040</v>
      </c>
      <c r="D2947" s="20" t="s">
        <v>6039</v>
      </c>
      <c r="E2947" s="20" t="e">
        <f t="array" ref="E2947">INDEX(C:C,SMALL(IF(ISNUMBER(FIND(CELL("contents"),$C$2:$C$4852)),ROW($C$2:$C$4852),4^8),ROW(C2947)))&amp;""</f>
        <v>#N/A</v>
      </c>
    </row>
    <row r="2948" ht="14.100000000000001" customHeight="1">
      <c r="B2948" s="20" t="s">
        <v>6041</v>
      </c>
      <c r="C2948" s="20" t="s">
        <v>6042</v>
      </c>
      <c r="D2948" s="20" t="s">
        <v>6041</v>
      </c>
      <c r="E2948" s="20" t="e">
        <f t="array" ref="E2948">INDEX(C:C,SMALL(IF(ISNUMBER(FIND(CELL("contents"),$C$2:$C$4852)),ROW($C$2:$C$4852),4^8),ROW(C2948)))&amp;""</f>
        <v>#N/A</v>
      </c>
    </row>
    <row r="2949" ht="14.100000000000001" customHeight="1">
      <c r="B2949" s="20" t="s">
        <v>6043</v>
      </c>
      <c r="C2949" s="20" t="s">
        <v>6044</v>
      </c>
      <c r="D2949" s="20" t="s">
        <v>6043</v>
      </c>
      <c r="E2949" s="20" t="e">
        <f t="array" ref="E2949">INDEX(C:C,SMALL(IF(ISNUMBER(FIND(CELL("contents"),$C$2:$C$4852)),ROW($C$2:$C$4852),4^8),ROW(C2949)))&amp;""</f>
        <v>#N/A</v>
      </c>
    </row>
    <row r="2950" ht="14.100000000000001" customHeight="1">
      <c r="B2950" s="20" t="s">
        <v>6045</v>
      </c>
      <c r="C2950" s="20" t="s">
        <v>6046</v>
      </c>
      <c r="D2950" s="20" t="s">
        <v>6045</v>
      </c>
      <c r="E2950" s="20" t="e">
        <f t="array" ref="E2950">INDEX(C:C,SMALL(IF(ISNUMBER(FIND(CELL("contents"),$C$2:$C$4852)),ROW($C$2:$C$4852),4^8),ROW(C2950)))&amp;""</f>
        <v>#N/A</v>
      </c>
    </row>
    <row r="2951" ht="14.100000000000001" customHeight="1">
      <c r="B2951" s="20" t="s">
        <v>6047</v>
      </c>
      <c r="C2951" s="20" t="s">
        <v>6048</v>
      </c>
      <c r="D2951" s="20" t="s">
        <v>6047</v>
      </c>
      <c r="E2951" s="20" t="e">
        <f t="array" ref="E2951">INDEX(C:C,SMALL(IF(ISNUMBER(FIND(CELL("contents"),$C$2:$C$4852)),ROW($C$2:$C$4852),4^8),ROW(C2951)))&amp;""</f>
        <v>#N/A</v>
      </c>
    </row>
    <row r="2952" ht="14.100000000000001" customHeight="1">
      <c r="B2952" s="20" t="s">
        <v>6049</v>
      </c>
      <c r="C2952" s="20" t="s">
        <v>6050</v>
      </c>
      <c r="D2952" s="20" t="s">
        <v>6049</v>
      </c>
      <c r="E2952" s="20" t="e">
        <f t="array" ref="E2952">INDEX(C:C,SMALL(IF(ISNUMBER(FIND(CELL("contents"),$C$2:$C$4852)),ROW($C$2:$C$4852),4^8),ROW(C2952)))&amp;""</f>
        <v>#N/A</v>
      </c>
    </row>
    <row r="2953" ht="14.100000000000001" customHeight="1">
      <c r="B2953" s="20" t="s">
        <v>6051</v>
      </c>
      <c r="C2953" s="20" t="s">
        <v>6052</v>
      </c>
      <c r="D2953" s="20" t="s">
        <v>6051</v>
      </c>
      <c r="E2953" s="20" t="e">
        <f t="array" ref="E2953">INDEX(C:C,SMALL(IF(ISNUMBER(FIND(CELL("contents"),$C$2:$C$4852)),ROW($C$2:$C$4852),4^8),ROW(C2953)))&amp;""</f>
        <v>#N/A</v>
      </c>
    </row>
    <row r="2954" ht="14.100000000000001" customHeight="1">
      <c r="B2954" s="20" t="s">
        <v>6053</v>
      </c>
      <c r="C2954" s="20" t="s">
        <v>6054</v>
      </c>
      <c r="D2954" s="20" t="s">
        <v>6053</v>
      </c>
      <c r="E2954" s="20" t="e">
        <f t="array" ref="E2954">INDEX(C:C,SMALL(IF(ISNUMBER(FIND(CELL("contents"),$C$2:$C$4852)),ROW($C$2:$C$4852),4^8),ROW(C2954)))&amp;""</f>
        <v>#N/A</v>
      </c>
    </row>
    <row r="2955" ht="14.100000000000001" customHeight="1">
      <c r="B2955" s="20" t="s">
        <v>6055</v>
      </c>
      <c r="C2955" s="20" t="s">
        <v>6056</v>
      </c>
      <c r="D2955" s="20" t="s">
        <v>6055</v>
      </c>
      <c r="E2955" s="20" t="e">
        <f t="array" ref="E2955">INDEX(C:C,SMALL(IF(ISNUMBER(FIND(CELL("contents"),$C$2:$C$4852)),ROW($C$2:$C$4852),4^8),ROW(C2955)))&amp;""</f>
        <v>#N/A</v>
      </c>
    </row>
    <row r="2956" ht="14.100000000000001" customHeight="1">
      <c r="B2956" s="20" t="s">
        <v>6057</v>
      </c>
      <c r="C2956" s="20" t="s">
        <v>6058</v>
      </c>
      <c r="D2956" s="20" t="s">
        <v>6057</v>
      </c>
      <c r="E2956" s="20" t="e">
        <f t="array" ref="E2956">INDEX(C:C,SMALL(IF(ISNUMBER(FIND(CELL("contents"),$C$2:$C$4852)),ROW($C$2:$C$4852),4^8),ROW(C2956)))&amp;""</f>
        <v>#N/A</v>
      </c>
    </row>
    <row r="2957" ht="14.100000000000001" customHeight="1">
      <c r="B2957" s="20" t="s">
        <v>6059</v>
      </c>
      <c r="C2957" s="20" t="s">
        <v>6060</v>
      </c>
      <c r="D2957" s="20" t="s">
        <v>6059</v>
      </c>
      <c r="E2957" s="20" t="e">
        <f t="array" ref="E2957">INDEX(C:C,SMALL(IF(ISNUMBER(FIND(CELL("contents"),$C$2:$C$4852)),ROW($C$2:$C$4852),4^8),ROW(C2957)))&amp;""</f>
        <v>#N/A</v>
      </c>
    </row>
    <row r="2958" ht="14.100000000000001" customHeight="1">
      <c r="B2958" s="20" t="s">
        <v>6061</v>
      </c>
      <c r="C2958" s="20" t="s">
        <v>6062</v>
      </c>
      <c r="D2958" s="20" t="s">
        <v>6061</v>
      </c>
      <c r="E2958" s="20" t="e">
        <f t="array" ref="E2958">INDEX(C:C,SMALL(IF(ISNUMBER(FIND(CELL("contents"),$C$2:$C$4852)),ROW($C$2:$C$4852),4^8),ROW(C2958)))&amp;""</f>
        <v>#N/A</v>
      </c>
    </row>
    <row r="2959" ht="14.100000000000001" customHeight="1">
      <c r="B2959" s="20" t="s">
        <v>6063</v>
      </c>
      <c r="C2959" s="20" t="s">
        <v>6064</v>
      </c>
      <c r="D2959" s="20" t="s">
        <v>6063</v>
      </c>
      <c r="E2959" s="20" t="e">
        <f t="array" ref="E2959">INDEX(C:C,SMALL(IF(ISNUMBER(FIND(CELL("contents"),$C$2:$C$4852)),ROW($C$2:$C$4852),4^8),ROW(C2959)))&amp;""</f>
        <v>#N/A</v>
      </c>
    </row>
    <row r="2960" ht="14.100000000000001" customHeight="1">
      <c r="B2960" s="20" t="s">
        <v>6065</v>
      </c>
      <c r="C2960" s="20" t="s">
        <v>6066</v>
      </c>
      <c r="D2960" s="20" t="s">
        <v>6065</v>
      </c>
      <c r="E2960" s="20" t="e">
        <f t="array" ref="E2960">INDEX(C:C,SMALL(IF(ISNUMBER(FIND(CELL("contents"),$C$2:$C$4852)),ROW($C$2:$C$4852),4^8),ROW(C2960)))&amp;""</f>
        <v>#N/A</v>
      </c>
    </row>
    <row r="2961" ht="14.100000000000001" customHeight="1">
      <c r="B2961" s="20" t="s">
        <v>6067</v>
      </c>
      <c r="C2961" s="20" t="s">
        <v>6068</v>
      </c>
      <c r="D2961" s="20" t="s">
        <v>6067</v>
      </c>
      <c r="E2961" s="20" t="e">
        <f t="array" ref="E2961">INDEX(C:C,SMALL(IF(ISNUMBER(FIND(CELL("contents"),$C$2:$C$4852)),ROW($C$2:$C$4852),4^8),ROW(C2961)))&amp;""</f>
        <v>#N/A</v>
      </c>
    </row>
    <row r="2962" ht="14.100000000000001" customHeight="1">
      <c r="B2962" s="20" t="s">
        <v>6069</v>
      </c>
      <c r="C2962" s="20" t="s">
        <v>6070</v>
      </c>
      <c r="D2962" s="20" t="s">
        <v>6069</v>
      </c>
      <c r="E2962" s="20" t="e">
        <f t="array" ref="E2962">INDEX(C:C,SMALL(IF(ISNUMBER(FIND(CELL("contents"),$C$2:$C$4852)),ROW($C$2:$C$4852),4^8),ROW(C2962)))&amp;""</f>
        <v>#N/A</v>
      </c>
    </row>
    <row r="2963" ht="14.100000000000001" customHeight="1">
      <c r="B2963" s="20" t="s">
        <v>6071</v>
      </c>
      <c r="C2963" s="20" t="s">
        <v>6072</v>
      </c>
      <c r="D2963" s="20" t="s">
        <v>6071</v>
      </c>
      <c r="E2963" s="20" t="e">
        <f t="array" ref="E2963">INDEX(C:C,SMALL(IF(ISNUMBER(FIND(CELL("contents"),$C$2:$C$4852)),ROW($C$2:$C$4852),4^8),ROW(C2963)))&amp;""</f>
        <v>#N/A</v>
      </c>
    </row>
    <row r="2964" ht="14.100000000000001" customHeight="1">
      <c r="B2964" s="20" t="s">
        <v>6073</v>
      </c>
      <c r="C2964" s="20" t="s">
        <v>6074</v>
      </c>
      <c r="D2964" s="20" t="s">
        <v>6073</v>
      </c>
      <c r="E2964" s="20" t="e">
        <f t="array" ref="E2964">INDEX(C:C,SMALL(IF(ISNUMBER(FIND(CELL("contents"),$C$2:$C$4852)),ROW($C$2:$C$4852),4^8),ROW(C2964)))&amp;""</f>
        <v>#N/A</v>
      </c>
    </row>
    <row r="2965" ht="14.100000000000001" customHeight="1">
      <c r="B2965" s="20" t="s">
        <v>6075</v>
      </c>
      <c r="C2965" s="20" t="s">
        <v>6076</v>
      </c>
      <c r="D2965" s="20" t="s">
        <v>6075</v>
      </c>
      <c r="E2965" s="20" t="e">
        <f t="array" ref="E2965">INDEX(C:C,SMALL(IF(ISNUMBER(FIND(CELL("contents"),$C$2:$C$4852)),ROW($C$2:$C$4852),4^8),ROW(C2965)))&amp;""</f>
        <v>#N/A</v>
      </c>
    </row>
    <row r="2966" ht="14.100000000000001" customHeight="1">
      <c r="B2966" s="20" t="s">
        <v>6077</v>
      </c>
      <c r="C2966" s="20" t="s">
        <v>6078</v>
      </c>
      <c r="D2966" s="20" t="s">
        <v>6077</v>
      </c>
      <c r="E2966" s="20" t="e">
        <f t="array" ref="E2966">INDEX(C:C,SMALL(IF(ISNUMBER(FIND(CELL("contents"),$C$2:$C$4852)),ROW($C$2:$C$4852),4^8),ROW(C2966)))&amp;""</f>
        <v>#N/A</v>
      </c>
    </row>
    <row r="2967" ht="14.100000000000001" customHeight="1">
      <c r="B2967" s="20" t="s">
        <v>6079</v>
      </c>
      <c r="C2967" s="20" t="s">
        <v>6080</v>
      </c>
      <c r="D2967" s="20" t="s">
        <v>6079</v>
      </c>
      <c r="E2967" s="20" t="e">
        <f t="array" ref="E2967">INDEX(C:C,SMALL(IF(ISNUMBER(FIND(CELL("contents"),$C$2:$C$4852)),ROW($C$2:$C$4852),4^8),ROW(C2967)))&amp;""</f>
        <v>#N/A</v>
      </c>
    </row>
    <row r="2968" ht="14.100000000000001" customHeight="1">
      <c r="B2968" s="20" t="s">
        <v>6081</v>
      </c>
      <c r="C2968" s="20" t="s">
        <v>6082</v>
      </c>
      <c r="D2968" s="20" t="s">
        <v>6081</v>
      </c>
      <c r="E2968" s="20" t="e">
        <f t="array" ref="E2968">INDEX(C:C,SMALL(IF(ISNUMBER(FIND(CELL("contents"),$C$2:$C$4852)),ROW($C$2:$C$4852),4^8),ROW(C2968)))&amp;""</f>
        <v>#N/A</v>
      </c>
    </row>
    <row r="2969" ht="14.100000000000001" customHeight="1">
      <c r="B2969" s="20" t="s">
        <v>6083</v>
      </c>
      <c r="C2969" s="20" t="s">
        <v>6084</v>
      </c>
      <c r="D2969" s="20" t="s">
        <v>6083</v>
      </c>
      <c r="E2969" s="20" t="e">
        <f t="array" ref="E2969">INDEX(C:C,SMALL(IF(ISNUMBER(FIND(CELL("contents"),$C$2:$C$4852)),ROW($C$2:$C$4852),4^8),ROW(C2969)))&amp;""</f>
        <v>#N/A</v>
      </c>
    </row>
    <row r="2970" ht="14.100000000000001" customHeight="1">
      <c r="B2970" s="20" t="s">
        <v>6085</v>
      </c>
      <c r="C2970" s="20" t="s">
        <v>6086</v>
      </c>
      <c r="D2970" s="20" t="s">
        <v>6085</v>
      </c>
      <c r="E2970" s="20" t="e">
        <f t="array" ref="E2970">INDEX(C:C,SMALL(IF(ISNUMBER(FIND(CELL("contents"),$C$2:$C$4852)),ROW($C$2:$C$4852),4^8),ROW(C2970)))&amp;""</f>
        <v>#N/A</v>
      </c>
    </row>
    <row r="2971" ht="14.100000000000001" customHeight="1">
      <c r="B2971" s="20" t="s">
        <v>6087</v>
      </c>
      <c r="C2971" s="20" t="s">
        <v>6088</v>
      </c>
      <c r="D2971" s="20" t="s">
        <v>6087</v>
      </c>
      <c r="E2971" s="20" t="e">
        <f t="array" ref="E2971">INDEX(C:C,SMALL(IF(ISNUMBER(FIND(CELL("contents"),$C$2:$C$4852)),ROW($C$2:$C$4852),4^8),ROW(C2971)))&amp;""</f>
        <v>#N/A</v>
      </c>
    </row>
    <row r="2972" ht="14.100000000000001" customHeight="1">
      <c r="B2972" s="20" t="s">
        <v>6089</v>
      </c>
      <c r="C2972" s="20" t="s">
        <v>6090</v>
      </c>
      <c r="D2972" s="20" t="s">
        <v>6089</v>
      </c>
      <c r="E2972" s="20" t="e">
        <f t="array" ref="E2972">INDEX(C:C,SMALL(IF(ISNUMBER(FIND(CELL("contents"),$C$2:$C$4852)),ROW($C$2:$C$4852),4^8),ROW(C2972)))&amp;""</f>
        <v>#N/A</v>
      </c>
    </row>
    <row r="2973" ht="14.100000000000001" customHeight="1">
      <c r="B2973" s="20" t="s">
        <v>6091</v>
      </c>
      <c r="C2973" s="20" t="s">
        <v>6092</v>
      </c>
      <c r="D2973" s="20" t="s">
        <v>6091</v>
      </c>
      <c r="E2973" s="20" t="e">
        <f t="array" ref="E2973">INDEX(C:C,SMALL(IF(ISNUMBER(FIND(CELL("contents"),$C$2:$C$4852)),ROW($C$2:$C$4852),4^8),ROW(C2973)))&amp;""</f>
        <v>#N/A</v>
      </c>
    </row>
    <row r="2974" ht="14.100000000000001" customHeight="1">
      <c r="B2974" s="20" t="s">
        <v>6093</v>
      </c>
      <c r="C2974" s="20" t="s">
        <v>6094</v>
      </c>
      <c r="D2974" s="20" t="s">
        <v>6093</v>
      </c>
      <c r="E2974" s="20" t="e">
        <f t="array" ref="E2974">INDEX(C:C,SMALL(IF(ISNUMBER(FIND(CELL("contents"),$C$2:$C$4852)),ROW($C$2:$C$4852),4^8),ROW(C2974)))&amp;""</f>
        <v>#N/A</v>
      </c>
    </row>
    <row r="2975" ht="14.100000000000001" customHeight="1">
      <c r="B2975" s="20" t="s">
        <v>6095</v>
      </c>
      <c r="C2975" s="20" t="s">
        <v>6096</v>
      </c>
      <c r="D2975" s="20" t="s">
        <v>6095</v>
      </c>
      <c r="E2975" s="20" t="e">
        <f t="array" ref="E2975">INDEX(C:C,SMALL(IF(ISNUMBER(FIND(CELL("contents"),$C$2:$C$4852)),ROW($C$2:$C$4852),4^8),ROW(C2975)))&amp;""</f>
        <v>#N/A</v>
      </c>
    </row>
    <row r="2976" ht="14.100000000000001" customHeight="1">
      <c r="B2976" s="20" t="s">
        <v>6097</v>
      </c>
      <c r="C2976" s="20" t="s">
        <v>6098</v>
      </c>
      <c r="D2976" s="20" t="s">
        <v>6097</v>
      </c>
      <c r="E2976" s="20" t="e">
        <f t="array" ref="E2976">INDEX(C:C,SMALL(IF(ISNUMBER(FIND(CELL("contents"),$C$2:$C$4852)),ROW($C$2:$C$4852),4^8),ROW(C2976)))&amp;""</f>
        <v>#N/A</v>
      </c>
    </row>
    <row r="2977" ht="14.100000000000001" customHeight="1">
      <c r="B2977" s="20" t="s">
        <v>6099</v>
      </c>
      <c r="C2977" s="20" t="s">
        <v>6100</v>
      </c>
      <c r="D2977" s="20" t="s">
        <v>6099</v>
      </c>
      <c r="E2977" s="20" t="e">
        <f t="array" ref="E2977">INDEX(C:C,SMALL(IF(ISNUMBER(FIND(CELL("contents"),$C$2:$C$4852)),ROW($C$2:$C$4852),4^8),ROW(C2977)))&amp;""</f>
        <v>#N/A</v>
      </c>
    </row>
    <row r="2978" ht="14.100000000000001" customHeight="1">
      <c r="B2978" s="20" t="s">
        <v>6101</v>
      </c>
      <c r="C2978" s="20" t="s">
        <v>6102</v>
      </c>
      <c r="D2978" s="20" t="s">
        <v>6101</v>
      </c>
      <c r="E2978" s="20" t="e">
        <f t="array" ref="E2978">INDEX(C:C,SMALL(IF(ISNUMBER(FIND(CELL("contents"),$C$2:$C$4852)),ROW($C$2:$C$4852),4^8),ROW(C2978)))&amp;""</f>
        <v>#N/A</v>
      </c>
    </row>
    <row r="2979" ht="14.100000000000001" customHeight="1">
      <c r="B2979" s="20" t="s">
        <v>6103</v>
      </c>
      <c r="C2979" s="20" t="s">
        <v>6104</v>
      </c>
      <c r="D2979" s="20" t="s">
        <v>6103</v>
      </c>
      <c r="E2979" s="20" t="e">
        <f t="array" ref="E2979">INDEX(C:C,SMALL(IF(ISNUMBER(FIND(CELL("contents"),$C$2:$C$4852)),ROW($C$2:$C$4852),4^8),ROW(C2979)))&amp;""</f>
        <v>#N/A</v>
      </c>
    </row>
    <row r="2980" ht="14.100000000000001" customHeight="1">
      <c r="B2980" s="20" t="s">
        <v>6105</v>
      </c>
      <c r="C2980" s="20" t="s">
        <v>6106</v>
      </c>
      <c r="D2980" s="20" t="s">
        <v>6105</v>
      </c>
      <c r="E2980" s="20" t="e">
        <f t="array" ref="E2980">INDEX(C:C,SMALL(IF(ISNUMBER(FIND(CELL("contents"),$C$2:$C$4852)),ROW($C$2:$C$4852),4^8),ROW(C2980)))&amp;""</f>
        <v>#N/A</v>
      </c>
    </row>
    <row r="2981" ht="14.100000000000001" customHeight="1">
      <c r="B2981" s="20" t="s">
        <v>6107</v>
      </c>
      <c r="C2981" s="20" t="s">
        <v>6108</v>
      </c>
      <c r="D2981" s="20" t="s">
        <v>6107</v>
      </c>
      <c r="E2981" s="20" t="e">
        <f t="array" ref="E2981">INDEX(C:C,SMALL(IF(ISNUMBER(FIND(CELL("contents"),$C$2:$C$4852)),ROW($C$2:$C$4852),4^8),ROW(C2981)))&amp;""</f>
        <v>#N/A</v>
      </c>
    </row>
    <row r="2982" ht="14.100000000000001" customHeight="1">
      <c r="B2982" s="20" t="s">
        <v>6109</v>
      </c>
      <c r="C2982" s="20" t="s">
        <v>6110</v>
      </c>
      <c r="D2982" s="20" t="s">
        <v>6109</v>
      </c>
      <c r="E2982" s="20" t="e">
        <f t="array" ref="E2982">INDEX(C:C,SMALL(IF(ISNUMBER(FIND(CELL("contents"),$C$2:$C$4852)),ROW($C$2:$C$4852),4^8),ROW(C2982)))&amp;""</f>
        <v>#N/A</v>
      </c>
    </row>
    <row r="2983" ht="14.100000000000001" customHeight="1">
      <c r="B2983" s="20" t="s">
        <v>6111</v>
      </c>
      <c r="C2983" s="20" t="s">
        <v>6112</v>
      </c>
      <c r="D2983" s="20" t="s">
        <v>6111</v>
      </c>
      <c r="E2983" s="20" t="e">
        <f t="array" ref="E2983">INDEX(C:C,SMALL(IF(ISNUMBER(FIND(CELL("contents"),$C$2:$C$4852)),ROW($C$2:$C$4852),4^8),ROW(C2983)))&amp;""</f>
        <v>#N/A</v>
      </c>
    </row>
    <row r="2984" ht="14.100000000000001" customHeight="1">
      <c r="B2984" s="20" t="s">
        <v>6113</v>
      </c>
      <c r="C2984" s="20" t="s">
        <v>6114</v>
      </c>
      <c r="D2984" s="20" t="s">
        <v>6113</v>
      </c>
      <c r="E2984" s="20" t="e">
        <f t="array" ref="E2984">INDEX(C:C,SMALL(IF(ISNUMBER(FIND(CELL("contents"),$C$2:$C$4852)),ROW($C$2:$C$4852),4^8),ROW(C2984)))&amp;""</f>
        <v>#N/A</v>
      </c>
    </row>
    <row r="2985" ht="14.100000000000001" customHeight="1">
      <c r="B2985" s="20" t="s">
        <v>6115</v>
      </c>
      <c r="C2985" s="20" t="s">
        <v>6116</v>
      </c>
      <c r="D2985" s="20" t="s">
        <v>6115</v>
      </c>
      <c r="E2985" s="20" t="e">
        <f t="array" ref="E2985">INDEX(C:C,SMALL(IF(ISNUMBER(FIND(CELL("contents"),$C$2:$C$4852)),ROW($C$2:$C$4852),4^8),ROW(C2985)))&amp;""</f>
        <v>#N/A</v>
      </c>
    </row>
    <row r="2986" ht="14.100000000000001" customHeight="1">
      <c r="B2986" s="20" t="s">
        <v>6117</v>
      </c>
      <c r="C2986" s="20" t="s">
        <v>6118</v>
      </c>
      <c r="D2986" s="20" t="s">
        <v>6117</v>
      </c>
      <c r="E2986" s="20" t="e">
        <f t="array" ref="E2986">INDEX(C:C,SMALL(IF(ISNUMBER(FIND(CELL("contents"),$C$2:$C$4852)),ROW($C$2:$C$4852),4^8),ROW(C2986)))&amp;""</f>
        <v>#N/A</v>
      </c>
    </row>
    <row r="2987" ht="14.100000000000001" customHeight="1">
      <c r="B2987" s="20" t="s">
        <v>6119</v>
      </c>
      <c r="C2987" s="20" t="s">
        <v>6120</v>
      </c>
      <c r="D2987" s="20" t="s">
        <v>6119</v>
      </c>
      <c r="E2987" s="20" t="e">
        <f t="array" ref="E2987">INDEX(C:C,SMALL(IF(ISNUMBER(FIND(CELL("contents"),$C$2:$C$4852)),ROW($C$2:$C$4852),4^8),ROW(C2987)))&amp;""</f>
        <v>#N/A</v>
      </c>
    </row>
    <row r="2988" ht="14.100000000000001" customHeight="1">
      <c r="B2988" s="20" t="s">
        <v>6121</v>
      </c>
      <c r="C2988" s="20" t="s">
        <v>6122</v>
      </c>
      <c r="D2988" s="20" t="s">
        <v>6121</v>
      </c>
      <c r="E2988" s="20" t="e">
        <f t="array" ref="E2988">INDEX(C:C,SMALL(IF(ISNUMBER(FIND(CELL("contents"),$C$2:$C$4852)),ROW($C$2:$C$4852),4^8),ROW(C2988)))&amp;""</f>
        <v>#N/A</v>
      </c>
    </row>
    <row r="2989" ht="14.100000000000001" customHeight="1">
      <c r="B2989" s="20" t="s">
        <v>6123</v>
      </c>
      <c r="C2989" s="20" t="s">
        <v>6124</v>
      </c>
      <c r="D2989" s="20" t="s">
        <v>6123</v>
      </c>
      <c r="E2989" s="20" t="e">
        <f t="array" ref="E2989">INDEX(C:C,SMALL(IF(ISNUMBER(FIND(CELL("contents"),$C$2:$C$4852)),ROW($C$2:$C$4852),4^8),ROW(C2989)))&amp;""</f>
        <v>#N/A</v>
      </c>
    </row>
    <row r="2990" ht="14.100000000000001" customHeight="1">
      <c r="B2990" s="20" t="s">
        <v>6125</v>
      </c>
      <c r="C2990" s="20" t="s">
        <v>6125</v>
      </c>
      <c r="D2990" s="20" t="s">
        <v>6125</v>
      </c>
      <c r="E2990" s="20" t="e">
        <f t="array" ref="E2990">INDEX(C:C,SMALL(IF(ISNUMBER(FIND(CELL("contents"),$C$2:$C$4852)),ROW($C$2:$C$4852),4^8),ROW(C2990)))&amp;""</f>
        <v>#N/A</v>
      </c>
    </row>
    <row r="2991" ht="14.100000000000001" customHeight="1">
      <c r="B2991" s="20" t="s">
        <v>6126</v>
      </c>
      <c r="C2991" s="20" t="s">
        <v>6127</v>
      </c>
      <c r="D2991" s="20" t="s">
        <v>6126</v>
      </c>
      <c r="E2991" s="20" t="e">
        <f t="array" ref="E2991">INDEX(C:C,SMALL(IF(ISNUMBER(FIND(CELL("contents"),$C$2:$C$4852)),ROW($C$2:$C$4852),4^8),ROW(C2991)))&amp;""</f>
        <v>#N/A</v>
      </c>
    </row>
    <row r="2992" ht="14.100000000000001" customHeight="1">
      <c r="B2992" s="20" t="s">
        <v>6128</v>
      </c>
      <c r="C2992" s="20" t="s">
        <v>6129</v>
      </c>
      <c r="D2992" s="20" t="s">
        <v>6128</v>
      </c>
      <c r="E2992" s="20" t="e">
        <f t="array" ref="E2992">INDEX(C:C,SMALL(IF(ISNUMBER(FIND(CELL("contents"),$C$2:$C$4852)),ROW($C$2:$C$4852),4^8),ROW(C2992)))&amp;""</f>
        <v>#N/A</v>
      </c>
    </row>
    <row r="2993" ht="14.100000000000001" customHeight="1">
      <c r="B2993" s="20" t="s">
        <v>6130</v>
      </c>
      <c r="C2993" s="20" t="s">
        <v>6131</v>
      </c>
      <c r="D2993" s="20" t="s">
        <v>6130</v>
      </c>
      <c r="E2993" s="20" t="e">
        <f t="array" ref="E2993">INDEX(C:C,SMALL(IF(ISNUMBER(FIND(CELL("contents"),$C$2:$C$4852)),ROW($C$2:$C$4852),4^8),ROW(C2993)))&amp;""</f>
        <v>#N/A</v>
      </c>
    </row>
    <row r="2994" ht="14.100000000000001" customHeight="1">
      <c r="B2994" s="20" t="s">
        <v>6132</v>
      </c>
      <c r="C2994" s="20" t="s">
        <v>6133</v>
      </c>
      <c r="D2994" s="20" t="s">
        <v>6132</v>
      </c>
      <c r="E2994" s="20" t="e">
        <f t="array" ref="E2994">INDEX(C:C,SMALL(IF(ISNUMBER(FIND(CELL("contents"),$C$2:$C$4852)),ROW($C$2:$C$4852),4^8),ROW(C2994)))&amp;""</f>
        <v>#N/A</v>
      </c>
    </row>
    <row r="2995" ht="14.100000000000001" customHeight="1">
      <c r="B2995" s="20" t="s">
        <v>6134</v>
      </c>
      <c r="C2995" s="20" t="s">
        <v>6135</v>
      </c>
      <c r="D2995" s="20" t="s">
        <v>6134</v>
      </c>
      <c r="E2995" s="20" t="e">
        <f t="array" ref="E2995">INDEX(C:C,SMALL(IF(ISNUMBER(FIND(CELL("contents"),$C$2:$C$4852)),ROW($C$2:$C$4852),4^8),ROW(C2995)))&amp;""</f>
        <v>#N/A</v>
      </c>
    </row>
    <row r="2996" ht="14.100000000000001" customHeight="1">
      <c r="B2996" s="20" t="s">
        <v>6136</v>
      </c>
      <c r="C2996" s="20" t="s">
        <v>6137</v>
      </c>
      <c r="D2996" s="20" t="s">
        <v>6136</v>
      </c>
      <c r="E2996" s="20" t="e">
        <f t="array" ref="E2996">INDEX(C:C,SMALL(IF(ISNUMBER(FIND(CELL("contents"),$C$2:$C$4852)),ROW($C$2:$C$4852),4^8),ROW(C2996)))&amp;""</f>
        <v>#N/A</v>
      </c>
    </row>
    <row r="2997" ht="14.100000000000001" customHeight="1">
      <c r="B2997" s="20" t="s">
        <v>6138</v>
      </c>
      <c r="C2997" s="20" t="s">
        <v>6139</v>
      </c>
      <c r="D2997" s="20" t="s">
        <v>6138</v>
      </c>
      <c r="E2997" s="20" t="e">
        <f t="array" ref="E2997">INDEX(C:C,SMALL(IF(ISNUMBER(FIND(CELL("contents"),$C$2:$C$4852)),ROW($C$2:$C$4852),4^8),ROW(C2997)))&amp;""</f>
        <v>#N/A</v>
      </c>
    </row>
    <row r="2998" ht="14.100000000000001" customHeight="1">
      <c r="B2998" s="20" t="s">
        <v>6140</v>
      </c>
      <c r="C2998" s="20" t="s">
        <v>6141</v>
      </c>
      <c r="D2998" s="20" t="s">
        <v>6140</v>
      </c>
      <c r="E2998" s="20" t="e">
        <f t="array" ref="E2998">INDEX(C:C,SMALL(IF(ISNUMBER(FIND(CELL("contents"),$C$2:$C$4852)),ROW($C$2:$C$4852),4^8),ROW(C2998)))&amp;""</f>
        <v>#N/A</v>
      </c>
    </row>
    <row r="2999" ht="14.100000000000001" customHeight="1">
      <c r="B2999" s="20" t="s">
        <v>6142</v>
      </c>
      <c r="C2999" s="20" t="s">
        <v>6143</v>
      </c>
      <c r="D2999" s="20" t="s">
        <v>6142</v>
      </c>
      <c r="E2999" s="20" t="e">
        <f t="array" ref="E2999">INDEX(C:C,SMALL(IF(ISNUMBER(FIND(CELL("contents"),$C$2:$C$4852)),ROW($C$2:$C$4852),4^8),ROW(C2999)))&amp;""</f>
        <v>#N/A</v>
      </c>
    </row>
    <row r="3000" ht="14.100000000000001" customHeight="1">
      <c r="B3000" s="20" t="s">
        <v>6144</v>
      </c>
      <c r="C3000" s="20" t="s">
        <v>6145</v>
      </c>
      <c r="D3000" s="20" t="s">
        <v>6144</v>
      </c>
      <c r="E3000" s="20" t="e">
        <f t="array" ref="E3000">INDEX(C:C,SMALL(IF(ISNUMBER(FIND(CELL("contents"),$C$2:$C$4852)),ROW($C$2:$C$4852),4^8),ROW(C3000)))&amp;""</f>
        <v>#N/A</v>
      </c>
    </row>
    <row r="3001" ht="14.100000000000001" customHeight="1">
      <c r="B3001" s="20" t="s">
        <v>6146</v>
      </c>
      <c r="C3001" s="20" t="s">
        <v>6147</v>
      </c>
      <c r="D3001" s="20" t="s">
        <v>6146</v>
      </c>
      <c r="E3001" s="20" t="e">
        <f t="array" ref="E3001">INDEX(C:C,SMALL(IF(ISNUMBER(FIND(CELL("contents"),$C$2:$C$4852)),ROW($C$2:$C$4852),4^8),ROW(C3001)))&amp;""</f>
        <v>#N/A</v>
      </c>
    </row>
    <row r="3002" ht="14.100000000000001" customHeight="1">
      <c r="B3002" s="20" t="s">
        <v>6148</v>
      </c>
      <c r="C3002" s="20" t="s">
        <v>6149</v>
      </c>
      <c r="D3002" s="20" t="s">
        <v>6148</v>
      </c>
      <c r="E3002" s="20" t="e">
        <f t="array" ref="E3002">INDEX(C:C,SMALL(IF(ISNUMBER(FIND(CELL("contents"),$C$2:$C$4852)),ROW($C$2:$C$4852),4^8),ROW(C3002)))&amp;""</f>
        <v>#N/A</v>
      </c>
    </row>
    <row r="3003" ht="14.100000000000001" customHeight="1">
      <c r="B3003" s="20" t="s">
        <v>6150</v>
      </c>
      <c r="C3003" s="20" t="s">
        <v>6151</v>
      </c>
      <c r="D3003" s="20" t="s">
        <v>6150</v>
      </c>
      <c r="E3003" s="20" t="e">
        <f t="array" ref="E3003">INDEX(C:C,SMALL(IF(ISNUMBER(FIND(CELL("contents"),$C$2:$C$4852)),ROW($C$2:$C$4852),4^8),ROW(C3003)))&amp;""</f>
        <v>#N/A</v>
      </c>
    </row>
    <row r="3004" ht="14.100000000000001" customHeight="1">
      <c r="B3004" s="20" t="s">
        <v>6152</v>
      </c>
      <c r="C3004" s="20" t="s">
        <v>6153</v>
      </c>
      <c r="D3004" s="20" t="s">
        <v>6152</v>
      </c>
      <c r="E3004" s="20" t="e">
        <f t="array" ref="E3004">INDEX(C:C,SMALL(IF(ISNUMBER(FIND(CELL("contents"),$C$2:$C$4852)),ROW($C$2:$C$4852),4^8),ROW(C3004)))&amp;""</f>
        <v>#N/A</v>
      </c>
    </row>
    <row r="3005" ht="14.100000000000001" customHeight="1">
      <c r="B3005" s="20" t="s">
        <v>6154</v>
      </c>
      <c r="C3005" s="20" t="s">
        <v>6155</v>
      </c>
      <c r="D3005" s="20" t="s">
        <v>6154</v>
      </c>
      <c r="E3005" s="20" t="e">
        <f t="array" ref="E3005">INDEX(C:C,SMALL(IF(ISNUMBER(FIND(CELL("contents"),$C$2:$C$4852)),ROW($C$2:$C$4852),4^8),ROW(C3005)))&amp;""</f>
        <v>#N/A</v>
      </c>
    </row>
    <row r="3006" ht="14.100000000000001" customHeight="1">
      <c r="B3006" s="20" t="s">
        <v>6156</v>
      </c>
      <c r="C3006" s="20" t="s">
        <v>6157</v>
      </c>
      <c r="D3006" s="20" t="s">
        <v>6156</v>
      </c>
      <c r="E3006" s="20" t="e">
        <f t="array" ref="E3006">INDEX(C:C,SMALL(IF(ISNUMBER(FIND(CELL("contents"),$C$2:$C$4852)),ROW($C$2:$C$4852),4^8),ROW(C3006)))&amp;""</f>
        <v>#N/A</v>
      </c>
    </row>
    <row r="3007" ht="14.100000000000001" customHeight="1">
      <c r="B3007" s="20" t="s">
        <v>6158</v>
      </c>
      <c r="C3007" s="20" t="s">
        <v>6159</v>
      </c>
      <c r="D3007" s="20" t="s">
        <v>6158</v>
      </c>
      <c r="E3007" s="20" t="e">
        <f t="array" ref="E3007">INDEX(C:C,SMALL(IF(ISNUMBER(FIND(CELL("contents"),$C$2:$C$4852)),ROW($C$2:$C$4852),4^8),ROW(C3007)))&amp;""</f>
        <v>#N/A</v>
      </c>
    </row>
    <row r="3008" ht="14.100000000000001" customHeight="1">
      <c r="B3008" s="20" t="s">
        <v>6160</v>
      </c>
      <c r="C3008" s="20" t="s">
        <v>6161</v>
      </c>
      <c r="D3008" s="20" t="s">
        <v>6160</v>
      </c>
      <c r="E3008" s="20" t="e">
        <f t="array" ref="E3008">INDEX(C:C,SMALL(IF(ISNUMBER(FIND(CELL("contents"),$C$2:$C$4852)),ROW($C$2:$C$4852),4^8),ROW(C3008)))&amp;""</f>
        <v>#N/A</v>
      </c>
    </row>
    <row r="3009" ht="14.100000000000001" customHeight="1">
      <c r="B3009" s="20" t="s">
        <v>6162</v>
      </c>
      <c r="C3009" s="20" t="s">
        <v>6163</v>
      </c>
      <c r="D3009" s="20" t="s">
        <v>6162</v>
      </c>
      <c r="E3009" s="20" t="e">
        <f t="array" ref="E3009">INDEX(C:C,SMALL(IF(ISNUMBER(FIND(CELL("contents"),$C$2:$C$4852)),ROW($C$2:$C$4852),4^8),ROW(C3009)))&amp;""</f>
        <v>#N/A</v>
      </c>
    </row>
    <row r="3010" ht="14.100000000000001" customHeight="1">
      <c r="B3010" s="20" t="s">
        <v>6164</v>
      </c>
      <c r="C3010" s="20" t="s">
        <v>6165</v>
      </c>
      <c r="D3010" s="20" t="s">
        <v>6164</v>
      </c>
      <c r="E3010" s="20" t="e">
        <f t="array" ref="E3010">INDEX(C:C,SMALL(IF(ISNUMBER(FIND(CELL("contents"),$C$2:$C$4852)),ROW($C$2:$C$4852),4^8),ROW(C3010)))&amp;""</f>
        <v>#N/A</v>
      </c>
    </row>
    <row r="3011" ht="14.100000000000001" customHeight="1">
      <c r="B3011" s="20" t="s">
        <v>6166</v>
      </c>
      <c r="C3011" s="20" t="s">
        <v>6167</v>
      </c>
      <c r="D3011" s="20" t="s">
        <v>6166</v>
      </c>
      <c r="E3011" s="20" t="e">
        <f t="array" ref="E3011">INDEX(C:C,SMALL(IF(ISNUMBER(FIND(CELL("contents"),$C$2:$C$4852)),ROW($C$2:$C$4852),4^8),ROW(C3011)))&amp;""</f>
        <v>#N/A</v>
      </c>
    </row>
    <row r="3012" ht="14.100000000000001" customHeight="1">
      <c r="B3012" s="20" t="s">
        <v>6168</v>
      </c>
      <c r="C3012" s="20" t="s">
        <v>6169</v>
      </c>
      <c r="D3012" s="20" t="s">
        <v>6168</v>
      </c>
      <c r="E3012" s="20" t="e">
        <f t="array" ref="E3012">INDEX(C:C,SMALL(IF(ISNUMBER(FIND(CELL("contents"),$C$2:$C$4852)),ROW($C$2:$C$4852),4^8),ROW(C3012)))&amp;""</f>
        <v>#N/A</v>
      </c>
    </row>
    <row r="3013" ht="14.100000000000001" customHeight="1">
      <c r="B3013" s="20" t="s">
        <v>6170</v>
      </c>
      <c r="C3013" s="20" t="s">
        <v>6171</v>
      </c>
      <c r="D3013" s="20" t="s">
        <v>6170</v>
      </c>
      <c r="E3013" s="20" t="e">
        <f t="array" ref="E3013">INDEX(C:C,SMALL(IF(ISNUMBER(FIND(CELL("contents"),$C$2:$C$4852)),ROW($C$2:$C$4852),4^8),ROW(C3013)))&amp;""</f>
        <v>#N/A</v>
      </c>
    </row>
    <row r="3014" ht="14.100000000000001" customHeight="1">
      <c r="B3014" s="20" t="s">
        <v>6172</v>
      </c>
      <c r="C3014" s="20" t="s">
        <v>6173</v>
      </c>
      <c r="D3014" s="20" t="s">
        <v>6172</v>
      </c>
      <c r="E3014" s="20" t="e">
        <f t="array" ref="E3014">INDEX(C:C,SMALL(IF(ISNUMBER(FIND(CELL("contents"),$C$2:$C$4852)),ROW($C$2:$C$4852),4^8),ROW(C3014)))&amp;""</f>
        <v>#N/A</v>
      </c>
    </row>
    <row r="3015" ht="14.100000000000001" customHeight="1">
      <c r="B3015" s="20" t="s">
        <v>6174</v>
      </c>
      <c r="C3015" s="20" t="s">
        <v>6175</v>
      </c>
      <c r="D3015" s="20" t="s">
        <v>6174</v>
      </c>
      <c r="E3015" s="20" t="e">
        <f t="array" ref="E3015">INDEX(C:C,SMALL(IF(ISNUMBER(FIND(CELL("contents"),$C$2:$C$4852)),ROW($C$2:$C$4852),4^8),ROW(C3015)))&amp;""</f>
        <v>#N/A</v>
      </c>
    </row>
    <row r="3016" ht="14.100000000000001" customHeight="1">
      <c r="B3016" s="20" t="s">
        <v>6176</v>
      </c>
      <c r="C3016" s="20" t="s">
        <v>6177</v>
      </c>
      <c r="D3016" s="20" t="s">
        <v>6176</v>
      </c>
      <c r="E3016" s="20" t="e">
        <f t="array" ref="E3016">INDEX(C:C,SMALL(IF(ISNUMBER(FIND(CELL("contents"),$C$2:$C$4852)),ROW($C$2:$C$4852),4^8),ROW(C3016)))&amp;""</f>
        <v>#N/A</v>
      </c>
    </row>
    <row r="3017" ht="14.100000000000001" customHeight="1">
      <c r="B3017" s="20" t="s">
        <v>6178</v>
      </c>
      <c r="C3017" s="20" t="s">
        <v>6179</v>
      </c>
      <c r="D3017" s="20" t="s">
        <v>6178</v>
      </c>
      <c r="E3017" s="20" t="e">
        <f t="array" ref="E3017">INDEX(C:C,SMALL(IF(ISNUMBER(FIND(CELL("contents"),$C$2:$C$4852)),ROW($C$2:$C$4852),4^8),ROW(C3017)))&amp;""</f>
        <v>#N/A</v>
      </c>
    </row>
    <row r="3018" ht="14.100000000000001" customHeight="1">
      <c r="B3018" s="20" t="s">
        <v>6180</v>
      </c>
      <c r="C3018" s="20" t="s">
        <v>6181</v>
      </c>
      <c r="D3018" s="20" t="s">
        <v>6180</v>
      </c>
      <c r="E3018" s="20" t="e">
        <f t="array" ref="E3018">INDEX(C:C,SMALL(IF(ISNUMBER(FIND(CELL("contents"),$C$2:$C$4852)),ROW($C$2:$C$4852),4^8),ROW(C3018)))&amp;""</f>
        <v>#N/A</v>
      </c>
    </row>
    <row r="3019" ht="14.100000000000001" customHeight="1">
      <c r="B3019" s="20" t="s">
        <v>6182</v>
      </c>
      <c r="C3019" s="20" t="s">
        <v>6183</v>
      </c>
      <c r="D3019" s="20" t="s">
        <v>6182</v>
      </c>
      <c r="E3019" s="20" t="e">
        <f t="array" ref="E3019">INDEX(C:C,SMALL(IF(ISNUMBER(FIND(CELL("contents"),$C$2:$C$4852)),ROW($C$2:$C$4852),4^8),ROW(C3019)))&amp;""</f>
        <v>#N/A</v>
      </c>
    </row>
    <row r="3020" ht="14.100000000000001" customHeight="1">
      <c r="B3020" s="20" t="s">
        <v>6184</v>
      </c>
      <c r="C3020" s="20" t="s">
        <v>6185</v>
      </c>
      <c r="D3020" s="20" t="s">
        <v>6184</v>
      </c>
      <c r="E3020" s="20" t="e">
        <f t="array" ref="E3020">INDEX(C:C,SMALL(IF(ISNUMBER(FIND(CELL("contents"),$C$2:$C$4852)),ROW($C$2:$C$4852),4^8),ROW(C3020)))&amp;""</f>
        <v>#N/A</v>
      </c>
    </row>
    <row r="3021" ht="14.100000000000001" customHeight="1">
      <c r="B3021" s="20" t="s">
        <v>6186</v>
      </c>
      <c r="C3021" s="20" t="s">
        <v>6187</v>
      </c>
      <c r="D3021" s="20" t="s">
        <v>6186</v>
      </c>
      <c r="E3021" s="20" t="e">
        <f t="array" ref="E3021">INDEX(C:C,SMALL(IF(ISNUMBER(FIND(CELL("contents"),$C$2:$C$4852)),ROW($C$2:$C$4852),4^8),ROW(C3021)))&amp;""</f>
        <v>#N/A</v>
      </c>
    </row>
    <row r="3022" ht="14.100000000000001" customHeight="1">
      <c r="B3022" s="20" t="s">
        <v>6188</v>
      </c>
      <c r="C3022" s="20" t="s">
        <v>6189</v>
      </c>
      <c r="D3022" s="20" t="s">
        <v>6188</v>
      </c>
      <c r="E3022" s="20" t="e">
        <f t="array" ref="E3022">INDEX(C:C,SMALL(IF(ISNUMBER(FIND(CELL("contents"),$C$2:$C$4852)),ROW($C$2:$C$4852),4^8),ROW(C3022)))&amp;""</f>
        <v>#N/A</v>
      </c>
    </row>
    <row r="3023" ht="14.100000000000001" customHeight="1">
      <c r="B3023" s="20" t="s">
        <v>6190</v>
      </c>
      <c r="C3023" s="20" t="s">
        <v>6191</v>
      </c>
      <c r="D3023" s="20" t="s">
        <v>6190</v>
      </c>
      <c r="E3023" s="20" t="e">
        <f t="array" ref="E3023">INDEX(C:C,SMALL(IF(ISNUMBER(FIND(CELL("contents"),$C$2:$C$4852)),ROW($C$2:$C$4852),4^8),ROW(C3023)))&amp;""</f>
        <v>#N/A</v>
      </c>
    </row>
    <row r="3024" ht="14.100000000000001" customHeight="1">
      <c r="B3024" s="20" t="s">
        <v>6192</v>
      </c>
      <c r="C3024" s="20" t="s">
        <v>6193</v>
      </c>
      <c r="D3024" s="20" t="s">
        <v>6192</v>
      </c>
      <c r="E3024" s="20" t="e">
        <f t="array" ref="E3024">INDEX(C:C,SMALL(IF(ISNUMBER(FIND(CELL("contents"),$C$2:$C$4852)),ROW($C$2:$C$4852),4^8),ROW(C3024)))&amp;""</f>
        <v>#N/A</v>
      </c>
    </row>
    <row r="3025" ht="14.100000000000001" customHeight="1">
      <c r="B3025" s="20" t="s">
        <v>6194</v>
      </c>
      <c r="C3025" s="20" t="s">
        <v>6195</v>
      </c>
      <c r="D3025" s="20" t="s">
        <v>6194</v>
      </c>
      <c r="E3025" s="20" t="e">
        <f t="array" ref="E3025">INDEX(C:C,SMALL(IF(ISNUMBER(FIND(CELL("contents"),$C$2:$C$4852)),ROW($C$2:$C$4852),4^8),ROW(C3025)))&amp;""</f>
        <v>#N/A</v>
      </c>
    </row>
    <row r="3026" ht="14.100000000000001" customHeight="1">
      <c r="B3026" s="20" t="s">
        <v>6196</v>
      </c>
      <c r="C3026" s="20" t="s">
        <v>6197</v>
      </c>
      <c r="D3026" s="20" t="s">
        <v>6196</v>
      </c>
      <c r="E3026" s="20" t="e">
        <f t="array" ref="E3026">INDEX(C:C,SMALL(IF(ISNUMBER(FIND(CELL("contents"),$C$2:$C$4852)),ROW($C$2:$C$4852),4^8),ROW(C3026)))&amp;""</f>
        <v>#N/A</v>
      </c>
    </row>
    <row r="3027" ht="14.100000000000001" customHeight="1">
      <c r="B3027" s="20" t="s">
        <v>6198</v>
      </c>
      <c r="C3027" s="20" t="s">
        <v>6199</v>
      </c>
      <c r="D3027" s="20" t="s">
        <v>6198</v>
      </c>
      <c r="E3027" s="20" t="e">
        <f t="array" ref="E3027">INDEX(C:C,SMALL(IF(ISNUMBER(FIND(CELL("contents"),$C$2:$C$4852)),ROW($C$2:$C$4852),4^8),ROW(C3027)))&amp;""</f>
        <v>#N/A</v>
      </c>
    </row>
    <row r="3028" ht="14.100000000000001" customHeight="1">
      <c r="B3028" s="20" t="s">
        <v>6200</v>
      </c>
      <c r="C3028" s="20" t="s">
        <v>6201</v>
      </c>
      <c r="D3028" s="20" t="s">
        <v>6200</v>
      </c>
      <c r="E3028" s="20" t="e">
        <f t="array" ref="E3028">INDEX(C:C,SMALL(IF(ISNUMBER(FIND(CELL("contents"),$C$2:$C$4852)),ROW($C$2:$C$4852),4^8),ROW(C3028)))&amp;""</f>
        <v>#N/A</v>
      </c>
    </row>
    <row r="3029" ht="14.100000000000001" customHeight="1">
      <c r="B3029" s="20" t="s">
        <v>6202</v>
      </c>
      <c r="C3029" s="20" t="s">
        <v>6203</v>
      </c>
      <c r="D3029" s="20" t="s">
        <v>6202</v>
      </c>
      <c r="E3029" s="20" t="e">
        <f t="array" ref="E3029">INDEX(C:C,SMALL(IF(ISNUMBER(FIND(CELL("contents"),$C$2:$C$4852)),ROW($C$2:$C$4852),4^8),ROW(C3029)))&amp;""</f>
        <v>#N/A</v>
      </c>
    </row>
    <row r="3030" ht="14.100000000000001" customHeight="1">
      <c r="B3030" s="20" t="s">
        <v>6204</v>
      </c>
      <c r="C3030" s="20" t="s">
        <v>6205</v>
      </c>
      <c r="D3030" s="20" t="s">
        <v>6204</v>
      </c>
      <c r="E3030" s="20" t="e">
        <f t="array" ref="E3030">INDEX(C:C,SMALL(IF(ISNUMBER(FIND(CELL("contents"),$C$2:$C$4852)),ROW($C$2:$C$4852),4^8),ROW(C3030)))&amp;""</f>
        <v>#N/A</v>
      </c>
    </row>
    <row r="3031" ht="14.100000000000001" customHeight="1">
      <c r="B3031" s="20" t="s">
        <v>6206</v>
      </c>
      <c r="C3031" s="20" t="s">
        <v>6207</v>
      </c>
      <c r="D3031" s="20" t="s">
        <v>6206</v>
      </c>
      <c r="E3031" s="20" t="e">
        <f t="array" ref="E3031">INDEX(C:C,SMALL(IF(ISNUMBER(FIND(CELL("contents"),$C$2:$C$4852)),ROW($C$2:$C$4852),4^8),ROW(C3031)))&amp;""</f>
        <v>#N/A</v>
      </c>
    </row>
    <row r="3032" ht="14.100000000000001" customHeight="1">
      <c r="B3032" s="20" t="s">
        <v>6208</v>
      </c>
      <c r="C3032" s="20" t="s">
        <v>6209</v>
      </c>
      <c r="D3032" s="20" t="s">
        <v>6208</v>
      </c>
      <c r="E3032" s="20" t="e">
        <f t="array" ref="E3032">INDEX(C:C,SMALL(IF(ISNUMBER(FIND(CELL("contents"),$C$2:$C$4852)),ROW($C$2:$C$4852),4^8),ROW(C3032)))&amp;""</f>
        <v>#N/A</v>
      </c>
    </row>
    <row r="3033" ht="14.100000000000001" customHeight="1">
      <c r="B3033" s="20" t="s">
        <v>6210</v>
      </c>
      <c r="C3033" s="20" t="s">
        <v>6211</v>
      </c>
      <c r="D3033" s="20" t="s">
        <v>6210</v>
      </c>
      <c r="E3033" s="20" t="e">
        <f t="array" ref="E3033">INDEX(C:C,SMALL(IF(ISNUMBER(FIND(CELL("contents"),$C$2:$C$4852)),ROW($C$2:$C$4852),4^8),ROW(C3033)))&amp;""</f>
        <v>#N/A</v>
      </c>
    </row>
    <row r="3034" ht="14.100000000000001" customHeight="1">
      <c r="B3034" s="20" t="s">
        <v>6212</v>
      </c>
      <c r="C3034" s="20" t="s">
        <v>6213</v>
      </c>
      <c r="D3034" s="20" t="s">
        <v>6212</v>
      </c>
      <c r="E3034" s="20" t="e">
        <f t="array" ref="E3034">INDEX(C:C,SMALL(IF(ISNUMBER(FIND(CELL("contents"),$C$2:$C$4852)),ROW($C$2:$C$4852),4^8),ROW(C3034)))&amp;""</f>
        <v>#N/A</v>
      </c>
    </row>
    <row r="3035" ht="14.100000000000001" customHeight="1">
      <c r="B3035" s="20" t="s">
        <v>6214</v>
      </c>
      <c r="C3035" s="20" t="s">
        <v>6215</v>
      </c>
      <c r="D3035" s="20" t="s">
        <v>6214</v>
      </c>
      <c r="E3035" s="20" t="e">
        <f t="array" ref="E3035">INDEX(C:C,SMALL(IF(ISNUMBER(FIND(CELL("contents"),$C$2:$C$4852)),ROW($C$2:$C$4852),4^8),ROW(C3035)))&amp;""</f>
        <v>#N/A</v>
      </c>
    </row>
    <row r="3036" ht="14.100000000000001" customHeight="1">
      <c r="B3036" s="20" t="s">
        <v>6216</v>
      </c>
      <c r="C3036" s="20" t="s">
        <v>6217</v>
      </c>
      <c r="D3036" s="20" t="s">
        <v>6216</v>
      </c>
      <c r="E3036" s="20" t="e">
        <f t="array" ref="E3036">INDEX(C:C,SMALL(IF(ISNUMBER(FIND(CELL("contents"),$C$2:$C$4852)),ROW($C$2:$C$4852),4^8),ROW(C3036)))&amp;""</f>
        <v>#N/A</v>
      </c>
    </row>
    <row r="3037" ht="14.100000000000001" customHeight="1">
      <c r="B3037" s="20" t="s">
        <v>6218</v>
      </c>
      <c r="C3037" s="20" t="s">
        <v>6219</v>
      </c>
      <c r="D3037" s="20" t="s">
        <v>6218</v>
      </c>
      <c r="E3037" s="20" t="e">
        <f t="array" ref="E3037">INDEX(C:C,SMALL(IF(ISNUMBER(FIND(CELL("contents"),$C$2:$C$4852)),ROW($C$2:$C$4852),4^8),ROW(C3037)))&amp;""</f>
        <v>#N/A</v>
      </c>
    </row>
    <row r="3038" ht="14.100000000000001" customHeight="1">
      <c r="B3038" s="20" t="s">
        <v>6220</v>
      </c>
      <c r="C3038" s="20" t="s">
        <v>6221</v>
      </c>
      <c r="D3038" s="20" t="s">
        <v>6220</v>
      </c>
      <c r="E3038" s="20" t="e">
        <f t="array" ref="E3038">INDEX(C:C,SMALL(IF(ISNUMBER(FIND(CELL("contents"),$C$2:$C$4852)),ROW($C$2:$C$4852),4^8),ROW(C3038)))&amp;""</f>
        <v>#N/A</v>
      </c>
    </row>
    <row r="3039" ht="14.100000000000001" customHeight="1">
      <c r="B3039" s="20" t="s">
        <v>6222</v>
      </c>
      <c r="C3039" s="20" t="s">
        <v>6223</v>
      </c>
      <c r="D3039" s="20" t="s">
        <v>6222</v>
      </c>
      <c r="E3039" s="20" t="e">
        <f t="array" ref="E3039">INDEX(C:C,SMALL(IF(ISNUMBER(FIND(CELL("contents"),$C$2:$C$4852)),ROW($C$2:$C$4852),4^8),ROW(C3039)))&amp;""</f>
        <v>#N/A</v>
      </c>
    </row>
    <row r="3040" ht="14.100000000000001" customHeight="1">
      <c r="B3040" s="20" t="s">
        <v>6224</v>
      </c>
      <c r="C3040" s="20" t="s">
        <v>6225</v>
      </c>
      <c r="D3040" s="20" t="s">
        <v>6224</v>
      </c>
      <c r="E3040" s="20" t="e">
        <f t="array" ref="E3040">INDEX(C:C,SMALL(IF(ISNUMBER(FIND(CELL("contents"),$C$2:$C$4852)),ROW($C$2:$C$4852),4^8),ROW(C3040)))&amp;""</f>
        <v>#N/A</v>
      </c>
    </row>
    <row r="3041" ht="14.100000000000001" customHeight="1">
      <c r="B3041" s="20" t="s">
        <v>6226</v>
      </c>
      <c r="C3041" s="20" t="s">
        <v>6227</v>
      </c>
      <c r="D3041" s="20" t="s">
        <v>6226</v>
      </c>
      <c r="E3041" s="20" t="e">
        <f t="array" ref="E3041">INDEX(C:C,SMALL(IF(ISNUMBER(FIND(CELL("contents"),$C$2:$C$4852)),ROW($C$2:$C$4852),4^8),ROW(C3041)))&amp;""</f>
        <v>#N/A</v>
      </c>
    </row>
    <row r="3042" ht="14.100000000000001" customHeight="1">
      <c r="B3042" s="20" t="s">
        <v>6228</v>
      </c>
      <c r="C3042" s="20" t="s">
        <v>6229</v>
      </c>
      <c r="D3042" s="20" t="s">
        <v>6228</v>
      </c>
      <c r="E3042" s="20" t="e">
        <f t="array" ref="E3042">INDEX(C:C,SMALL(IF(ISNUMBER(FIND(CELL("contents"),$C$2:$C$4852)),ROW($C$2:$C$4852),4^8),ROW(C3042)))&amp;""</f>
        <v>#N/A</v>
      </c>
    </row>
    <row r="3043" ht="14.100000000000001" customHeight="1">
      <c r="B3043" s="20" t="s">
        <v>6230</v>
      </c>
      <c r="C3043" s="20" t="s">
        <v>6231</v>
      </c>
      <c r="D3043" s="20" t="s">
        <v>6230</v>
      </c>
      <c r="E3043" s="20" t="e">
        <f t="array" ref="E3043">INDEX(C:C,SMALL(IF(ISNUMBER(FIND(CELL("contents"),$C$2:$C$4852)),ROW($C$2:$C$4852),4^8),ROW(C3043)))&amp;""</f>
        <v>#N/A</v>
      </c>
    </row>
    <row r="3044" ht="14.100000000000001" customHeight="1">
      <c r="B3044" s="20" t="s">
        <v>6232</v>
      </c>
      <c r="C3044" s="20" t="s">
        <v>6233</v>
      </c>
      <c r="D3044" s="20" t="s">
        <v>6232</v>
      </c>
      <c r="E3044" s="20" t="e">
        <f t="array" ref="E3044">INDEX(C:C,SMALL(IF(ISNUMBER(FIND(CELL("contents"),$C$2:$C$4852)),ROW($C$2:$C$4852),4^8),ROW(C3044)))&amp;""</f>
        <v>#N/A</v>
      </c>
    </row>
    <row r="3045" ht="14.100000000000001" customHeight="1">
      <c r="B3045" s="20" t="s">
        <v>6234</v>
      </c>
      <c r="C3045" s="20" t="s">
        <v>6235</v>
      </c>
      <c r="D3045" s="20" t="s">
        <v>6234</v>
      </c>
      <c r="E3045" s="20" t="e">
        <f t="array" ref="E3045">INDEX(C:C,SMALL(IF(ISNUMBER(FIND(CELL("contents"),$C$2:$C$4852)),ROW($C$2:$C$4852),4^8),ROW(C3045)))&amp;""</f>
        <v>#N/A</v>
      </c>
    </row>
    <row r="3046" ht="14.100000000000001" customHeight="1">
      <c r="B3046" s="20" t="s">
        <v>6236</v>
      </c>
      <c r="C3046" s="20" t="s">
        <v>6237</v>
      </c>
      <c r="D3046" s="20" t="s">
        <v>6236</v>
      </c>
      <c r="E3046" s="20" t="e">
        <f t="array" ref="E3046">INDEX(C:C,SMALL(IF(ISNUMBER(FIND(CELL("contents"),$C$2:$C$4852)),ROW($C$2:$C$4852),4^8),ROW(C3046)))&amp;""</f>
        <v>#N/A</v>
      </c>
    </row>
    <row r="3047" ht="14.100000000000001" customHeight="1">
      <c r="B3047" s="20" t="s">
        <v>6238</v>
      </c>
      <c r="C3047" s="20" t="s">
        <v>6239</v>
      </c>
      <c r="D3047" s="20" t="s">
        <v>6238</v>
      </c>
      <c r="E3047" s="20" t="e">
        <f t="array" ref="E3047">INDEX(C:C,SMALL(IF(ISNUMBER(FIND(CELL("contents"),$C$2:$C$4852)),ROW($C$2:$C$4852),4^8),ROW(C3047)))&amp;""</f>
        <v>#N/A</v>
      </c>
    </row>
    <row r="3048" ht="14.100000000000001" customHeight="1">
      <c r="B3048" s="20" t="s">
        <v>6240</v>
      </c>
      <c r="C3048" s="20" t="s">
        <v>6241</v>
      </c>
      <c r="D3048" s="20" t="s">
        <v>6240</v>
      </c>
      <c r="E3048" s="20" t="e">
        <f t="array" ref="E3048">INDEX(C:C,SMALL(IF(ISNUMBER(FIND(CELL("contents"),$C$2:$C$4852)),ROW($C$2:$C$4852),4^8),ROW(C3048)))&amp;""</f>
        <v>#N/A</v>
      </c>
    </row>
    <row r="3049" ht="14.100000000000001" customHeight="1">
      <c r="B3049" s="20" t="s">
        <v>6242</v>
      </c>
      <c r="C3049" s="20" t="s">
        <v>6243</v>
      </c>
      <c r="D3049" s="20" t="s">
        <v>6242</v>
      </c>
      <c r="E3049" s="20" t="e">
        <f t="array" ref="E3049">INDEX(C:C,SMALL(IF(ISNUMBER(FIND(CELL("contents"),$C$2:$C$4852)),ROW($C$2:$C$4852),4^8),ROW(C3049)))&amp;""</f>
        <v>#N/A</v>
      </c>
    </row>
    <row r="3050" s="18" customFormat="1" ht="14.100000000000001" customHeight="1">
      <c r="A3050" s="20"/>
      <c r="B3050" s="20" t="s">
        <v>6244</v>
      </c>
      <c r="C3050" s="20" t="s">
        <v>6245</v>
      </c>
      <c r="D3050" s="20" t="s">
        <v>6244</v>
      </c>
      <c r="E3050" s="20" t="e">
        <f t="array" ref="E3050">INDEX(C:C,SMALL(IF(ISNUMBER(FIND(CELL("contents"),$C$2:$C$4852)),ROW($C$2:$C$4852),4^8),ROW(C3050)))&amp;""</f>
        <v>#N/A</v>
      </c>
      <c r="F3050" s="20"/>
      <c r="G3050" s="20"/>
      <c r="H3050" s="20"/>
      <c r="I3050" s="20"/>
      <c r="J3050" s="20"/>
      <c r="K3050" s="20"/>
      <c r="L3050" s="20"/>
      <c r="M3050" s="20"/>
      <c r="N3050" s="20"/>
      <c r="O3050" s="20"/>
      <c r="P3050" s="20"/>
      <c r="Q3050" s="20"/>
      <c r="R3050" s="20"/>
      <c r="S3050" s="20"/>
      <c r="T3050" s="20"/>
      <c r="U3050" s="20"/>
      <c r="V3050" s="20"/>
      <c r="W3050" s="20"/>
      <c r="X3050" s="20"/>
      <c r="Y3050" s="20"/>
      <c r="Z3050" s="20"/>
      <c r="AA3050" s="20"/>
      <c r="AB3050" s="20"/>
      <c r="AC3050" s="20"/>
      <c r="AD3050" s="20"/>
      <c r="AE3050" s="20"/>
      <c r="AF3050" s="20"/>
      <c r="AG3050" s="20"/>
      <c r="AH3050" s="20"/>
      <c r="AI3050" s="20"/>
      <c r="AJ3050" s="20"/>
      <c r="AK3050" s="20"/>
      <c r="AL3050" s="20"/>
      <c r="AM3050" s="20"/>
      <c r="AN3050" s="20"/>
    </row>
    <row r="3051" s="18" customFormat="1" ht="14.100000000000001" customHeight="1">
      <c r="A3051" s="20"/>
      <c r="B3051" s="20" t="s">
        <v>6246</v>
      </c>
      <c r="C3051" s="20" t="s">
        <v>6247</v>
      </c>
      <c r="D3051" s="20" t="s">
        <v>6246</v>
      </c>
      <c r="E3051" s="20" t="e">
        <f t="array" ref="E3051">INDEX(C:C,SMALL(IF(ISNUMBER(FIND(CELL("contents"),$C$2:$C$4852)),ROW($C$2:$C$4852),4^8),ROW(C3051)))&amp;""</f>
        <v>#N/A</v>
      </c>
      <c r="F3051" s="20"/>
      <c r="G3051" s="20"/>
      <c r="H3051" s="20"/>
      <c r="I3051" s="20"/>
      <c r="J3051" s="20"/>
      <c r="K3051" s="20"/>
      <c r="L3051" s="20"/>
      <c r="M3051" s="20"/>
      <c r="N3051" s="20"/>
      <c r="O3051" s="20"/>
      <c r="P3051" s="20"/>
      <c r="Q3051" s="20"/>
      <c r="R3051" s="20"/>
      <c r="S3051" s="20"/>
      <c r="T3051" s="20"/>
      <c r="U3051" s="20"/>
      <c r="V3051" s="20"/>
      <c r="W3051" s="20"/>
      <c r="X3051" s="20"/>
      <c r="Y3051" s="20"/>
      <c r="Z3051" s="20"/>
      <c r="AA3051" s="20"/>
      <c r="AB3051" s="20"/>
      <c r="AC3051" s="20"/>
      <c r="AD3051" s="20"/>
      <c r="AE3051" s="20"/>
      <c r="AF3051" s="20"/>
      <c r="AG3051" s="20"/>
      <c r="AH3051" s="20"/>
      <c r="AI3051" s="20"/>
      <c r="AJ3051" s="20"/>
      <c r="AK3051" s="20"/>
      <c r="AL3051" s="20"/>
      <c r="AM3051" s="20"/>
      <c r="AN3051" s="20"/>
    </row>
    <row r="3052" s="18" customFormat="1" ht="14.100000000000001" customHeight="1">
      <c r="A3052" s="20"/>
      <c r="B3052" s="20" t="s">
        <v>6248</v>
      </c>
      <c r="C3052" s="20" t="s">
        <v>6249</v>
      </c>
      <c r="D3052" s="20" t="s">
        <v>6248</v>
      </c>
      <c r="E3052" s="20" t="e">
        <f t="array" ref="E3052">INDEX(C:C,SMALL(IF(ISNUMBER(FIND(CELL("contents"),$C$2:$C$4852)),ROW($C$2:$C$4852),4^8),ROW(C3052)))&amp;""</f>
        <v>#N/A</v>
      </c>
      <c r="F3052" s="20"/>
      <c r="G3052" s="20"/>
      <c r="H3052" s="20"/>
      <c r="I3052" s="20"/>
      <c r="J3052" s="20"/>
      <c r="K3052" s="20"/>
      <c r="L3052" s="20"/>
      <c r="M3052" s="20"/>
      <c r="N3052" s="20"/>
      <c r="O3052" s="20"/>
      <c r="P3052" s="20"/>
      <c r="Q3052" s="20"/>
      <c r="R3052" s="20"/>
      <c r="S3052" s="20"/>
      <c r="T3052" s="20"/>
      <c r="U3052" s="20"/>
      <c r="V3052" s="20"/>
      <c r="W3052" s="20"/>
      <c r="X3052" s="20"/>
      <c r="Y3052" s="20"/>
      <c r="Z3052" s="20"/>
      <c r="AA3052" s="20"/>
      <c r="AB3052" s="20"/>
      <c r="AC3052" s="20"/>
      <c r="AD3052" s="20"/>
      <c r="AE3052" s="20"/>
      <c r="AF3052" s="20"/>
      <c r="AG3052" s="20"/>
      <c r="AH3052" s="20"/>
      <c r="AI3052" s="20"/>
      <c r="AJ3052" s="20"/>
      <c r="AK3052" s="20"/>
      <c r="AL3052" s="20"/>
      <c r="AM3052" s="20"/>
      <c r="AN3052" s="20"/>
    </row>
    <row r="3053" s="18" customFormat="1" ht="14.100000000000001" customHeight="1">
      <c r="A3053" s="20"/>
      <c r="B3053" s="20" t="s">
        <v>6250</v>
      </c>
      <c r="C3053" s="20" t="s">
        <v>6251</v>
      </c>
      <c r="D3053" s="20" t="s">
        <v>6250</v>
      </c>
      <c r="E3053" s="20" t="e">
        <f t="array" ref="E3053">INDEX(C:C,SMALL(IF(ISNUMBER(FIND(CELL("contents"),$C$2:$C$4852)),ROW($C$2:$C$4852),4^8),ROW(C3053)))&amp;""</f>
        <v>#N/A</v>
      </c>
      <c r="F3053" s="20"/>
      <c r="G3053" s="20"/>
      <c r="H3053" s="20"/>
      <c r="I3053" s="20"/>
      <c r="J3053" s="20"/>
      <c r="K3053" s="20"/>
      <c r="L3053" s="20"/>
      <c r="M3053" s="20"/>
      <c r="N3053" s="20"/>
      <c r="O3053" s="20"/>
      <c r="P3053" s="20"/>
      <c r="Q3053" s="20"/>
      <c r="R3053" s="20"/>
      <c r="S3053" s="20"/>
      <c r="T3053" s="20"/>
      <c r="U3053" s="20"/>
      <c r="V3053" s="20"/>
      <c r="W3053" s="20"/>
      <c r="X3053" s="20"/>
      <c r="Y3053" s="20"/>
      <c r="Z3053" s="20"/>
      <c r="AA3053" s="20"/>
      <c r="AB3053" s="20"/>
      <c r="AC3053" s="20"/>
      <c r="AD3053" s="20"/>
      <c r="AE3053" s="20"/>
      <c r="AF3053" s="20"/>
      <c r="AG3053" s="20"/>
      <c r="AH3053" s="20"/>
      <c r="AI3053" s="20"/>
      <c r="AJ3053" s="20"/>
      <c r="AK3053" s="20"/>
      <c r="AL3053" s="20"/>
      <c r="AM3053" s="20"/>
      <c r="AN3053" s="20"/>
    </row>
    <row r="3054" s="18" customFormat="1" ht="14.100000000000001" customHeight="1">
      <c r="A3054" s="20"/>
      <c r="B3054" s="20" t="s">
        <v>6252</v>
      </c>
      <c r="C3054" s="20" t="s">
        <v>6253</v>
      </c>
      <c r="D3054" s="20" t="s">
        <v>6252</v>
      </c>
      <c r="E3054" s="20" t="e">
        <f t="array" ref="E3054">INDEX(C:C,SMALL(IF(ISNUMBER(FIND(CELL("contents"),$C$2:$C$4852)),ROW($C$2:$C$4852),4^8),ROW(C3054)))&amp;""</f>
        <v>#N/A</v>
      </c>
      <c r="F3054" s="20"/>
      <c r="G3054" s="20"/>
      <c r="H3054" s="20"/>
      <c r="I3054" s="20"/>
      <c r="J3054" s="20"/>
      <c r="K3054" s="20"/>
      <c r="L3054" s="20"/>
      <c r="M3054" s="20"/>
      <c r="N3054" s="20"/>
      <c r="O3054" s="20"/>
      <c r="P3054" s="20"/>
      <c r="Q3054" s="20"/>
      <c r="R3054" s="20"/>
      <c r="S3054" s="20"/>
      <c r="T3054" s="20"/>
      <c r="U3054" s="20"/>
      <c r="V3054" s="20"/>
      <c r="W3054" s="20"/>
      <c r="X3054" s="20"/>
      <c r="Y3054" s="20"/>
      <c r="Z3054" s="20"/>
      <c r="AA3054" s="20"/>
      <c r="AB3054" s="20"/>
      <c r="AC3054" s="20"/>
      <c r="AD3054" s="20"/>
      <c r="AE3054" s="20"/>
      <c r="AF3054" s="20"/>
      <c r="AG3054" s="20"/>
      <c r="AH3054" s="20"/>
      <c r="AI3054" s="20"/>
      <c r="AJ3054" s="20"/>
      <c r="AK3054" s="20"/>
      <c r="AL3054" s="20"/>
      <c r="AM3054" s="20"/>
      <c r="AN3054" s="20"/>
    </row>
    <row r="3055" s="18" customFormat="1" ht="14.100000000000001" customHeight="1">
      <c r="A3055" s="20"/>
      <c r="B3055" s="20" t="s">
        <v>6254</v>
      </c>
      <c r="C3055" s="20" t="s">
        <v>6255</v>
      </c>
      <c r="D3055" s="20" t="s">
        <v>6254</v>
      </c>
      <c r="E3055" s="20" t="e">
        <f t="array" ref="E3055">INDEX(C:C,SMALL(IF(ISNUMBER(FIND(CELL("contents"),$C$2:$C$4852)),ROW($C$2:$C$4852),4^8),ROW(C3055)))&amp;""</f>
        <v>#N/A</v>
      </c>
      <c r="F3055" s="20"/>
      <c r="G3055" s="20"/>
      <c r="H3055" s="20"/>
      <c r="I3055" s="20"/>
      <c r="J3055" s="20"/>
      <c r="K3055" s="20"/>
      <c r="L3055" s="20"/>
      <c r="M3055" s="20"/>
      <c r="N3055" s="20"/>
      <c r="O3055" s="20"/>
      <c r="P3055" s="20"/>
      <c r="Q3055" s="20"/>
      <c r="R3055" s="20"/>
      <c r="S3055" s="20"/>
      <c r="T3055" s="20"/>
      <c r="U3055" s="20"/>
      <c r="V3055" s="20"/>
      <c r="W3055" s="20"/>
      <c r="X3055" s="20"/>
      <c r="Y3055" s="20"/>
      <c r="Z3055" s="20"/>
      <c r="AA3055" s="20"/>
      <c r="AB3055" s="20"/>
      <c r="AC3055" s="20"/>
      <c r="AD3055" s="20"/>
      <c r="AE3055" s="20"/>
      <c r="AF3055" s="20"/>
      <c r="AG3055" s="20"/>
      <c r="AH3055" s="20"/>
      <c r="AI3055" s="20"/>
      <c r="AJ3055" s="20"/>
      <c r="AK3055" s="20"/>
      <c r="AL3055" s="20"/>
      <c r="AM3055" s="20"/>
      <c r="AN3055" s="20"/>
    </row>
    <row r="3056" s="18" customFormat="1" ht="14.100000000000001" customHeight="1">
      <c r="A3056" s="20"/>
      <c r="B3056" s="20" t="s">
        <v>6256</v>
      </c>
      <c r="C3056" s="20" t="s">
        <v>6257</v>
      </c>
      <c r="D3056" s="20" t="s">
        <v>6256</v>
      </c>
      <c r="E3056" s="20" t="e">
        <f t="array" ref="E3056">INDEX(C:C,SMALL(IF(ISNUMBER(FIND(CELL("contents"),$C$2:$C$4852)),ROW($C$2:$C$4852),4^8),ROW(C3056)))&amp;""</f>
        <v>#N/A</v>
      </c>
      <c r="F3056" s="20"/>
      <c r="G3056" s="20"/>
      <c r="H3056" s="20"/>
      <c r="I3056" s="20"/>
      <c r="J3056" s="20"/>
      <c r="K3056" s="20"/>
      <c r="L3056" s="20"/>
      <c r="M3056" s="20"/>
      <c r="N3056" s="20"/>
      <c r="O3056" s="20"/>
      <c r="P3056" s="20"/>
      <c r="Q3056" s="20"/>
      <c r="R3056" s="20"/>
      <c r="S3056" s="20"/>
      <c r="T3056" s="20"/>
      <c r="U3056" s="20"/>
      <c r="V3056" s="20"/>
      <c r="W3056" s="20"/>
      <c r="X3056" s="20"/>
      <c r="Y3056" s="20"/>
      <c r="Z3056" s="20"/>
      <c r="AA3056" s="20"/>
      <c r="AB3056" s="20"/>
      <c r="AC3056" s="20"/>
      <c r="AD3056" s="20"/>
      <c r="AE3056" s="20"/>
      <c r="AF3056" s="20"/>
      <c r="AG3056" s="20"/>
      <c r="AH3056" s="20"/>
      <c r="AI3056" s="20"/>
      <c r="AJ3056" s="20"/>
      <c r="AK3056" s="20"/>
      <c r="AL3056" s="20"/>
      <c r="AM3056" s="20"/>
      <c r="AN3056" s="20"/>
    </row>
    <row r="3057" s="18" customFormat="1" ht="14.100000000000001" customHeight="1">
      <c r="A3057" s="20"/>
      <c r="B3057" s="20" t="s">
        <v>6258</v>
      </c>
      <c r="C3057" s="20" t="s">
        <v>6259</v>
      </c>
      <c r="D3057" s="20" t="s">
        <v>6258</v>
      </c>
      <c r="E3057" s="20" t="e">
        <f t="array" ref="E3057">INDEX(C:C,SMALL(IF(ISNUMBER(FIND(CELL("contents"),$C$2:$C$4852)),ROW($C$2:$C$4852),4^8),ROW(C3057)))&amp;""</f>
        <v>#N/A</v>
      </c>
      <c r="F3057" s="20"/>
      <c r="G3057" s="20"/>
      <c r="H3057" s="20"/>
      <c r="I3057" s="20"/>
      <c r="J3057" s="20"/>
      <c r="K3057" s="20"/>
      <c r="L3057" s="20"/>
      <c r="M3057" s="20"/>
      <c r="N3057" s="20"/>
      <c r="O3057" s="20"/>
      <c r="P3057" s="20"/>
      <c r="Q3057" s="20"/>
      <c r="R3057" s="20"/>
      <c r="S3057" s="20"/>
      <c r="T3057" s="20"/>
      <c r="U3057" s="20"/>
      <c r="V3057" s="20"/>
      <c r="W3057" s="20"/>
      <c r="X3057" s="20"/>
      <c r="Y3057" s="20"/>
      <c r="Z3057" s="20"/>
      <c r="AA3057" s="20"/>
      <c r="AB3057" s="20"/>
      <c r="AC3057" s="20"/>
      <c r="AD3057" s="20"/>
      <c r="AE3057" s="20"/>
      <c r="AF3057" s="20"/>
      <c r="AG3057" s="20"/>
      <c r="AH3057" s="20"/>
      <c r="AI3057" s="20"/>
      <c r="AJ3057" s="20"/>
      <c r="AK3057" s="20"/>
      <c r="AL3057" s="20"/>
      <c r="AM3057" s="20"/>
      <c r="AN3057" s="20"/>
    </row>
    <row r="3058" s="18" customFormat="1" ht="14.100000000000001" customHeight="1">
      <c r="A3058" s="20"/>
      <c r="B3058" s="20" t="s">
        <v>6260</v>
      </c>
      <c r="C3058" s="20" t="s">
        <v>6261</v>
      </c>
      <c r="D3058" s="20" t="s">
        <v>6260</v>
      </c>
      <c r="E3058" s="20" t="e">
        <f t="array" ref="E3058">INDEX(C:C,SMALL(IF(ISNUMBER(FIND(CELL("contents"),$C$2:$C$4852)),ROW($C$2:$C$4852),4^8),ROW(C3058)))&amp;""</f>
        <v>#N/A</v>
      </c>
      <c r="F3058" s="20"/>
      <c r="G3058" s="20"/>
      <c r="H3058" s="20"/>
      <c r="I3058" s="20"/>
      <c r="J3058" s="20"/>
      <c r="K3058" s="20"/>
      <c r="L3058" s="20"/>
      <c r="M3058" s="20"/>
      <c r="N3058" s="20"/>
      <c r="O3058" s="20"/>
      <c r="P3058" s="20"/>
      <c r="Q3058" s="20"/>
      <c r="R3058" s="20"/>
      <c r="S3058" s="20"/>
      <c r="T3058" s="20"/>
      <c r="U3058" s="20"/>
      <c r="V3058" s="20"/>
      <c r="W3058" s="20"/>
      <c r="X3058" s="20"/>
      <c r="Y3058" s="20"/>
      <c r="Z3058" s="20"/>
      <c r="AA3058" s="20"/>
      <c r="AB3058" s="20"/>
      <c r="AC3058" s="20"/>
      <c r="AD3058" s="20"/>
      <c r="AE3058" s="20"/>
      <c r="AF3058" s="20"/>
      <c r="AG3058" s="20"/>
      <c r="AH3058" s="20"/>
      <c r="AI3058" s="20"/>
      <c r="AJ3058" s="20"/>
      <c r="AK3058" s="20"/>
      <c r="AL3058" s="20"/>
      <c r="AM3058" s="20"/>
      <c r="AN3058" s="20"/>
    </row>
    <row r="3059" s="18" customFormat="1" ht="14.100000000000001" customHeight="1">
      <c r="A3059" s="20"/>
      <c r="B3059" s="20" t="s">
        <v>6262</v>
      </c>
      <c r="C3059" s="20" t="s">
        <v>6263</v>
      </c>
      <c r="D3059" s="20" t="s">
        <v>6262</v>
      </c>
      <c r="E3059" s="20" t="e">
        <f t="array" ref="E3059">INDEX(C:C,SMALL(IF(ISNUMBER(FIND(CELL("contents"),$C$2:$C$4852)),ROW($C$2:$C$4852),4^8),ROW(C3059)))&amp;""</f>
        <v>#N/A</v>
      </c>
      <c r="F3059" s="20"/>
      <c r="G3059" s="20"/>
      <c r="H3059" s="20"/>
      <c r="I3059" s="20"/>
      <c r="J3059" s="20"/>
      <c r="K3059" s="20"/>
      <c r="L3059" s="20"/>
      <c r="M3059" s="20"/>
      <c r="N3059" s="20"/>
      <c r="O3059" s="20"/>
      <c r="P3059" s="20"/>
      <c r="Q3059" s="20"/>
      <c r="R3059" s="20"/>
      <c r="S3059" s="20"/>
      <c r="T3059" s="20"/>
      <c r="U3059" s="20"/>
      <c r="V3059" s="20"/>
      <c r="W3059" s="20"/>
      <c r="X3059" s="20"/>
      <c r="Y3059" s="20"/>
      <c r="Z3059" s="20"/>
      <c r="AA3059" s="20"/>
      <c r="AB3059" s="20"/>
      <c r="AC3059" s="20"/>
      <c r="AD3059" s="20"/>
      <c r="AE3059" s="20"/>
      <c r="AF3059" s="20"/>
      <c r="AG3059" s="20"/>
      <c r="AH3059" s="20"/>
      <c r="AI3059" s="20"/>
      <c r="AJ3059" s="20"/>
      <c r="AK3059" s="20"/>
      <c r="AL3059" s="20"/>
      <c r="AM3059" s="20"/>
      <c r="AN3059" s="20"/>
    </row>
    <row r="3060" s="18" customFormat="1" ht="14.100000000000001" customHeight="1">
      <c r="A3060" s="20"/>
      <c r="B3060" s="20" t="s">
        <v>6264</v>
      </c>
      <c r="C3060" s="20" t="s">
        <v>6265</v>
      </c>
      <c r="D3060" s="20" t="s">
        <v>6264</v>
      </c>
      <c r="E3060" s="20" t="e">
        <f t="array" ref="E3060">INDEX(C:C,SMALL(IF(ISNUMBER(FIND(CELL("contents"),$C$2:$C$4852)),ROW($C$2:$C$4852),4^8),ROW(C3060)))&amp;""</f>
        <v>#N/A</v>
      </c>
      <c r="F3060" s="20"/>
      <c r="G3060" s="20"/>
      <c r="H3060" s="20"/>
      <c r="I3060" s="20"/>
      <c r="J3060" s="20"/>
      <c r="K3060" s="20"/>
      <c r="L3060" s="20"/>
      <c r="M3060" s="20"/>
      <c r="N3060" s="20"/>
      <c r="O3060" s="20"/>
      <c r="P3060" s="20"/>
      <c r="Q3060" s="20"/>
      <c r="R3060" s="20"/>
      <c r="S3060" s="20"/>
      <c r="T3060" s="20"/>
      <c r="U3060" s="20"/>
      <c r="V3060" s="20"/>
      <c r="W3060" s="20"/>
      <c r="X3060" s="20"/>
      <c r="Y3060" s="20"/>
      <c r="Z3060" s="20"/>
      <c r="AA3060" s="20"/>
      <c r="AB3060" s="20"/>
      <c r="AC3060" s="20"/>
      <c r="AD3060" s="20"/>
      <c r="AE3060" s="20"/>
      <c r="AF3060" s="20"/>
      <c r="AG3060" s="20"/>
      <c r="AH3060" s="20"/>
      <c r="AI3060" s="20"/>
      <c r="AJ3060" s="20"/>
      <c r="AK3060" s="20"/>
      <c r="AL3060" s="20"/>
      <c r="AM3060" s="20"/>
      <c r="AN3060" s="20"/>
    </row>
    <row r="3061" s="18" customFormat="1" ht="14.100000000000001" customHeight="1">
      <c r="A3061" s="20"/>
      <c r="B3061" s="20" t="s">
        <v>6266</v>
      </c>
      <c r="C3061" s="20" t="s">
        <v>6267</v>
      </c>
      <c r="D3061" s="20" t="s">
        <v>6266</v>
      </c>
      <c r="E3061" s="20" t="e">
        <f t="array" ref="E3061">INDEX(C:C,SMALL(IF(ISNUMBER(FIND(CELL("contents"),$C$2:$C$4852)),ROW($C$2:$C$4852),4^8),ROW(C3061)))&amp;""</f>
        <v>#N/A</v>
      </c>
      <c r="F3061" s="20"/>
      <c r="G3061" s="20"/>
      <c r="H3061" s="20"/>
      <c r="I3061" s="20"/>
      <c r="J3061" s="20"/>
      <c r="K3061" s="20"/>
      <c r="L3061" s="20"/>
      <c r="M3061" s="20"/>
      <c r="N3061" s="20"/>
      <c r="O3061" s="20"/>
      <c r="P3061" s="20"/>
      <c r="Q3061" s="20"/>
      <c r="R3061" s="20"/>
      <c r="S3061" s="20"/>
      <c r="T3061" s="20"/>
      <c r="U3061" s="20"/>
      <c r="V3061" s="20"/>
      <c r="W3061" s="20"/>
      <c r="X3061" s="20"/>
      <c r="Y3061" s="20"/>
      <c r="Z3061" s="20"/>
      <c r="AA3061" s="20"/>
      <c r="AB3061" s="20"/>
      <c r="AC3061" s="20"/>
      <c r="AD3061" s="20"/>
      <c r="AE3061" s="20"/>
      <c r="AF3061" s="20"/>
      <c r="AG3061" s="20"/>
      <c r="AH3061" s="20"/>
      <c r="AI3061" s="20"/>
      <c r="AJ3061" s="20"/>
      <c r="AK3061" s="20"/>
      <c r="AL3061" s="20"/>
      <c r="AM3061" s="20"/>
      <c r="AN3061" s="20"/>
    </row>
    <row r="3062" s="18" customFormat="1" ht="14.100000000000001" customHeight="1">
      <c r="A3062" s="20"/>
      <c r="B3062" s="20" t="s">
        <v>6268</v>
      </c>
      <c r="C3062" s="20" t="s">
        <v>6269</v>
      </c>
      <c r="D3062" s="20" t="s">
        <v>6268</v>
      </c>
      <c r="E3062" s="20" t="e">
        <f t="array" ref="E3062">INDEX(C:C,SMALL(IF(ISNUMBER(FIND(CELL("contents"),$C$2:$C$4852)),ROW($C$2:$C$4852),4^8),ROW(C3062)))&amp;""</f>
        <v>#N/A</v>
      </c>
      <c r="F3062" s="20"/>
      <c r="G3062" s="20"/>
      <c r="H3062" s="20"/>
      <c r="I3062" s="20"/>
      <c r="J3062" s="20"/>
      <c r="K3062" s="20"/>
      <c r="L3062" s="20"/>
      <c r="M3062" s="20"/>
      <c r="N3062" s="20"/>
      <c r="O3062" s="20"/>
      <c r="P3062" s="20"/>
      <c r="Q3062" s="20"/>
      <c r="R3062" s="20"/>
      <c r="S3062" s="20"/>
      <c r="T3062" s="20"/>
      <c r="U3062" s="20"/>
      <c r="V3062" s="20"/>
      <c r="W3062" s="20"/>
      <c r="X3062" s="20"/>
      <c r="Y3062" s="20"/>
      <c r="Z3062" s="20"/>
      <c r="AA3062" s="20"/>
      <c r="AB3062" s="20"/>
      <c r="AC3062" s="20"/>
      <c r="AD3062" s="20"/>
      <c r="AE3062" s="20"/>
      <c r="AF3062" s="20"/>
      <c r="AG3062" s="20"/>
      <c r="AH3062" s="20"/>
      <c r="AI3062" s="20"/>
      <c r="AJ3062" s="20"/>
      <c r="AK3062" s="20"/>
      <c r="AL3062" s="20"/>
      <c r="AM3062" s="20"/>
      <c r="AN3062" s="20"/>
    </row>
    <row r="3063" s="18" customFormat="1" ht="14.100000000000001" customHeight="1">
      <c r="A3063" s="20"/>
      <c r="B3063" s="20" t="s">
        <v>6270</v>
      </c>
      <c r="C3063" s="20" t="s">
        <v>6271</v>
      </c>
      <c r="D3063" s="20" t="s">
        <v>6270</v>
      </c>
      <c r="E3063" s="20" t="e">
        <f t="array" ref="E3063">INDEX(C:C,SMALL(IF(ISNUMBER(FIND(CELL("contents"),$C$2:$C$4852)),ROW($C$2:$C$4852),4^8),ROW(C3063)))&amp;""</f>
        <v>#N/A</v>
      </c>
      <c r="F3063" s="20"/>
      <c r="G3063" s="20"/>
      <c r="H3063" s="20"/>
      <c r="I3063" s="20"/>
      <c r="J3063" s="20"/>
      <c r="K3063" s="20"/>
      <c r="L3063" s="20"/>
      <c r="M3063" s="20"/>
      <c r="N3063" s="20"/>
      <c r="O3063" s="20"/>
      <c r="P3063" s="20"/>
      <c r="Q3063" s="20"/>
      <c r="R3063" s="20"/>
      <c r="S3063" s="20"/>
      <c r="T3063" s="20"/>
      <c r="U3063" s="20"/>
      <c r="V3063" s="20"/>
      <c r="W3063" s="20"/>
      <c r="X3063" s="20"/>
      <c r="Y3063" s="20"/>
      <c r="Z3063" s="20"/>
      <c r="AA3063" s="20"/>
      <c r="AB3063" s="20"/>
      <c r="AC3063" s="20"/>
      <c r="AD3063" s="20"/>
      <c r="AE3063" s="20"/>
      <c r="AF3063" s="20"/>
      <c r="AG3063" s="20"/>
      <c r="AH3063" s="20"/>
      <c r="AI3063" s="20"/>
      <c r="AJ3063" s="20"/>
      <c r="AK3063" s="20"/>
      <c r="AL3063" s="20"/>
      <c r="AM3063" s="20"/>
      <c r="AN3063" s="20"/>
    </row>
    <row r="3064" s="18" customFormat="1" ht="14.100000000000001" customHeight="1">
      <c r="A3064" s="20"/>
      <c r="B3064" s="20" t="s">
        <v>6272</v>
      </c>
      <c r="C3064" s="20" t="s">
        <v>6273</v>
      </c>
      <c r="D3064" s="20" t="s">
        <v>6272</v>
      </c>
      <c r="E3064" s="20" t="e">
        <f t="array" ref="E3064">INDEX(C:C,SMALL(IF(ISNUMBER(FIND(CELL("contents"),$C$2:$C$4852)),ROW($C$2:$C$4852),4^8),ROW(C3064)))&amp;""</f>
        <v>#N/A</v>
      </c>
      <c r="F3064" s="20"/>
      <c r="G3064" s="20"/>
      <c r="H3064" s="20"/>
      <c r="I3064" s="20"/>
      <c r="J3064" s="20"/>
      <c r="K3064" s="20"/>
      <c r="L3064" s="20"/>
      <c r="M3064" s="20"/>
      <c r="N3064" s="20"/>
      <c r="O3064" s="20"/>
      <c r="P3064" s="20"/>
      <c r="Q3064" s="20"/>
      <c r="R3064" s="20"/>
      <c r="S3064" s="20"/>
      <c r="T3064" s="20"/>
      <c r="U3064" s="20"/>
      <c r="V3064" s="20"/>
      <c r="W3064" s="20"/>
      <c r="X3064" s="20"/>
      <c r="Y3064" s="20"/>
      <c r="Z3064" s="20"/>
      <c r="AA3064" s="20"/>
      <c r="AB3064" s="20"/>
      <c r="AC3064" s="20"/>
      <c r="AD3064" s="20"/>
      <c r="AE3064" s="20"/>
      <c r="AF3064" s="20"/>
      <c r="AG3064" s="20"/>
      <c r="AH3064" s="20"/>
      <c r="AI3064" s="20"/>
      <c r="AJ3064" s="20"/>
      <c r="AK3064" s="20"/>
      <c r="AL3064" s="20"/>
      <c r="AM3064" s="20"/>
      <c r="AN3064" s="20"/>
    </row>
    <row r="3065" s="18" customFormat="1" ht="14.100000000000001" customHeight="1">
      <c r="A3065" s="20"/>
      <c r="B3065" s="20" t="s">
        <v>6274</v>
      </c>
      <c r="C3065" s="20" t="s">
        <v>6275</v>
      </c>
      <c r="D3065" s="20" t="s">
        <v>6274</v>
      </c>
      <c r="E3065" s="20" t="e">
        <f t="array" ref="E3065">INDEX(C:C,SMALL(IF(ISNUMBER(FIND(CELL("contents"),$C$2:$C$4852)),ROW($C$2:$C$4852),4^8),ROW(C3065)))&amp;""</f>
        <v>#N/A</v>
      </c>
      <c r="F3065" s="20"/>
      <c r="G3065" s="20"/>
      <c r="H3065" s="20"/>
      <c r="I3065" s="20"/>
      <c r="J3065" s="20"/>
      <c r="K3065" s="20"/>
      <c r="L3065" s="20"/>
      <c r="M3065" s="20"/>
      <c r="N3065" s="20"/>
      <c r="O3065" s="20"/>
      <c r="P3065" s="20"/>
      <c r="Q3065" s="20"/>
      <c r="R3065" s="20"/>
      <c r="S3065" s="20"/>
      <c r="T3065" s="20"/>
      <c r="U3065" s="20"/>
      <c r="V3065" s="20"/>
      <c r="W3065" s="20"/>
      <c r="X3065" s="20"/>
      <c r="Y3065" s="20"/>
      <c r="Z3065" s="20"/>
      <c r="AA3065" s="20"/>
      <c r="AB3065" s="20"/>
      <c r="AC3065" s="20"/>
      <c r="AD3065" s="20"/>
      <c r="AE3065" s="20"/>
      <c r="AF3065" s="20"/>
      <c r="AG3065" s="20"/>
      <c r="AH3065" s="20"/>
      <c r="AI3065" s="20"/>
      <c r="AJ3065" s="20"/>
      <c r="AK3065" s="20"/>
      <c r="AL3065" s="20"/>
      <c r="AM3065" s="20"/>
      <c r="AN3065" s="20"/>
    </row>
    <row r="3066" s="18" customFormat="1" ht="14.100000000000001" customHeight="1">
      <c r="A3066" s="20"/>
      <c r="B3066" s="20" t="s">
        <v>6276</v>
      </c>
      <c r="C3066" s="20" t="s">
        <v>6277</v>
      </c>
      <c r="D3066" s="20" t="s">
        <v>6276</v>
      </c>
      <c r="E3066" s="20" t="e">
        <f t="array" ref="E3066">INDEX(C:C,SMALL(IF(ISNUMBER(FIND(CELL("contents"),$C$2:$C$4852)),ROW($C$2:$C$4852),4^8),ROW(C3066)))&amp;""</f>
        <v>#N/A</v>
      </c>
      <c r="F3066" s="20"/>
      <c r="G3066" s="20"/>
      <c r="H3066" s="20"/>
      <c r="I3066" s="20"/>
      <c r="J3066" s="20"/>
      <c r="K3066" s="20"/>
      <c r="L3066" s="20"/>
      <c r="M3066" s="20"/>
      <c r="N3066" s="20"/>
      <c r="O3066" s="20"/>
      <c r="P3066" s="20"/>
      <c r="Q3066" s="20"/>
      <c r="R3066" s="20"/>
      <c r="S3066" s="20"/>
      <c r="T3066" s="20"/>
      <c r="U3066" s="20"/>
      <c r="V3066" s="20"/>
      <c r="W3066" s="20"/>
      <c r="X3066" s="20"/>
      <c r="Y3066" s="20"/>
      <c r="Z3066" s="20"/>
      <c r="AA3066" s="20"/>
      <c r="AB3066" s="20"/>
      <c r="AC3066" s="20"/>
      <c r="AD3066" s="20"/>
      <c r="AE3066" s="20"/>
      <c r="AF3066" s="20"/>
      <c r="AG3066" s="20"/>
      <c r="AH3066" s="20"/>
      <c r="AI3066" s="20"/>
      <c r="AJ3066" s="20"/>
      <c r="AK3066" s="20"/>
      <c r="AL3066" s="20"/>
      <c r="AM3066" s="20"/>
      <c r="AN3066" s="20"/>
    </row>
    <row r="3067" s="18" customFormat="1" ht="14.100000000000001" customHeight="1">
      <c r="A3067" s="20"/>
      <c r="B3067" s="20" t="s">
        <v>6278</v>
      </c>
      <c r="C3067" s="20" t="s">
        <v>6279</v>
      </c>
      <c r="D3067" s="20" t="s">
        <v>6278</v>
      </c>
      <c r="E3067" s="20" t="e">
        <f t="array" ref="E3067">INDEX(C:C,SMALL(IF(ISNUMBER(FIND(CELL("contents"),$C$2:$C$4852)),ROW($C$2:$C$4852),4^8),ROW(C3067)))&amp;""</f>
        <v>#N/A</v>
      </c>
      <c r="F3067" s="20"/>
      <c r="G3067" s="20"/>
      <c r="H3067" s="20"/>
      <c r="I3067" s="20"/>
      <c r="J3067" s="20"/>
      <c r="K3067" s="20"/>
      <c r="L3067" s="20"/>
      <c r="M3067" s="20"/>
      <c r="N3067" s="20"/>
      <c r="O3067" s="20"/>
      <c r="P3067" s="20"/>
      <c r="Q3067" s="20"/>
      <c r="R3067" s="20"/>
      <c r="S3067" s="20"/>
      <c r="T3067" s="20"/>
      <c r="U3067" s="20"/>
      <c r="V3067" s="20"/>
      <c r="W3067" s="20"/>
      <c r="X3067" s="20"/>
      <c r="Y3067" s="20"/>
      <c r="Z3067" s="20"/>
      <c r="AA3067" s="20"/>
      <c r="AB3067" s="20"/>
      <c r="AC3067" s="20"/>
      <c r="AD3067" s="20"/>
      <c r="AE3067" s="20"/>
      <c r="AF3067" s="20"/>
      <c r="AG3067" s="20"/>
      <c r="AH3067" s="20"/>
      <c r="AI3067" s="20"/>
      <c r="AJ3067" s="20"/>
      <c r="AK3067" s="20"/>
      <c r="AL3067" s="20"/>
      <c r="AM3067" s="20"/>
      <c r="AN3067" s="20"/>
    </row>
    <row r="3068" s="18" customFormat="1" ht="14.100000000000001" customHeight="1">
      <c r="A3068" s="20"/>
      <c r="B3068" s="20" t="s">
        <v>6280</v>
      </c>
      <c r="C3068" s="20" t="s">
        <v>6281</v>
      </c>
      <c r="D3068" s="20" t="s">
        <v>6280</v>
      </c>
      <c r="E3068" s="20" t="e">
        <f t="array" ref="E3068">INDEX(C:C,SMALL(IF(ISNUMBER(FIND(CELL("contents"),$C$2:$C$4852)),ROW($C$2:$C$4852),4^8),ROW(C3068)))&amp;""</f>
        <v>#N/A</v>
      </c>
      <c r="F3068" s="20"/>
      <c r="G3068" s="20"/>
      <c r="H3068" s="20"/>
      <c r="I3068" s="20"/>
      <c r="J3068" s="20"/>
      <c r="K3068" s="20"/>
      <c r="L3068" s="20"/>
      <c r="M3068" s="20"/>
      <c r="N3068" s="20"/>
      <c r="O3068" s="20"/>
      <c r="P3068" s="20"/>
      <c r="Q3068" s="20"/>
      <c r="R3068" s="20"/>
      <c r="S3068" s="20"/>
      <c r="T3068" s="20"/>
      <c r="U3068" s="20"/>
      <c r="V3068" s="20"/>
      <c r="W3068" s="20"/>
      <c r="X3068" s="20"/>
      <c r="Y3068" s="20"/>
      <c r="Z3068" s="20"/>
      <c r="AA3068" s="20"/>
      <c r="AB3068" s="20"/>
      <c r="AC3068" s="20"/>
      <c r="AD3068" s="20"/>
      <c r="AE3068" s="20"/>
      <c r="AF3068" s="20"/>
      <c r="AG3068" s="20"/>
      <c r="AH3068" s="20"/>
      <c r="AI3068" s="20"/>
      <c r="AJ3068" s="20"/>
      <c r="AK3068" s="20"/>
      <c r="AL3068" s="20"/>
      <c r="AM3068" s="20"/>
      <c r="AN3068" s="20"/>
    </row>
    <row r="3069" s="18" customFormat="1" ht="14.100000000000001" customHeight="1">
      <c r="A3069" s="20"/>
      <c r="B3069" s="20" t="s">
        <v>6282</v>
      </c>
      <c r="C3069" s="20" t="s">
        <v>6283</v>
      </c>
      <c r="D3069" s="20" t="s">
        <v>6282</v>
      </c>
      <c r="E3069" s="20" t="e">
        <f t="array" ref="E3069">INDEX(C:C,SMALL(IF(ISNUMBER(FIND(CELL("contents"),$C$2:$C$4852)),ROW($C$2:$C$4852),4^8),ROW(C3069)))&amp;""</f>
        <v>#N/A</v>
      </c>
      <c r="F3069" s="20"/>
      <c r="G3069" s="20"/>
      <c r="H3069" s="20"/>
      <c r="I3069" s="20"/>
      <c r="J3069" s="20"/>
      <c r="K3069" s="20"/>
      <c r="L3069" s="20"/>
      <c r="M3069" s="20"/>
      <c r="N3069" s="20"/>
      <c r="O3069" s="20"/>
      <c r="P3069" s="20"/>
      <c r="Q3069" s="20"/>
      <c r="R3069" s="20"/>
      <c r="S3069" s="20"/>
      <c r="T3069" s="20"/>
      <c r="U3069" s="20"/>
      <c r="V3069" s="20"/>
      <c r="W3069" s="20"/>
      <c r="X3069" s="20"/>
      <c r="Y3069" s="20"/>
      <c r="Z3069" s="20"/>
      <c r="AA3069" s="20"/>
      <c r="AB3069" s="20"/>
      <c r="AC3069" s="20"/>
      <c r="AD3069" s="20"/>
      <c r="AE3069" s="20"/>
      <c r="AF3069" s="20"/>
      <c r="AG3069" s="20"/>
      <c r="AH3069" s="20"/>
      <c r="AI3069" s="20"/>
      <c r="AJ3069" s="20"/>
      <c r="AK3069" s="20"/>
      <c r="AL3069" s="20"/>
      <c r="AM3069" s="20"/>
      <c r="AN3069" s="20"/>
    </row>
    <row r="3070" s="18" customFormat="1" ht="14.100000000000001" customHeight="1">
      <c r="A3070" s="20"/>
      <c r="B3070" s="20" t="s">
        <v>6284</v>
      </c>
      <c r="C3070" s="20" t="s">
        <v>6285</v>
      </c>
      <c r="D3070" s="20" t="s">
        <v>6284</v>
      </c>
      <c r="E3070" s="20" t="e">
        <f t="array" ref="E3070">INDEX(C:C,SMALL(IF(ISNUMBER(FIND(CELL("contents"),$C$2:$C$4852)),ROW($C$2:$C$4852),4^8),ROW(C3070)))&amp;""</f>
        <v>#N/A</v>
      </c>
      <c r="F3070" s="20"/>
      <c r="G3070" s="20"/>
      <c r="H3070" s="20"/>
      <c r="I3070" s="20"/>
      <c r="J3070" s="20"/>
      <c r="K3070" s="20"/>
      <c r="L3070" s="20"/>
      <c r="M3070" s="20"/>
      <c r="N3070" s="20"/>
      <c r="O3070" s="20"/>
      <c r="P3070" s="20"/>
      <c r="Q3070" s="20"/>
      <c r="R3070" s="20"/>
      <c r="S3070" s="20"/>
      <c r="T3070" s="20"/>
      <c r="U3070" s="20"/>
      <c r="V3070" s="20"/>
      <c r="W3070" s="20"/>
      <c r="X3070" s="20"/>
      <c r="Y3070" s="20"/>
      <c r="Z3070" s="20"/>
      <c r="AA3070" s="20"/>
      <c r="AB3070" s="20"/>
      <c r="AC3070" s="20"/>
      <c r="AD3070" s="20"/>
      <c r="AE3070" s="20"/>
      <c r="AF3070" s="20"/>
      <c r="AG3070" s="20"/>
      <c r="AH3070" s="20"/>
      <c r="AI3070" s="20"/>
      <c r="AJ3070" s="20"/>
      <c r="AK3070" s="20"/>
      <c r="AL3070" s="20"/>
      <c r="AM3070" s="20"/>
      <c r="AN3070" s="20"/>
    </row>
    <row r="3071" s="18" customFormat="1" ht="14.100000000000001" customHeight="1">
      <c r="A3071" s="20"/>
      <c r="B3071" s="20" t="s">
        <v>6286</v>
      </c>
      <c r="C3071" s="20" t="s">
        <v>6287</v>
      </c>
      <c r="D3071" s="20" t="s">
        <v>6286</v>
      </c>
      <c r="E3071" s="20" t="e">
        <f t="array" ref="E3071">INDEX(C:C,SMALL(IF(ISNUMBER(FIND(CELL("contents"),$C$2:$C$4852)),ROW($C$2:$C$4852),4^8),ROW(C3071)))&amp;""</f>
        <v>#N/A</v>
      </c>
      <c r="F3071" s="20"/>
      <c r="G3071" s="20"/>
      <c r="H3071" s="20"/>
      <c r="I3071" s="20"/>
      <c r="J3071" s="20"/>
      <c r="K3071" s="20"/>
      <c r="L3071" s="20"/>
      <c r="M3071" s="20"/>
      <c r="N3071" s="20"/>
      <c r="O3071" s="20"/>
      <c r="P3071" s="20"/>
      <c r="Q3071" s="20"/>
      <c r="R3071" s="20"/>
      <c r="S3071" s="20"/>
      <c r="T3071" s="20"/>
      <c r="U3071" s="20"/>
      <c r="V3071" s="20"/>
      <c r="W3071" s="20"/>
      <c r="X3071" s="20"/>
      <c r="Y3071" s="20"/>
      <c r="Z3071" s="20"/>
      <c r="AA3071" s="20"/>
      <c r="AB3071" s="20"/>
      <c r="AC3071" s="20"/>
      <c r="AD3071" s="20"/>
      <c r="AE3071" s="20"/>
      <c r="AF3071" s="20"/>
      <c r="AG3071" s="20"/>
      <c r="AH3071" s="20"/>
      <c r="AI3071" s="20"/>
      <c r="AJ3071" s="20"/>
      <c r="AK3071" s="20"/>
      <c r="AL3071" s="20"/>
      <c r="AM3071" s="20"/>
      <c r="AN3071" s="20"/>
    </row>
    <row r="3072" s="18" customFormat="1" ht="14.100000000000001" customHeight="1">
      <c r="A3072" s="20"/>
      <c r="B3072" s="20" t="s">
        <v>6288</v>
      </c>
      <c r="C3072" s="20" t="s">
        <v>6289</v>
      </c>
      <c r="D3072" s="20" t="s">
        <v>6288</v>
      </c>
      <c r="E3072" s="20" t="e">
        <f t="array" ref="E3072">INDEX(C:C,SMALL(IF(ISNUMBER(FIND(CELL("contents"),$C$2:$C$4852)),ROW($C$2:$C$4852),4^8),ROW(C3072)))&amp;""</f>
        <v>#N/A</v>
      </c>
      <c r="F3072" s="20"/>
      <c r="G3072" s="20"/>
      <c r="H3072" s="20"/>
      <c r="I3072" s="20"/>
      <c r="J3072" s="20"/>
      <c r="K3072" s="20"/>
      <c r="L3072" s="20"/>
      <c r="M3072" s="20"/>
      <c r="N3072" s="20"/>
      <c r="O3072" s="20"/>
      <c r="P3072" s="20"/>
      <c r="Q3072" s="20"/>
      <c r="R3072" s="20"/>
      <c r="S3072" s="20"/>
      <c r="T3072" s="20"/>
      <c r="U3072" s="20"/>
      <c r="V3072" s="20"/>
      <c r="W3072" s="20"/>
      <c r="X3072" s="20"/>
      <c r="Y3072" s="20"/>
      <c r="Z3072" s="20"/>
      <c r="AA3072" s="20"/>
      <c r="AB3072" s="20"/>
      <c r="AC3072" s="20"/>
      <c r="AD3072" s="20"/>
      <c r="AE3072" s="20"/>
      <c r="AF3072" s="20"/>
      <c r="AG3072" s="20"/>
      <c r="AH3072" s="20"/>
      <c r="AI3072" s="20"/>
      <c r="AJ3072" s="20"/>
      <c r="AK3072" s="20"/>
      <c r="AL3072" s="20"/>
      <c r="AM3072" s="20"/>
      <c r="AN3072" s="20"/>
    </row>
    <row r="3073" s="18" customFormat="1" ht="14.100000000000001" customHeight="1">
      <c r="A3073" s="20"/>
      <c r="B3073" s="20" t="s">
        <v>6290</v>
      </c>
      <c r="C3073" s="20" t="s">
        <v>6291</v>
      </c>
      <c r="D3073" s="20" t="s">
        <v>6290</v>
      </c>
      <c r="E3073" s="20" t="e">
        <f t="array" ref="E3073">INDEX(C:C,SMALL(IF(ISNUMBER(FIND(CELL("contents"),$C$2:$C$4852)),ROW($C$2:$C$4852),4^8),ROW(C3073)))&amp;""</f>
        <v>#N/A</v>
      </c>
      <c r="F3073" s="20"/>
      <c r="G3073" s="20"/>
      <c r="H3073" s="20"/>
      <c r="I3073" s="20"/>
      <c r="J3073" s="20"/>
      <c r="K3073" s="20"/>
      <c r="L3073" s="20"/>
      <c r="M3073" s="20"/>
      <c r="N3073" s="20"/>
      <c r="O3073" s="20"/>
      <c r="P3073" s="20"/>
      <c r="Q3073" s="20"/>
      <c r="R3073" s="20"/>
      <c r="S3073" s="20"/>
      <c r="T3073" s="20"/>
      <c r="U3073" s="20"/>
      <c r="V3073" s="20"/>
      <c r="W3073" s="20"/>
      <c r="X3073" s="20"/>
      <c r="Y3073" s="20"/>
      <c r="Z3073" s="20"/>
      <c r="AA3073" s="20"/>
      <c r="AB3073" s="20"/>
      <c r="AC3073" s="20"/>
      <c r="AD3073" s="20"/>
      <c r="AE3073" s="20"/>
      <c r="AF3073" s="20"/>
      <c r="AG3073" s="20"/>
      <c r="AH3073" s="20"/>
      <c r="AI3073" s="20"/>
      <c r="AJ3073" s="20"/>
      <c r="AK3073" s="20"/>
      <c r="AL3073" s="20"/>
      <c r="AM3073" s="20"/>
      <c r="AN3073" s="20"/>
    </row>
    <row r="3074" s="18" customFormat="1" ht="14.100000000000001" customHeight="1">
      <c r="A3074" s="20"/>
      <c r="B3074" s="20" t="s">
        <v>6292</v>
      </c>
      <c r="C3074" s="20" t="s">
        <v>6293</v>
      </c>
      <c r="D3074" s="20" t="s">
        <v>6292</v>
      </c>
      <c r="E3074" s="20" t="e">
        <f t="array" ref="E3074">INDEX(C:C,SMALL(IF(ISNUMBER(FIND(CELL("contents"),$C$2:$C$4852)),ROW($C$2:$C$4852),4^8),ROW(C3074)))&amp;""</f>
        <v>#N/A</v>
      </c>
      <c r="F3074" s="20"/>
      <c r="G3074" s="20"/>
      <c r="H3074" s="20"/>
      <c r="I3074" s="20"/>
      <c r="J3074" s="20"/>
      <c r="K3074" s="20"/>
      <c r="L3074" s="20"/>
      <c r="M3074" s="20"/>
      <c r="N3074" s="20"/>
      <c r="O3074" s="20"/>
      <c r="P3074" s="20"/>
      <c r="Q3074" s="20"/>
      <c r="R3074" s="20"/>
      <c r="S3074" s="20"/>
      <c r="T3074" s="20"/>
      <c r="U3074" s="20"/>
      <c r="V3074" s="20"/>
      <c r="W3074" s="20"/>
      <c r="X3074" s="20"/>
      <c r="Y3074" s="20"/>
      <c r="Z3074" s="20"/>
      <c r="AA3074" s="20"/>
      <c r="AB3074" s="20"/>
      <c r="AC3074" s="20"/>
      <c r="AD3074" s="20"/>
      <c r="AE3074" s="20"/>
      <c r="AF3074" s="20"/>
      <c r="AG3074" s="20"/>
      <c r="AH3074" s="20"/>
      <c r="AI3074" s="20"/>
      <c r="AJ3074" s="20"/>
      <c r="AK3074" s="20"/>
      <c r="AL3074" s="20"/>
      <c r="AM3074" s="20"/>
      <c r="AN3074" s="20"/>
    </row>
    <row r="3075" s="18" customFormat="1" ht="14.100000000000001" customHeight="1">
      <c r="A3075" s="20"/>
      <c r="B3075" s="20" t="s">
        <v>6294</v>
      </c>
      <c r="C3075" s="20" t="s">
        <v>6295</v>
      </c>
      <c r="D3075" s="20" t="s">
        <v>6294</v>
      </c>
      <c r="E3075" s="20" t="e">
        <f t="array" ref="E3075">INDEX(C:C,SMALL(IF(ISNUMBER(FIND(CELL("contents"),$C$2:$C$4852)),ROW($C$2:$C$4852),4^8),ROW(C3075)))&amp;""</f>
        <v>#N/A</v>
      </c>
      <c r="F3075" s="20"/>
      <c r="G3075" s="20"/>
      <c r="H3075" s="20"/>
      <c r="I3075" s="20"/>
      <c r="J3075" s="20"/>
      <c r="K3075" s="20"/>
      <c r="L3075" s="20"/>
      <c r="M3075" s="20"/>
      <c r="N3075" s="20"/>
      <c r="O3075" s="20"/>
      <c r="P3075" s="20"/>
      <c r="Q3075" s="20"/>
      <c r="R3075" s="20"/>
      <c r="S3075" s="20"/>
      <c r="T3075" s="20"/>
      <c r="U3075" s="20"/>
      <c r="V3075" s="20"/>
      <c r="W3075" s="20"/>
      <c r="X3075" s="20"/>
      <c r="Y3075" s="20"/>
      <c r="Z3075" s="20"/>
      <c r="AA3075" s="20"/>
      <c r="AB3075" s="20"/>
      <c r="AC3075" s="20"/>
      <c r="AD3075" s="20"/>
      <c r="AE3075" s="20"/>
      <c r="AF3075" s="20"/>
      <c r="AG3075" s="20"/>
      <c r="AH3075" s="20"/>
      <c r="AI3075" s="20"/>
      <c r="AJ3075" s="20"/>
      <c r="AK3075" s="20"/>
      <c r="AL3075" s="20"/>
      <c r="AM3075" s="20"/>
      <c r="AN3075" s="20"/>
    </row>
    <row r="3076" s="18" customFormat="1" ht="14.100000000000001" customHeight="1">
      <c r="A3076" s="20"/>
      <c r="B3076" s="20" t="s">
        <v>6296</v>
      </c>
      <c r="C3076" s="20" t="s">
        <v>6297</v>
      </c>
      <c r="D3076" s="20" t="s">
        <v>6296</v>
      </c>
      <c r="E3076" s="20" t="e">
        <f t="array" ref="E3076">INDEX(C:C,SMALL(IF(ISNUMBER(FIND(CELL("contents"),$C$2:$C$4852)),ROW($C$2:$C$4852),4^8),ROW(C3076)))&amp;""</f>
        <v>#N/A</v>
      </c>
      <c r="F3076" s="20"/>
      <c r="G3076" s="20"/>
      <c r="H3076" s="20"/>
      <c r="I3076" s="20"/>
      <c r="J3076" s="20"/>
      <c r="K3076" s="20"/>
      <c r="L3076" s="20"/>
      <c r="M3076" s="20"/>
      <c r="N3076" s="20"/>
      <c r="O3076" s="20"/>
      <c r="P3076" s="20"/>
      <c r="Q3076" s="20"/>
      <c r="R3076" s="20"/>
      <c r="S3076" s="20"/>
      <c r="T3076" s="20"/>
      <c r="U3076" s="20"/>
      <c r="V3076" s="20"/>
      <c r="W3076" s="20"/>
      <c r="X3076" s="20"/>
      <c r="Y3076" s="20"/>
      <c r="Z3076" s="20"/>
      <c r="AA3076" s="20"/>
      <c r="AB3076" s="20"/>
      <c r="AC3076" s="20"/>
      <c r="AD3076" s="20"/>
      <c r="AE3076" s="20"/>
      <c r="AF3076" s="20"/>
      <c r="AG3076" s="20"/>
      <c r="AH3076" s="20"/>
      <c r="AI3076" s="20"/>
      <c r="AJ3076" s="20"/>
      <c r="AK3076" s="20"/>
      <c r="AL3076" s="20"/>
      <c r="AM3076" s="20"/>
      <c r="AN3076" s="20"/>
    </row>
    <row r="3077" s="18" customFormat="1" ht="14.100000000000001" customHeight="1">
      <c r="A3077" s="20"/>
      <c r="B3077" s="20" t="s">
        <v>6298</v>
      </c>
      <c r="C3077" s="20" t="s">
        <v>6299</v>
      </c>
      <c r="D3077" s="20" t="s">
        <v>6298</v>
      </c>
      <c r="E3077" s="20" t="e">
        <f t="array" ref="E3077">INDEX(C:C,SMALL(IF(ISNUMBER(FIND(CELL("contents"),$C$2:$C$4852)),ROW($C$2:$C$4852),4^8),ROW(C3077)))&amp;""</f>
        <v>#N/A</v>
      </c>
      <c r="F3077" s="20"/>
      <c r="G3077" s="20"/>
      <c r="H3077" s="20"/>
      <c r="I3077" s="20"/>
      <c r="J3077" s="20"/>
      <c r="K3077" s="20"/>
      <c r="L3077" s="20"/>
      <c r="M3077" s="20"/>
      <c r="N3077" s="20"/>
      <c r="O3077" s="20"/>
      <c r="P3077" s="20"/>
      <c r="Q3077" s="20"/>
      <c r="R3077" s="20"/>
      <c r="S3077" s="20"/>
      <c r="T3077" s="20"/>
      <c r="U3077" s="20"/>
      <c r="V3077" s="20"/>
      <c r="W3077" s="20"/>
      <c r="X3077" s="20"/>
      <c r="Y3077" s="20"/>
      <c r="Z3077" s="20"/>
      <c r="AA3077" s="20"/>
      <c r="AB3077" s="20"/>
      <c r="AC3077" s="20"/>
      <c r="AD3077" s="20"/>
      <c r="AE3077" s="20"/>
      <c r="AF3077" s="20"/>
      <c r="AG3077" s="20"/>
      <c r="AH3077" s="20"/>
      <c r="AI3077" s="20"/>
      <c r="AJ3077" s="20"/>
      <c r="AK3077" s="20"/>
      <c r="AL3077" s="20"/>
      <c r="AM3077" s="20"/>
      <c r="AN3077" s="20"/>
    </row>
    <row r="3078" s="18" customFormat="1" ht="14.100000000000001" customHeight="1">
      <c r="A3078" s="20"/>
      <c r="B3078" s="20" t="s">
        <v>6300</v>
      </c>
      <c r="C3078" s="20" t="s">
        <v>6301</v>
      </c>
      <c r="D3078" s="20" t="s">
        <v>6300</v>
      </c>
      <c r="E3078" s="20" t="e">
        <f t="array" ref="E3078">INDEX(C:C,SMALL(IF(ISNUMBER(FIND(CELL("contents"),$C$2:$C$4852)),ROW($C$2:$C$4852),4^8),ROW(C3078)))&amp;""</f>
        <v>#N/A</v>
      </c>
      <c r="F3078" s="20"/>
      <c r="G3078" s="20"/>
      <c r="H3078" s="20"/>
      <c r="I3078" s="20"/>
      <c r="J3078" s="20"/>
      <c r="K3078" s="20"/>
      <c r="L3078" s="20"/>
      <c r="M3078" s="20"/>
      <c r="N3078" s="20"/>
      <c r="O3078" s="20"/>
      <c r="P3078" s="20"/>
      <c r="Q3078" s="20"/>
      <c r="R3078" s="20"/>
      <c r="S3078" s="20"/>
      <c r="T3078" s="20"/>
      <c r="U3078" s="20"/>
      <c r="V3078" s="20"/>
      <c r="W3078" s="20"/>
      <c r="X3078" s="20"/>
      <c r="Y3078" s="20"/>
      <c r="Z3078" s="20"/>
      <c r="AA3078" s="20"/>
      <c r="AB3078" s="20"/>
      <c r="AC3078" s="20"/>
      <c r="AD3078" s="20"/>
      <c r="AE3078" s="20"/>
      <c r="AF3078" s="20"/>
      <c r="AG3078" s="20"/>
      <c r="AH3078" s="20"/>
      <c r="AI3078" s="20"/>
      <c r="AJ3078" s="20"/>
      <c r="AK3078" s="20"/>
      <c r="AL3078" s="20"/>
      <c r="AM3078" s="20"/>
      <c r="AN3078" s="20"/>
    </row>
    <row r="3079" s="18" customFormat="1" ht="14.100000000000001" customHeight="1">
      <c r="A3079" s="20"/>
      <c r="B3079" s="20" t="s">
        <v>6302</v>
      </c>
      <c r="C3079" s="20" t="s">
        <v>6303</v>
      </c>
      <c r="D3079" s="20" t="s">
        <v>6302</v>
      </c>
      <c r="E3079" s="20" t="e">
        <f t="array" ref="E3079">INDEX(C:C,SMALL(IF(ISNUMBER(FIND(CELL("contents"),$C$2:$C$4852)),ROW($C$2:$C$4852),4^8),ROW(C3079)))&amp;""</f>
        <v>#N/A</v>
      </c>
      <c r="F3079" s="20"/>
      <c r="G3079" s="20"/>
      <c r="H3079" s="20"/>
      <c r="I3079" s="20"/>
      <c r="J3079" s="20"/>
      <c r="K3079" s="20"/>
      <c r="L3079" s="20"/>
      <c r="M3079" s="20"/>
      <c r="N3079" s="20"/>
      <c r="O3079" s="20"/>
      <c r="P3079" s="20"/>
      <c r="Q3079" s="20"/>
      <c r="R3079" s="20"/>
      <c r="S3079" s="20"/>
      <c r="T3079" s="20"/>
      <c r="U3079" s="20"/>
      <c r="V3079" s="20"/>
      <c r="W3079" s="20"/>
      <c r="X3079" s="20"/>
      <c r="Y3079" s="20"/>
      <c r="Z3079" s="20"/>
      <c r="AA3079" s="20"/>
      <c r="AB3079" s="20"/>
      <c r="AC3079" s="20"/>
      <c r="AD3079" s="20"/>
      <c r="AE3079" s="20"/>
      <c r="AF3079" s="20"/>
      <c r="AG3079" s="20"/>
      <c r="AH3079" s="20"/>
      <c r="AI3079" s="20"/>
      <c r="AJ3079" s="20"/>
      <c r="AK3079" s="20"/>
      <c r="AL3079" s="20"/>
      <c r="AM3079" s="20"/>
      <c r="AN3079" s="20"/>
    </row>
    <row r="3080" s="18" customFormat="1" ht="14.100000000000001" customHeight="1">
      <c r="A3080" s="20"/>
      <c r="B3080" s="20" t="s">
        <v>6304</v>
      </c>
      <c r="C3080" s="20" t="s">
        <v>6305</v>
      </c>
      <c r="D3080" s="20" t="s">
        <v>6304</v>
      </c>
      <c r="E3080" s="20" t="e">
        <f t="array" ref="E3080">INDEX(C:C,SMALL(IF(ISNUMBER(FIND(CELL("contents"),$C$2:$C$4852)),ROW($C$2:$C$4852),4^8),ROW(C3080)))&amp;""</f>
        <v>#N/A</v>
      </c>
      <c r="F3080" s="20"/>
      <c r="G3080" s="20"/>
      <c r="H3080" s="20"/>
      <c r="I3080" s="20"/>
      <c r="J3080" s="20"/>
      <c r="K3080" s="20"/>
      <c r="L3080" s="20"/>
      <c r="M3080" s="20"/>
      <c r="N3080" s="20"/>
      <c r="O3080" s="20"/>
      <c r="P3080" s="20"/>
      <c r="Q3080" s="20"/>
      <c r="R3080" s="20"/>
      <c r="S3080" s="20"/>
      <c r="T3080" s="20"/>
      <c r="U3080" s="20"/>
      <c r="V3080" s="20"/>
      <c r="W3080" s="20"/>
      <c r="X3080" s="20"/>
      <c r="Y3080" s="20"/>
      <c r="Z3080" s="20"/>
      <c r="AA3080" s="20"/>
      <c r="AB3080" s="20"/>
      <c r="AC3080" s="20"/>
      <c r="AD3080" s="20"/>
      <c r="AE3080" s="20"/>
      <c r="AF3080" s="20"/>
      <c r="AG3080" s="20"/>
      <c r="AH3080" s="20"/>
      <c r="AI3080" s="20"/>
      <c r="AJ3080" s="20"/>
      <c r="AK3080" s="20"/>
      <c r="AL3080" s="20"/>
      <c r="AM3080" s="20"/>
      <c r="AN3080" s="20"/>
    </row>
    <row r="3081" s="18" customFormat="1" ht="14.100000000000001" customHeight="1">
      <c r="A3081" s="20"/>
      <c r="B3081" s="20" t="s">
        <v>6306</v>
      </c>
      <c r="C3081" s="20" t="s">
        <v>6307</v>
      </c>
      <c r="D3081" s="20" t="s">
        <v>6306</v>
      </c>
      <c r="E3081" s="20" t="e">
        <f t="array" ref="E3081">INDEX(C:C,SMALL(IF(ISNUMBER(FIND(CELL("contents"),$C$2:$C$4852)),ROW($C$2:$C$4852),4^8),ROW(C3081)))&amp;""</f>
        <v>#N/A</v>
      </c>
      <c r="F3081" s="20"/>
      <c r="G3081" s="20"/>
      <c r="H3081" s="20"/>
      <c r="I3081" s="20"/>
      <c r="J3081" s="20"/>
      <c r="K3081" s="20"/>
      <c r="L3081" s="20"/>
      <c r="M3081" s="20"/>
      <c r="N3081" s="20"/>
      <c r="O3081" s="20"/>
      <c r="P3081" s="20"/>
      <c r="Q3081" s="20"/>
      <c r="R3081" s="20"/>
      <c r="S3081" s="20"/>
      <c r="T3081" s="20"/>
      <c r="U3081" s="20"/>
      <c r="V3081" s="20"/>
      <c r="W3081" s="20"/>
      <c r="X3081" s="20"/>
      <c r="Y3081" s="20"/>
      <c r="Z3081" s="20"/>
      <c r="AA3081" s="20"/>
      <c r="AB3081" s="20"/>
      <c r="AC3081" s="20"/>
      <c r="AD3081" s="20"/>
      <c r="AE3081" s="20"/>
      <c r="AF3081" s="20"/>
      <c r="AG3081" s="20"/>
      <c r="AH3081" s="20"/>
      <c r="AI3081" s="20"/>
      <c r="AJ3081" s="20"/>
      <c r="AK3081" s="20"/>
      <c r="AL3081" s="20"/>
      <c r="AM3081" s="20"/>
      <c r="AN3081" s="20"/>
    </row>
    <row r="3082" s="18" customFormat="1" ht="14.100000000000001" customHeight="1">
      <c r="A3082" s="20"/>
      <c r="B3082" s="20" t="s">
        <v>6308</v>
      </c>
      <c r="C3082" s="20" t="s">
        <v>6309</v>
      </c>
      <c r="D3082" s="20" t="s">
        <v>6308</v>
      </c>
      <c r="E3082" s="20" t="e">
        <f t="array" ref="E3082">INDEX(C:C,SMALL(IF(ISNUMBER(FIND(CELL("contents"),$C$2:$C$4852)),ROW($C$2:$C$4852),4^8),ROW(C3082)))&amp;""</f>
        <v>#N/A</v>
      </c>
      <c r="F3082" s="20"/>
      <c r="G3082" s="20"/>
      <c r="H3082" s="20"/>
      <c r="I3082" s="20"/>
      <c r="J3082" s="20"/>
      <c r="K3082" s="20"/>
      <c r="L3082" s="20"/>
      <c r="M3082" s="20"/>
      <c r="N3082" s="20"/>
      <c r="O3082" s="20"/>
      <c r="P3082" s="20"/>
      <c r="Q3082" s="20"/>
      <c r="R3082" s="20"/>
      <c r="S3082" s="20"/>
      <c r="T3082" s="20"/>
      <c r="U3082" s="20"/>
      <c r="V3082" s="20"/>
      <c r="W3082" s="20"/>
      <c r="X3082" s="20"/>
      <c r="Y3082" s="20"/>
      <c r="Z3082" s="20"/>
      <c r="AA3082" s="20"/>
      <c r="AB3082" s="20"/>
      <c r="AC3082" s="20"/>
      <c r="AD3082" s="20"/>
      <c r="AE3082" s="20"/>
      <c r="AF3082" s="20"/>
      <c r="AG3082" s="20"/>
      <c r="AH3082" s="20"/>
      <c r="AI3082" s="20"/>
      <c r="AJ3082" s="20"/>
      <c r="AK3082" s="20"/>
      <c r="AL3082" s="20"/>
      <c r="AM3082" s="20"/>
      <c r="AN3082" s="20"/>
    </row>
    <row r="3083" s="18" customFormat="1" ht="14.100000000000001" customHeight="1">
      <c r="A3083" s="20"/>
      <c r="B3083" s="20" t="s">
        <v>6310</v>
      </c>
      <c r="C3083" s="20" t="s">
        <v>6311</v>
      </c>
      <c r="D3083" s="20" t="s">
        <v>6310</v>
      </c>
      <c r="E3083" s="20" t="e">
        <f t="array" ref="E3083">INDEX(C:C,SMALL(IF(ISNUMBER(FIND(CELL("contents"),$C$2:$C$4852)),ROW($C$2:$C$4852),4^8),ROW(C3083)))&amp;""</f>
        <v>#N/A</v>
      </c>
      <c r="F3083" s="20"/>
      <c r="G3083" s="20"/>
      <c r="H3083" s="20"/>
      <c r="I3083" s="20"/>
      <c r="J3083" s="20"/>
      <c r="K3083" s="20"/>
      <c r="L3083" s="20"/>
      <c r="M3083" s="20"/>
      <c r="N3083" s="20"/>
      <c r="O3083" s="20"/>
      <c r="P3083" s="20"/>
      <c r="Q3083" s="20"/>
      <c r="R3083" s="20"/>
      <c r="S3083" s="20"/>
      <c r="T3083" s="20"/>
      <c r="U3083" s="20"/>
      <c r="V3083" s="20"/>
      <c r="W3083" s="20"/>
      <c r="X3083" s="20"/>
      <c r="Y3083" s="20"/>
      <c r="Z3083" s="20"/>
      <c r="AA3083" s="20"/>
      <c r="AB3083" s="20"/>
      <c r="AC3083" s="20"/>
      <c r="AD3083" s="20"/>
      <c r="AE3083" s="20"/>
      <c r="AF3083" s="20"/>
      <c r="AG3083" s="20"/>
      <c r="AH3083" s="20"/>
      <c r="AI3083" s="20"/>
      <c r="AJ3083" s="20"/>
      <c r="AK3083" s="20"/>
      <c r="AL3083" s="20"/>
      <c r="AM3083" s="20"/>
      <c r="AN3083" s="20"/>
    </row>
    <row r="3084" s="18" customFormat="1" ht="14.100000000000001" customHeight="1">
      <c r="A3084" s="20"/>
      <c r="B3084" s="20" t="s">
        <v>6312</v>
      </c>
      <c r="C3084" s="20" t="s">
        <v>6313</v>
      </c>
      <c r="D3084" s="20" t="s">
        <v>6312</v>
      </c>
      <c r="E3084" s="20" t="e">
        <f t="array" ref="E3084">INDEX(C:C,SMALL(IF(ISNUMBER(FIND(CELL("contents"),$C$2:$C$4852)),ROW($C$2:$C$4852),4^8),ROW(C3084)))&amp;""</f>
        <v>#N/A</v>
      </c>
      <c r="F3084" s="20"/>
      <c r="G3084" s="20"/>
      <c r="H3084" s="20"/>
      <c r="I3084" s="20"/>
      <c r="J3084" s="20"/>
      <c r="K3084" s="20"/>
      <c r="L3084" s="20"/>
      <c r="M3084" s="20"/>
      <c r="N3084" s="20"/>
      <c r="O3084" s="20"/>
      <c r="P3084" s="20"/>
      <c r="Q3084" s="20"/>
      <c r="R3084" s="20"/>
      <c r="S3084" s="20"/>
      <c r="T3084" s="20"/>
      <c r="U3084" s="20"/>
      <c r="V3084" s="20"/>
      <c r="W3084" s="20"/>
      <c r="X3084" s="20"/>
      <c r="Y3084" s="20"/>
      <c r="Z3084" s="20"/>
      <c r="AA3084" s="20"/>
      <c r="AB3084" s="20"/>
      <c r="AC3084" s="20"/>
      <c r="AD3084" s="20"/>
      <c r="AE3084" s="20"/>
      <c r="AF3084" s="20"/>
      <c r="AG3084" s="20"/>
      <c r="AH3084" s="20"/>
      <c r="AI3084" s="20"/>
      <c r="AJ3084" s="20"/>
      <c r="AK3084" s="20"/>
      <c r="AL3084" s="20"/>
      <c r="AM3084" s="20"/>
      <c r="AN3084" s="20"/>
    </row>
    <row r="3085" s="18" customFormat="1" ht="14.100000000000001" customHeight="1">
      <c r="A3085" s="20"/>
      <c r="B3085" s="20" t="s">
        <v>6314</v>
      </c>
      <c r="C3085" s="20" t="s">
        <v>6315</v>
      </c>
      <c r="D3085" s="20" t="s">
        <v>6314</v>
      </c>
      <c r="E3085" s="20" t="e">
        <f t="array" ref="E3085">INDEX(C:C,SMALL(IF(ISNUMBER(FIND(CELL("contents"),$C$2:$C$4852)),ROW($C$2:$C$4852),4^8),ROW(C3085)))&amp;""</f>
        <v>#N/A</v>
      </c>
      <c r="F3085" s="20"/>
      <c r="G3085" s="20"/>
      <c r="H3085" s="20"/>
      <c r="I3085" s="20"/>
      <c r="J3085" s="20"/>
      <c r="K3085" s="20"/>
      <c r="L3085" s="20"/>
      <c r="M3085" s="20"/>
      <c r="N3085" s="20"/>
      <c r="O3085" s="20"/>
      <c r="P3085" s="20"/>
      <c r="Q3085" s="20"/>
      <c r="R3085" s="20"/>
      <c r="S3085" s="20"/>
      <c r="T3085" s="20"/>
      <c r="U3085" s="20"/>
      <c r="V3085" s="20"/>
      <c r="W3085" s="20"/>
      <c r="X3085" s="20"/>
      <c r="Y3085" s="20"/>
      <c r="Z3085" s="20"/>
      <c r="AA3085" s="20"/>
      <c r="AB3085" s="20"/>
      <c r="AC3085" s="20"/>
      <c r="AD3085" s="20"/>
      <c r="AE3085" s="20"/>
      <c r="AF3085" s="20"/>
      <c r="AG3085" s="20"/>
      <c r="AH3085" s="20"/>
      <c r="AI3085" s="20"/>
      <c r="AJ3085" s="20"/>
      <c r="AK3085" s="20"/>
      <c r="AL3085" s="20"/>
      <c r="AM3085" s="20"/>
      <c r="AN3085" s="20"/>
    </row>
    <row r="3086" s="18" customFormat="1" ht="14.100000000000001" customHeight="1">
      <c r="A3086" s="20"/>
      <c r="B3086" s="20" t="s">
        <v>6316</v>
      </c>
      <c r="C3086" s="20" t="s">
        <v>6317</v>
      </c>
      <c r="D3086" s="20" t="s">
        <v>6316</v>
      </c>
      <c r="E3086" s="20" t="e">
        <f t="array" ref="E3086">INDEX(C:C,SMALL(IF(ISNUMBER(FIND(CELL("contents"),$C$2:$C$4852)),ROW($C$2:$C$4852),4^8),ROW(C3086)))&amp;""</f>
        <v>#N/A</v>
      </c>
      <c r="F3086" s="20"/>
      <c r="G3086" s="20"/>
      <c r="H3086" s="20"/>
      <c r="I3086" s="20"/>
      <c r="J3086" s="20"/>
      <c r="K3086" s="20"/>
      <c r="L3086" s="20"/>
      <c r="M3086" s="20"/>
      <c r="N3086" s="20"/>
      <c r="O3086" s="20"/>
      <c r="P3086" s="20"/>
      <c r="Q3086" s="20"/>
      <c r="R3086" s="20"/>
      <c r="S3086" s="20"/>
      <c r="T3086" s="20"/>
      <c r="U3086" s="20"/>
      <c r="V3086" s="20"/>
      <c r="W3086" s="20"/>
      <c r="X3086" s="20"/>
      <c r="Y3086" s="20"/>
      <c r="Z3086" s="20"/>
      <c r="AA3086" s="20"/>
      <c r="AB3086" s="20"/>
      <c r="AC3086" s="20"/>
      <c r="AD3086" s="20"/>
      <c r="AE3086" s="20"/>
      <c r="AF3086" s="20"/>
      <c r="AG3086" s="20"/>
      <c r="AH3086" s="20"/>
      <c r="AI3086" s="20"/>
      <c r="AJ3086" s="20"/>
      <c r="AK3086" s="20"/>
      <c r="AL3086" s="20"/>
      <c r="AM3086" s="20"/>
      <c r="AN3086" s="20"/>
    </row>
    <row r="3087" s="18" customFormat="1" ht="14.100000000000001" customHeight="1">
      <c r="A3087" s="20"/>
      <c r="B3087" s="20" t="s">
        <v>6318</v>
      </c>
      <c r="C3087" s="20" t="s">
        <v>6319</v>
      </c>
      <c r="D3087" s="20" t="s">
        <v>6318</v>
      </c>
      <c r="E3087" s="20" t="e">
        <f t="array" ref="E3087">INDEX(C:C,SMALL(IF(ISNUMBER(FIND(CELL("contents"),$C$2:$C$4852)),ROW($C$2:$C$4852),4^8),ROW(C3087)))&amp;""</f>
        <v>#N/A</v>
      </c>
      <c r="F3087" s="20"/>
      <c r="G3087" s="20"/>
      <c r="H3087" s="20"/>
      <c r="I3087" s="20"/>
      <c r="J3087" s="20"/>
      <c r="K3087" s="20"/>
      <c r="L3087" s="20"/>
      <c r="M3087" s="20"/>
      <c r="N3087" s="20"/>
      <c r="O3087" s="20"/>
      <c r="P3087" s="20"/>
      <c r="Q3087" s="20"/>
      <c r="R3087" s="20"/>
      <c r="S3087" s="20"/>
      <c r="T3087" s="20"/>
      <c r="U3087" s="20"/>
      <c r="V3087" s="20"/>
      <c r="W3087" s="20"/>
      <c r="X3087" s="20"/>
      <c r="Y3087" s="20"/>
      <c r="Z3087" s="20"/>
      <c r="AA3087" s="20"/>
      <c r="AB3087" s="20"/>
      <c r="AC3087" s="20"/>
      <c r="AD3087" s="20"/>
      <c r="AE3087" s="20"/>
      <c r="AF3087" s="20"/>
      <c r="AG3087" s="20"/>
      <c r="AH3087" s="20"/>
      <c r="AI3087" s="20"/>
      <c r="AJ3087" s="20"/>
      <c r="AK3087" s="20"/>
      <c r="AL3087" s="20"/>
      <c r="AM3087" s="20"/>
      <c r="AN3087" s="20"/>
    </row>
    <row r="3088" s="18" customFormat="1" ht="14.100000000000001" customHeight="1">
      <c r="A3088" s="20"/>
      <c r="B3088" s="20" t="s">
        <v>6320</v>
      </c>
      <c r="C3088" s="20" t="s">
        <v>6321</v>
      </c>
      <c r="D3088" s="20" t="s">
        <v>6320</v>
      </c>
      <c r="E3088" s="20" t="e">
        <f t="array" ref="E3088">INDEX(C:C,SMALL(IF(ISNUMBER(FIND(CELL("contents"),$C$2:$C$4852)),ROW($C$2:$C$4852),4^8),ROW(C3088)))&amp;""</f>
        <v>#N/A</v>
      </c>
      <c r="F3088" s="20"/>
      <c r="G3088" s="20"/>
      <c r="H3088" s="20"/>
      <c r="I3088" s="20"/>
      <c r="J3088" s="20"/>
      <c r="K3088" s="20"/>
      <c r="L3088" s="20"/>
      <c r="M3088" s="20"/>
      <c r="N3088" s="20"/>
      <c r="O3088" s="20"/>
      <c r="P3088" s="20"/>
      <c r="Q3088" s="20"/>
      <c r="R3088" s="20"/>
      <c r="S3088" s="20"/>
      <c r="T3088" s="20"/>
      <c r="U3088" s="20"/>
      <c r="V3088" s="20"/>
      <c r="W3088" s="20"/>
      <c r="X3088" s="20"/>
      <c r="Y3088" s="20"/>
      <c r="Z3088" s="20"/>
      <c r="AA3088" s="20"/>
      <c r="AB3088" s="20"/>
      <c r="AC3088" s="20"/>
      <c r="AD3088" s="20"/>
      <c r="AE3088" s="20"/>
      <c r="AF3088" s="20"/>
      <c r="AG3088" s="20"/>
      <c r="AH3088" s="20"/>
      <c r="AI3088" s="20"/>
      <c r="AJ3088" s="20"/>
      <c r="AK3088" s="20"/>
      <c r="AL3088" s="20"/>
      <c r="AM3088" s="20"/>
      <c r="AN3088" s="20"/>
    </row>
    <row r="3089" s="18" customFormat="1" ht="14.100000000000001" customHeight="1">
      <c r="A3089" s="20"/>
      <c r="B3089" s="20" t="s">
        <v>6322</v>
      </c>
      <c r="C3089" s="20" t="s">
        <v>6323</v>
      </c>
      <c r="D3089" s="20" t="s">
        <v>6322</v>
      </c>
      <c r="E3089" s="20" t="e">
        <f t="array" ref="E3089">INDEX(C:C,SMALL(IF(ISNUMBER(FIND(CELL("contents"),$C$2:$C$4852)),ROW($C$2:$C$4852),4^8),ROW(C3089)))&amp;""</f>
        <v>#N/A</v>
      </c>
      <c r="F3089" s="20"/>
      <c r="G3089" s="20"/>
      <c r="H3089" s="20"/>
      <c r="I3089" s="20"/>
      <c r="J3089" s="20"/>
      <c r="K3089" s="20"/>
      <c r="L3089" s="20"/>
      <c r="M3089" s="20"/>
      <c r="N3089" s="20"/>
      <c r="O3089" s="20"/>
      <c r="P3089" s="20"/>
      <c r="Q3089" s="20"/>
      <c r="R3089" s="20"/>
      <c r="S3089" s="20"/>
      <c r="T3089" s="20"/>
      <c r="U3089" s="20"/>
      <c r="V3089" s="20"/>
      <c r="W3089" s="20"/>
      <c r="X3089" s="20"/>
      <c r="Y3089" s="20"/>
      <c r="Z3089" s="20"/>
      <c r="AA3089" s="20"/>
      <c r="AB3089" s="20"/>
      <c r="AC3089" s="20"/>
      <c r="AD3089" s="20"/>
      <c r="AE3089" s="20"/>
      <c r="AF3089" s="20"/>
      <c r="AG3089" s="20"/>
      <c r="AH3089" s="20"/>
      <c r="AI3089" s="20"/>
      <c r="AJ3089" s="20"/>
      <c r="AK3089" s="20"/>
      <c r="AL3089" s="20"/>
      <c r="AM3089" s="20"/>
      <c r="AN3089" s="20"/>
    </row>
    <row r="3090" s="18" customFormat="1" ht="14.100000000000001" customHeight="1">
      <c r="A3090" s="20"/>
      <c r="B3090" s="20" t="s">
        <v>6324</v>
      </c>
      <c r="C3090" s="20" t="s">
        <v>6325</v>
      </c>
      <c r="D3090" s="20" t="s">
        <v>6324</v>
      </c>
      <c r="E3090" s="20" t="e">
        <f t="array" ref="E3090">INDEX(C:C,SMALL(IF(ISNUMBER(FIND(CELL("contents"),$C$2:$C$4852)),ROW($C$2:$C$4852),4^8),ROW(C3090)))&amp;""</f>
        <v>#N/A</v>
      </c>
      <c r="F3090" s="20"/>
      <c r="G3090" s="20"/>
      <c r="H3090" s="20"/>
      <c r="I3090" s="20"/>
      <c r="J3090" s="20"/>
      <c r="K3090" s="20"/>
      <c r="L3090" s="20"/>
      <c r="M3090" s="20"/>
      <c r="N3090" s="20"/>
      <c r="O3090" s="20"/>
      <c r="P3090" s="20"/>
      <c r="Q3090" s="20"/>
      <c r="R3090" s="20"/>
      <c r="S3090" s="20"/>
      <c r="T3090" s="20"/>
      <c r="U3090" s="20"/>
      <c r="V3090" s="20"/>
      <c r="W3090" s="20"/>
      <c r="X3090" s="20"/>
      <c r="Y3090" s="20"/>
      <c r="Z3090" s="20"/>
      <c r="AA3090" s="20"/>
      <c r="AB3090" s="20"/>
      <c r="AC3090" s="20"/>
      <c r="AD3090" s="20"/>
      <c r="AE3090" s="20"/>
      <c r="AF3090" s="20"/>
      <c r="AG3090" s="20"/>
      <c r="AH3090" s="20"/>
      <c r="AI3090" s="20"/>
      <c r="AJ3090" s="20"/>
      <c r="AK3090" s="20"/>
      <c r="AL3090" s="20"/>
      <c r="AM3090" s="20"/>
      <c r="AN3090" s="20"/>
    </row>
    <row r="3091" s="18" customFormat="1" ht="14.100000000000001" customHeight="1">
      <c r="A3091" s="20"/>
      <c r="B3091" s="20" t="s">
        <v>6326</v>
      </c>
      <c r="C3091" s="20" t="s">
        <v>6327</v>
      </c>
      <c r="D3091" s="20" t="s">
        <v>6326</v>
      </c>
      <c r="E3091" s="20" t="e">
        <f t="array" ref="E3091">INDEX(C:C,SMALL(IF(ISNUMBER(FIND(CELL("contents"),$C$2:$C$4852)),ROW($C$2:$C$4852),4^8),ROW(C3091)))&amp;""</f>
        <v>#N/A</v>
      </c>
      <c r="F3091" s="20"/>
      <c r="G3091" s="20"/>
      <c r="H3091" s="20"/>
      <c r="I3091" s="20"/>
      <c r="J3091" s="20"/>
      <c r="K3091" s="20"/>
      <c r="L3091" s="20"/>
      <c r="M3091" s="20"/>
      <c r="N3091" s="20"/>
      <c r="O3091" s="20"/>
      <c r="P3091" s="20"/>
      <c r="Q3091" s="20"/>
      <c r="R3091" s="20"/>
      <c r="S3091" s="20"/>
      <c r="T3091" s="20"/>
      <c r="U3091" s="20"/>
      <c r="V3091" s="20"/>
      <c r="W3091" s="20"/>
      <c r="X3091" s="20"/>
      <c r="Y3091" s="20"/>
      <c r="Z3091" s="20"/>
      <c r="AA3091" s="20"/>
      <c r="AB3091" s="20"/>
      <c r="AC3091" s="20"/>
      <c r="AD3091" s="20"/>
      <c r="AE3091" s="20"/>
      <c r="AF3091" s="20"/>
      <c r="AG3091" s="20"/>
      <c r="AH3091" s="20"/>
      <c r="AI3091" s="20"/>
      <c r="AJ3091" s="20"/>
      <c r="AK3091" s="20"/>
      <c r="AL3091" s="20"/>
      <c r="AM3091" s="20"/>
      <c r="AN3091" s="20"/>
    </row>
    <row r="3092" s="18" customFormat="1" ht="14.100000000000001" customHeight="1">
      <c r="A3092" s="20"/>
      <c r="B3092" s="20" t="s">
        <v>6328</v>
      </c>
      <c r="C3092" s="20" t="s">
        <v>6329</v>
      </c>
      <c r="D3092" s="20" t="s">
        <v>6328</v>
      </c>
      <c r="E3092" s="20" t="e">
        <f t="array" ref="E3092">INDEX(C:C,SMALL(IF(ISNUMBER(FIND(CELL("contents"),$C$2:$C$4852)),ROW($C$2:$C$4852),4^8),ROW(C3092)))&amp;""</f>
        <v>#N/A</v>
      </c>
      <c r="F3092" s="20"/>
      <c r="G3092" s="20"/>
      <c r="H3092" s="20"/>
      <c r="I3092" s="20"/>
      <c r="J3092" s="20"/>
      <c r="K3092" s="20"/>
      <c r="L3092" s="20"/>
      <c r="M3092" s="20"/>
      <c r="N3092" s="20"/>
      <c r="O3092" s="20"/>
      <c r="P3092" s="20"/>
      <c r="Q3092" s="20"/>
      <c r="R3092" s="20"/>
      <c r="S3092" s="20"/>
      <c r="T3092" s="20"/>
      <c r="U3092" s="20"/>
      <c r="V3092" s="20"/>
      <c r="W3092" s="20"/>
      <c r="X3092" s="20"/>
      <c r="Y3092" s="20"/>
      <c r="Z3092" s="20"/>
      <c r="AA3092" s="20"/>
      <c r="AB3092" s="20"/>
      <c r="AC3092" s="20"/>
      <c r="AD3092" s="20"/>
      <c r="AE3092" s="20"/>
      <c r="AF3092" s="20"/>
      <c r="AG3092" s="20"/>
      <c r="AH3092" s="20"/>
      <c r="AI3092" s="20"/>
      <c r="AJ3092" s="20"/>
      <c r="AK3092" s="20"/>
      <c r="AL3092" s="20"/>
      <c r="AM3092" s="20"/>
      <c r="AN3092" s="20"/>
    </row>
    <row r="3093" s="18" customFormat="1" ht="14.100000000000001" customHeight="1">
      <c r="A3093" s="20"/>
      <c r="B3093" s="20" t="s">
        <v>6330</v>
      </c>
      <c r="C3093" s="20" t="s">
        <v>6331</v>
      </c>
      <c r="D3093" s="20" t="s">
        <v>6330</v>
      </c>
      <c r="E3093" s="20" t="e">
        <f t="array" ref="E3093">INDEX(C:C,SMALL(IF(ISNUMBER(FIND(CELL("contents"),$C$2:$C$4852)),ROW($C$2:$C$4852),4^8),ROW(C3093)))&amp;""</f>
        <v>#N/A</v>
      </c>
      <c r="F3093" s="20"/>
      <c r="G3093" s="20"/>
      <c r="H3093" s="20"/>
      <c r="I3093" s="20"/>
      <c r="J3093" s="20"/>
      <c r="K3093" s="20"/>
      <c r="L3093" s="20"/>
      <c r="M3093" s="20"/>
      <c r="N3093" s="20"/>
      <c r="O3093" s="20"/>
      <c r="P3093" s="20"/>
      <c r="Q3093" s="20"/>
      <c r="R3093" s="20"/>
      <c r="S3093" s="20"/>
      <c r="T3093" s="20"/>
      <c r="U3093" s="20"/>
      <c r="V3093" s="20"/>
      <c r="W3093" s="20"/>
      <c r="X3093" s="20"/>
      <c r="Y3093" s="20"/>
      <c r="Z3093" s="20"/>
      <c r="AA3093" s="20"/>
      <c r="AB3093" s="20"/>
      <c r="AC3093" s="20"/>
      <c r="AD3093" s="20"/>
      <c r="AE3093" s="20"/>
      <c r="AF3093" s="20"/>
      <c r="AG3093" s="20"/>
      <c r="AH3093" s="20"/>
      <c r="AI3093" s="20"/>
      <c r="AJ3093" s="20"/>
      <c r="AK3093" s="20"/>
      <c r="AL3093" s="20"/>
      <c r="AM3093" s="20"/>
      <c r="AN3093" s="20"/>
    </row>
    <row r="3094" s="18" customFormat="1" ht="14.100000000000001" customHeight="1">
      <c r="A3094" s="20"/>
      <c r="B3094" s="20" t="s">
        <v>6332</v>
      </c>
      <c r="C3094" s="20" t="s">
        <v>6333</v>
      </c>
      <c r="D3094" s="20" t="s">
        <v>6332</v>
      </c>
      <c r="E3094" s="20" t="e">
        <f t="array" ref="E3094">INDEX(C:C,SMALL(IF(ISNUMBER(FIND(CELL("contents"),$C$2:$C$4852)),ROW($C$2:$C$4852),4^8),ROW(C3094)))&amp;""</f>
        <v>#N/A</v>
      </c>
      <c r="F3094" s="20"/>
      <c r="G3094" s="20"/>
      <c r="H3094" s="20"/>
      <c r="I3094" s="20"/>
      <c r="J3094" s="20"/>
      <c r="K3094" s="20"/>
      <c r="L3094" s="20"/>
      <c r="M3094" s="20"/>
      <c r="N3094" s="20"/>
      <c r="O3094" s="20"/>
      <c r="P3094" s="20"/>
      <c r="Q3094" s="20"/>
      <c r="R3094" s="20"/>
      <c r="S3094" s="20"/>
      <c r="T3094" s="20"/>
      <c r="U3094" s="20"/>
      <c r="V3094" s="20"/>
      <c r="W3094" s="20"/>
      <c r="X3094" s="20"/>
      <c r="Y3094" s="20"/>
      <c r="Z3094" s="20"/>
      <c r="AA3094" s="20"/>
      <c r="AB3094" s="20"/>
      <c r="AC3094" s="20"/>
      <c r="AD3094" s="20"/>
      <c r="AE3094" s="20"/>
      <c r="AF3094" s="20"/>
      <c r="AG3094" s="20"/>
      <c r="AH3094" s="20"/>
      <c r="AI3094" s="20"/>
      <c r="AJ3094" s="20"/>
      <c r="AK3094" s="20"/>
      <c r="AL3094" s="20"/>
      <c r="AM3094" s="20"/>
      <c r="AN3094" s="20"/>
    </row>
    <row r="3095" s="18" customFormat="1" ht="14.100000000000001" customHeight="1">
      <c r="A3095" s="20"/>
      <c r="B3095" s="20" t="s">
        <v>6334</v>
      </c>
      <c r="C3095" s="20" t="s">
        <v>6335</v>
      </c>
      <c r="D3095" s="20" t="s">
        <v>6334</v>
      </c>
      <c r="E3095" s="20" t="e">
        <f t="array" ref="E3095">INDEX(C:C,SMALL(IF(ISNUMBER(FIND(CELL("contents"),$C$2:$C$4852)),ROW($C$2:$C$4852),4^8),ROW(C3095)))&amp;""</f>
        <v>#N/A</v>
      </c>
      <c r="F3095" s="20"/>
      <c r="G3095" s="20"/>
      <c r="H3095" s="20"/>
      <c r="I3095" s="20"/>
      <c r="J3095" s="20"/>
      <c r="K3095" s="20"/>
      <c r="L3095" s="20"/>
      <c r="M3095" s="20"/>
      <c r="N3095" s="20"/>
      <c r="O3095" s="20"/>
      <c r="P3095" s="20"/>
      <c r="Q3095" s="20"/>
      <c r="R3095" s="20"/>
      <c r="S3095" s="20"/>
      <c r="T3095" s="20"/>
      <c r="U3095" s="20"/>
      <c r="V3095" s="20"/>
      <c r="W3095" s="20"/>
      <c r="X3095" s="20"/>
      <c r="Y3095" s="20"/>
      <c r="Z3095" s="20"/>
      <c r="AA3095" s="20"/>
      <c r="AB3095" s="20"/>
      <c r="AC3095" s="20"/>
      <c r="AD3095" s="20"/>
      <c r="AE3095" s="20"/>
      <c r="AF3095" s="20"/>
      <c r="AG3095" s="20"/>
      <c r="AH3095" s="20"/>
      <c r="AI3095" s="20"/>
      <c r="AJ3095" s="20"/>
      <c r="AK3095" s="20"/>
      <c r="AL3095" s="20"/>
      <c r="AM3095" s="20"/>
      <c r="AN3095" s="20"/>
    </row>
    <row r="3096" s="18" customFormat="1" ht="14.100000000000001" customHeight="1">
      <c r="A3096" s="20"/>
      <c r="B3096" s="20" t="s">
        <v>6336</v>
      </c>
      <c r="C3096" s="20" t="s">
        <v>6337</v>
      </c>
      <c r="D3096" s="20" t="s">
        <v>6336</v>
      </c>
      <c r="E3096" s="20" t="e">
        <f t="array" ref="E3096">INDEX(C:C,SMALL(IF(ISNUMBER(FIND(CELL("contents"),$C$2:$C$4852)),ROW($C$2:$C$4852),4^8),ROW(C3096)))&amp;""</f>
        <v>#N/A</v>
      </c>
      <c r="F3096" s="20"/>
      <c r="G3096" s="20"/>
      <c r="H3096" s="20"/>
      <c r="I3096" s="20"/>
      <c r="J3096" s="20"/>
      <c r="K3096" s="20"/>
      <c r="L3096" s="20"/>
      <c r="M3096" s="20"/>
      <c r="N3096" s="20"/>
      <c r="O3096" s="20"/>
      <c r="P3096" s="20"/>
      <c r="Q3096" s="20"/>
      <c r="R3096" s="20"/>
      <c r="S3096" s="20"/>
      <c r="T3096" s="20"/>
      <c r="U3096" s="20"/>
      <c r="V3096" s="20"/>
      <c r="W3096" s="20"/>
      <c r="X3096" s="20"/>
      <c r="Y3096" s="20"/>
      <c r="Z3096" s="20"/>
      <c r="AA3096" s="20"/>
      <c r="AB3096" s="20"/>
      <c r="AC3096" s="20"/>
      <c r="AD3096" s="20"/>
      <c r="AE3096" s="20"/>
      <c r="AF3096" s="20"/>
      <c r="AG3096" s="20"/>
      <c r="AH3096" s="20"/>
      <c r="AI3096" s="20"/>
      <c r="AJ3096" s="20"/>
      <c r="AK3096" s="20"/>
      <c r="AL3096" s="20"/>
      <c r="AM3096" s="20"/>
      <c r="AN3096" s="20"/>
    </row>
    <row r="3097" s="18" customFormat="1" ht="14.100000000000001" customHeight="1">
      <c r="A3097" s="20"/>
      <c r="B3097" s="20" t="s">
        <v>6338</v>
      </c>
      <c r="C3097" s="20" t="s">
        <v>6339</v>
      </c>
      <c r="D3097" s="20" t="s">
        <v>6338</v>
      </c>
      <c r="E3097" s="20" t="e">
        <f t="array" ref="E3097">INDEX(C:C,SMALL(IF(ISNUMBER(FIND(CELL("contents"),$C$2:$C$4852)),ROW($C$2:$C$4852),4^8),ROW(C3097)))&amp;""</f>
        <v>#N/A</v>
      </c>
      <c r="F3097" s="20"/>
      <c r="G3097" s="20"/>
      <c r="H3097" s="20"/>
      <c r="I3097" s="20"/>
      <c r="J3097" s="20"/>
      <c r="K3097" s="20"/>
      <c r="L3097" s="20"/>
      <c r="M3097" s="20"/>
      <c r="N3097" s="20"/>
      <c r="O3097" s="20"/>
      <c r="P3097" s="20"/>
      <c r="Q3097" s="20"/>
      <c r="R3097" s="20"/>
      <c r="S3097" s="20"/>
      <c r="T3097" s="20"/>
      <c r="U3097" s="20"/>
      <c r="V3097" s="20"/>
      <c r="W3097" s="20"/>
      <c r="X3097" s="20"/>
      <c r="Y3097" s="20"/>
      <c r="Z3097" s="20"/>
      <c r="AA3097" s="20"/>
      <c r="AB3097" s="20"/>
      <c r="AC3097" s="20"/>
      <c r="AD3097" s="20"/>
      <c r="AE3097" s="20"/>
      <c r="AF3097" s="20"/>
      <c r="AG3097" s="20"/>
      <c r="AH3097" s="20"/>
      <c r="AI3097" s="20"/>
      <c r="AJ3097" s="20"/>
      <c r="AK3097" s="20"/>
      <c r="AL3097" s="20"/>
      <c r="AM3097" s="20"/>
      <c r="AN3097" s="20"/>
    </row>
    <row r="3098" s="18" customFormat="1" ht="14.100000000000001" customHeight="1">
      <c r="A3098" s="20"/>
      <c r="B3098" s="20" t="s">
        <v>6340</v>
      </c>
      <c r="C3098" s="20" t="s">
        <v>6341</v>
      </c>
      <c r="D3098" s="20" t="s">
        <v>6340</v>
      </c>
      <c r="E3098" s="20" t="e">
        <f t="array" ref="E3098">INDEX(C:C,SMALL(IF(ISNUMBER(FIND(CELL("contents"),$C$2:$C$4852)),ROW($C$2:$C$4852),4^8),ROW(C3098)))&amp;""</f>
        <v>#N/A</v>
      </c>
      <c r="F3098" s="20"/>
      <c r="G3098" s="20"/>
      <c r="H3098" s="20"/>
      <c r="I3098" s="20"/>
      <c r="J3098" s="20"/>
      <c r="K3098" s="20"/>
      <c r="L3098" s="20"/>
      <c r="M3098" s="20"/>
      <c r="N3098" s="20"/>
      <c r="O3098" s="20"/>
      <c r="P3098" s="20"/>
      <c r="Q3098" s="20"/>
      <c r="R3098" s="20"/>
      <c r="S3098" s="20"/>
      <c r="T3098" s="20"/>
      <c r="U3098" s="20"/>
      <c r="V3098" s="20"/>
      <c r="W3098" s="20"/>
      <c r="X3098" s="20"/>
      <c r="Y3098" s="20"/>
      <c r="Z3098" s="20"/>
      <c r="AA3098" s="20"/>
      <c r="AB3098" s="20"/>
      <c r="AC3098" s="20"/>
      <c r="AD3098" s="20"/>
      <c r="AE3098" s="20"/>
      <c r="AF3098" s="20"/>
      <c r="AG3098" s="20"/>
      <c r="AH3098" s="20"/>
      <c r="AI3098" s="20"/>
      <c r="AJ3098" s="20"/>
      <c r="AK3098" s="20"/>
      <c r="AL3098" s="20"/>
      <c r="AM3098" s="20"/>
      <c r="AN3098" s="20"/>
    </row>
    <row r="3099" s="18" customFormat="1" ht="14.100000000000001" customHeight="1">
      <c r="A3099" s="20"/>
      <c r="B3099" s="20" t="s">
        <v>6342</v>
      </c>
      <c r="C3099" s="20" t="s">
        <v>6343</v>
      </c>
      <c r="D3099" s="20" t="s">
        <v>6342</v>
      </c>
      <c r="E3099" s="20" t="e">
        <f t="array" ref="E3099">INDEX(C:C,SMALL(IF(ISNUMBER(FIND(CELL("contents"),$C$2:$C$4852)),ROW($C$2:$C$4852),4^8),ROW(C3099)))&amp;""</f>
        <v>#N/A</v>
      </c>
      <c r="F3099" s="20"/>
      <c r="G3099" s="20"/>
      <c r="H3099" s="20"/>
      <c r="I3099" s="20"/>
      <c r="J3099" s="20"/>
      <c r="K3099" s="20"/>
      <c r="L3099" s="20"/>
      <c r="M3099" s="20"/>
      <c r="N3099" s="20"/>
      <c r="O3099" s="20"/>
      <c r="P3099" s="20"/>
      <c r="Q3099" s="20"/>
      <c r="R3099" s="20"/>
      <c r="S3099" s="20"/>
      <c r="T3099" s="20"/>
      <c r="U3099" s="20"/>
      <c r="V3099" s="20"/>
      <c r="W3099" s="20"/>
      <c r="X3099" s="20"/>
      <c r="Y3099" s="20"/>
      <c r="Z3099" s="20"/>
      <c r="AA3099" s="20"/>
      <c r="AB3099" s="20"/>
      <c r="AC3099" s="20"/>
      <c r="AD3099" s="20"/>
      <c r="AE3099" s="20"/>
      <c r="AF3099" s="20"/>
      <c r="AG3099" s="20"/>
      <c r="AH3099" s="20"/>
      <c r="AI3099" s="20"/>
      <c r="AJ3099" s="20"/>
      <c r="AK3099" s="20"/>
      <c r="AL3099" s="20"/>
      <c r="AM3099" s="20"/>
      <c r="AN3099" s="20"/>
    </row>
    <row r="3100" s="18" customFormat="1" ht="14.100000000000001" customHeight="1">
      <c r="A3100" s="20"/>
      <c r="B3100" s="20" t="s">
        <v>6344</v>
      </c>
      <c r="C3100" s="20" t="s">
        <v>6345</v>
      </c>
      <c r="D3100" s="20" t="s">
        <v>6344</v>
      </c>
      <c r="E3100" s="20" t="e">
        <f t="array" ref="E3100">INDEX(C:C,SMALL(IF(ISNUMBER(FIND(CELL("contents"),$C$2:$C$4852)),ROW($C$2:$C$4852),4^8),ROW(C3100)))&amp;""</f>
        <v>#N/A</v>
      </c>
      <c r="F3100" s="20"/>
      <c r="G3100" s="20"/>
      <c r="H3100" s="20"/>
      <c r="I3100" s="20"/>
      <c r="J3100" s="20"/>
      <c r="K3100" s="20"/>
      <c r="L3100" s="20"/>
      <c r="M3100" s="20"/>
      <c r="N3100" s="20"/>
      <c r="O3100" s="20"/>
      <c r="P3100" s="20"/>
      <c r="Q3100" s="20"/>
      <c r="R3100" s="20"/>
      <c r="S3100" s="20"/>
      <c r="T3100" s="20"/>
      <c r="U3100" s="20"/>
      <c r="V3100" s="20"/>
      <c r="W3100" s="20"/>
      <c r="X3100" s="20"/>
      <c r="Y3100" s="20"/>
      <c r="Z3100" s="20"/>
      <c r="AA3100" s="20"/>
      <c r="AB3100" s="20"/>
      <c r="AC3100" s="20"/>
      <c r="AD3100" s="20"/>
      <c r="AE3100" s="20"/>
      <c r="AF3100" s="20"/>
      <c r="AG3100" s="20"/>
      <c r="AH3100" s="20"/>
      <c r="AI3100" s="20"/>
      <c r="AJ3100" s="20"/>
      <c r="AK3100" s="20"/>
      <c r="AL3100" s="20"/>
      <c r="AM3100" s="20"/>
      <c r="AN3100" s="20"/>
    </row>
    <row r="3101" s="18" customFormat="1" ht="14.100000000000001" customHeight="1">
      <c r="A3101" s="20"/>
      <c r="B3101" s="20" t="s">
        <v>6346</v>
      </c>
      <c r="C3101" s="20" t="s">
        <v>6347</v>
      </c>
      <c r="D3101" s="20" t="s">
        <v>6346</v>
      </c>
      <c r="E3101" s="20" t="e">
        <f t="array" ref="E3101">INDEX(C:C,SMALL(IF(ISNUMBER(FIND(CELL("contents"),$C$2:$C$4852)),ROW($C$2:$C$4852),4^8),ROW(C3101)))&amp;""</f>
        <v>#N/A</v>
      </c>
      <c r="F3101" s="20"/>
      <c r="G3101" s="20"/>
      <c r="H3101" s="20"/>
      <c r="I3101" s="20"/>
      <c r="J3101" s="20"/>
      <c r="K3101" s="20"/>
      <c r="L3101" s="20"/>
      <c r="M3101" s="20"/>
      <c r="N3101" s="20"/>
      <c r="O3101" s="20"/>
      <c r="P3101" s="20"/>
      <c r="Q3101" s="20"/>
      <c r="R3101" s="20"/>
      <c r="S3101" s="20"/>
      <c r="T3101" s="20"/>
      <c r="U3101" s="20"/>
      <c r="V3101" s="20"/>
      <c r="W3101" s="20"/>
      <c r="X3101" s="20"/>
      <c r="Y3101" s="20"/>
      <c r="Z3101" s="20"/>
      <c r="AA3101" s="20"/>
      <c r="AB3101" s="20"/>
      <c r="AC3101" s="20"/>
      <c r="AD3101" s="20"/>
      <c r="AE3101" s="20"/>
      <c r="AF3101" s="20"/>
      <c r="AG3101" s="20"/>
      <c r="AH3101" s="20"/>
      <c r="AI3101" s="20"/>
      <c r="AJ3101" s="20"/>
      <c r="AK3101" s="20"/>
      <c r="AL3101" s="20"/>
      <c r="AM3101" s="20"/>
      <c r="AN3101" s="20"/>
    </row>
    <row r="3102" s="18" customFormat="1" ht="14.100000000000001" customHeight="1">
      <c r="A3102" s="20"/>
      <c r="B3102" s="20" t="s">
        <v>6348</v>
      </c>
      <c r="C3102" s="20" t="s">
        <v>6349</v>
      </c>
      <c r="D3102" s="20" t="s">
        <v>6348</v>
      </c>
      <c r="E3102" s="20" t="e">
        <f t="array" ref="E3102">INDEX(C:C,SMALL(IF(ISNUMBER(FIND(CELL("contents"),$C$2:$C$4852)),ROW($C$2:$C$4852),4^8),ROW(C3102)))&amp;""</f>
        <v>#N/A</v>
      </c>
      <c r="F3102" s="20"/>
      <c r="G3102" s="20"/>
      <c r="H3102" s="20"/>
      <c r="I3102" s="20"/>
      <c r="J3102" s="20"/>
      <c r="K3102" s="20"/>
      <c r="L3102" s="20"/>
      <c r="M3102" s="20"/>
      <c r="N3102" s="20"/>
      <c r="O3102" s="20"/>
      <c r="P3102" s="20"/>
      <c r="Q3102" s="20"/>
      <c r="R3102" s="20"/>
      <c r="S3102" s="20"/>
      <c r="T3102" s="20"/>
      <c r="U3102" s="20"/>
      <c r="V3102" s="20"/>
      <c r="W3102" s="20"/>
      <c r="X3102" s="20"/>
      <c r="Y3102" s="20"/>
      <c r="Z3102" s="20"/>
      <c r="AA3102" s="20"/>
      <c r="AB3102" s="20"/>
      <c r="AC3102" s="20"/>
      <c r="AD3102" s="20"/>
      <c r="AE3102" s="20"/>
      <c r="AF3102" s="20"/>
      <c r="AG3102" s="20"/>
      <c r="AH3102" s="20"/>
      <c r="AI3102" s="20"/>
      <c r="AJ3102" s="20"/>
      <c r="AK3102" s="20"/>
      <c r="AL3102" s="20"/>
      <c r="AM3102" s="20"/>
      <c r="AN3102" s="20"/>
    </row>
    <row r="3103" s="18" customFormat="1" ht="14.100000000000001" customHeight="1">
      <c r="A3103" s="20"/>
      <c r="B3103" s="20" t="s">
        <v>6350</v>
      </c>
      <c r="C3103" s="20" t="s">
        <v>6351</v>
      </c>
      <c r="D3103" s="20" t="s">
        <v>6350</v>
      </c>
      <c r="E3103" s="20" t="e">
        <f t="array" ref="E3103">INDEX(C:C,SMALL(IF(ISNUMBER(FIND(CELL("contents"),$C$2:$C$4852)),ROW($C$2:$C$4852),4^8),ROW(C3103)))&amp;""</f>
        <v>#N/A</v>
      </c>
      <c r="F3103" s="20"/>
      <c r="G3103" s="20"/>
      <c r="H3103" s="20"/>
      <c r="I3103" s="20"/>
      <c r="J3103" s="20"/>
      <c r="K3103" s="20"/>
      <c r="L3103" s="20"/>
      <c r="M3103" s="20"/>
      <c r="N3103" s="20"/>
      <c r="O3103" s="20"/>
      <c r="P3103" s="20"/>
      <c r="Q3103" s="20"/>
      <c r="R3103" s="20"/>
      <c r="S3103" s="20"/>
      <c r="T3103" s="20"/>
      <c r="U3103" s="20"/>
      <c r="V3103" s="20"/>
      <c r="W3103" s="20"/>
      <c r="X3103" s="20"/>
      <c r="Y3103" s="20"/>
      <c r="Z3103" s="20"/>
      <c r="AA3103" s="20"/>
      <c r="AB3103" s="20"/>
      <c r="AC3103" s="20"/>
      <c r="AD3103" s="20"/>
      <c r="AE3103" s="20"/>
      <c r="AF3103" s="20"/>
      <c r="AG3103" s="20"/>
      <c r="AH3103" s="20"/>
      <c r="AI3103" s="20"/>
      <c r="AJ3103" s="20"/>
      <c r="AK3103" s="20"/>
      <c r="AL3103" s="20"/>
      <c r="AM3103" s="20"/>
      <c r="AN3103" s="20"/>
    </row>
    <row r="3104" s="18" customFormat="1" ht="14.100000000000001" customHeight="1">
      <c r="A3104" s="20"/>
      <c r="B3104" s="20" t="s">
        <v>6352</v>
      </c>
      <c r="C3104" s="20" t="s">
        <v>6353</v>
      </c>
      <c r="D3104" s="20" t="s">
        <v>6352</v>
      </c>
      <c r="E3104" s="20" t="e">
        <f t="array" ref="E3104">INDEX(C:C,SMALL(IF(ISNUMBER(FIND(CELL("contents"),$C$2:$C$4852)),ROW($C$2:$C$4852),4^8),ROW(C3104)))&amp;""</f>
        <v>#N/A</v>
      </c>
      <c r="F3104" s="20"/>
      <c r="G3104" s="20"/>
      <c r="H3104" s="20"/>
      <c r="I3104" s="20"/>
      <c r="J3104" s="20"/>
      <c r="K3104" s="20"/>
      <c r="L3104" s="20"/>
      <c r="M3104" s="20"/>
      <c r="N3104" s="20"/>
      <c r="O3104" s="20"/>
      <c r="P3104" s="20"/>
      <c r="Q3104" s="20"/>
      <c r="R3104" s="20"/>
      <c r="S3104" s="20"/>
      <c r="T3104" s="20"/>
      <c r="U3104" s="20"/>
      <c r="V3104" s="20"/>
      <c r="W3104" s="20"/>
      <c r="X3104" s="20"/>
      <c r="Y3104" s="20"/>
      <c r="Z3104" s="20"/>
      <c r="AA3104" s="20"/>
      <c r="AB3104" s="20"/>
      <c r="AC3104" s="20"/>
      <c r="AD3104" s="20"/>
      <c r="AE3104" s="20"/>
      <c r="AF3104" s="20"/>
      <c r="AG3104" s="20"/>
      <c r="AH3104" s="20"/>
      <c r="AI3104" s="20"/>
      <c r="AJ3104" s="20"/>
      <c r="AK3104" s="20"/>
      <c r="AL3104" s="20"/>
      <c r="AM3104" s="20"/>
      <c r="AN3104" s="20"/>
    </row>
    <row r="3105" s="18" customFormat="1" ht="14.100000000000001" customHeight="1">
      <c r="A3105" s="20"/>
      <c r="B3105" s="20" t="s">
        <v>6354</v>
      </c>
      <c r="C3105" s="20" t="s">
        <v>6355</v>
      </c>
      <c r="D3105" s="20" t="s">
        <v>6354</v>
      </c>
      <c r="E3105" s="20" t="e">
        <f t="array" ref="E3105">INDEX(C:C,SMALL(IF(ISNUMBER(FIND(CELL("contents"),$C$2:$C$4852)),ROW($C$2:$C$4852),4^8),ROW(C3105)))&amp;""</f>
        <v>#N/A</v>
      </c>
      <c r="F3105" s="20"/>
      <c r="G3105" s="20"/>
      <c r="H3105" s="20"/>
      <c r="I3105" s="20"/>
      <c r="J3105" s="20"/>
      <c r="K3105" s="20"/>
      <c r="L3105" s="20"/>
      <c r="M3105" s="20"/>
      <c r="N3105" s="20"/>
      <c r="O3105" s="20"/>
      <c r="P3105" s="20"/>
      <c r="Q3105" s="20"/>
      <c r="R3105" s="20"/>
      <c r="S3105" s="20"/>
      <c r="T3105" s="20"/>
      <c r="U3105" s="20"/>
      <c r="V3105" s="20"/>
      <c r="W3105" s="20"/>
      <c r="X3105" s="20"/>
      <c r="Y3105" s="20"/>
      <c r="Z3105" s="20"/>
      <c r="AA3105" s="20"/>
      <c r="AB3105" s="20"/>
      <c r="AC3105" s="20"/>
      <c r="AD3105" s="20"/>
      <c r="AE3105" s="20"/>
      <c r="AF3105" s="20"/>
      <c r="AG3105" s="20"/>
      <c r="AH3105" s="20"/>
      <c r="AI3105" s="20"/>
      <c r="AJ3105" s="20"/>
      <c r="AK3105" s="20"/>
      <c r="AL3105" s="20"/>
      <c r="AM3105" s="20"/>
      <c r="AN3105" s="20"/>
    </row>
    <row r="3106" s="18" customFormat="1" ht="14.100000000000001" customHeight="1">
      <c r="A3106" s="20"/>
      <c r="B3106" s="20" t="s">
        <v>6356</v>
      </c>
      <c r="C3106" s="20" t="s">
        <v>6357</v>
      </c>
      <c r="D3106" s="20" t="s">
        <v>6356</v>
      </c>
      <c r="E3106" s="20" t="e">
        <f t="array" ref="E3106">INDEX(C:C,SMALL(IF(ISNUMBER(FIND(CELL("contents"),$C$2:$C$4852)),ROW($C$2:$C$4852),4^8),ROW(C3106)))&amp;""</f>
        <v>#N/A</v>
      </c>
      <c r="F3106" s="20"/>
      <c r="G3106" s="20"/>
      <c r="H3106" s="20"/>
      <c r="I3106" s="20"/>
      <c r="J3106" s="20"/>
      <c r="K3106" s="20"/>
      <c r="L3106" s="20"/>
      <c r="M3106" s="20"/>
      <c r="N3106" s="20"/>
      <c r="O3106" s="20"/>
      <c r="P3106" s="20"/>
      <c r="Q3106" s="20"/>
      <c r="R3106" s="20"/>
      <c r="S3106" s="20"/>
      <c r="T3106" s="20"/>
      <c r="U3106" s="20"/>
      <c r="V3106" s="20"/>
      <c r="W3106" s="20"/>
      <c r="X3106" s="20"/>
      <c r="Y3106" s="20"/>
      <c r="Z3106" s="20"/>
      <c r="AA3106" s="20"/>
      <c r="AB3106" s="20"/>
      <c r="AC3106" s="20"/>
      <c r="AD3106" s="20"/>
      <c r="AE3106" s="20"/>
      <c r="AF3106" s="20"/>
      <c r="AG3106" s="20"/>
      <c r="AH3106" s="20"/>
      <c r="AI3106" s="20"/>
      <c r="AJ3106" s="20"/>
      <c r="AK3106" s="20"/>
      <c r="AL3106" s="20"/>
      <c r="AM3106" s="20"/>
      <c r="AN3106" s="20"/>
    </row>
    <row r="3107" s="18" customFormat="1" ht="14.100000000000001" customHeight="1">
      <c r="A3107" s="20"/>
      <c r="B3107" s="20" t="s">
        <v>6358</v>
      </c>
      <c r="C3107" s="20" t="s">
        <v>6359</v>
      </c>
      <c r="D3107" s="20" t="s">
        <v>6358</v>
      </c>
      <c r="E3107" s="20" t="e">
        <f t="array" ref="E3107">INDEX(C:C,SMALL(IF(ISNUMBER(FIND(CELL("contents"),$C$2:$C$4852)),ROW($C$2:$C$4852),4^8),ROW(C3107)))&amp;""</f>
        <v>#N/A</v>
      </c>
      <c r="F3107" s="20"/>
      <c r="G3107" s="20"/>
      <c r="H3107" s="20"/>
      <c r="I3107" s="20"/>
      <c r="J3107" s="20"/>
      <c r="K3107" s="20"/>
      <c r="L3107" s="20"/>
      <c r="M3107" s="20"/>
      <c r="N3107" s="20"/>
      <c r="O3107" s="20"/>
      <c r="P3107" s="20"/>
      <c r="Q3107" s="20"/>
      <c r="R3107" s="20"/>
      <c r="S3107" s="20"/>
      <c r="T3107" s="20"/>
      <c r="U3107" s="20"/>
      <c r="V3107" s="20"/>
      <c r="W3107" s="20"/>
      <c r="X3107" s="20"/>
      <c r="Y3107" s="20"/>
      <c r="Z3107" s="20"/>
      <c r="AA3107" s="20"/>
      <c r="AB3107" s="20"/>
      <c r="AC3107" s="20"/>
      <c r="AD3107" s="20"/>
      <c r="AE3107" s="20"/>
      <c r="AF3107" s="20"/>
      <c r="AG3107" s="20"/>
      <c r="AH3107" s="20"/>
      <c r="AI3107" s="20"/>
      <c r="AJ3107" s="20"/>
      <c r="AK3107" s="20"/>
      <c r="AL3107" s="20"/>
      <c r="AM3107" s="20"/>
      <c r="AN3107" s="20"/>
    </row>
    <row r="3108" s="18" customFormat="1" ht="14.100000000000001" customHeight="1">
      <c r="A3108" s="20"/>
      <c r="B3108" s="20" t="s">
        <v>6360</v>
      </c>
      <c r="C3108" s="20" t="s">
        <v>6361</v>
      </c>
      <c r="D3108" s="20" t="s">
        <v>6360</v>
      </c>
      <c r="E3108" s="20" t="e">
        <f t="array" ref="E3108">INDEX(C:C,SMALL(IF(ISNUMBER(FIND(CELL("contents"),$C$2:$C$4852)),ROW($C$2:$C$4852),4^8),ROW(C3108)))&amp;""</f>
        <v>#N/A</v>
      </c>
      <c r="F3108" s="20"/>
      <c r="G3108" s="20"/>
      <c r="H3108" s="20"/>
      <c r="I3108" s="20"/>
      <c r="J3108" s="20"/>
      <c r="K3108" s="20"/>
      <c r="L3108" s="20"/>
      <c r="M3108" s="20"/>
      <c r="N3108" s="20"/>
      <c r="O3108" s="20"/>
      <c r="P3108" s="20"/>
      <c r="Q3108" s="20"/>
      <c r="R3108" s="20"/>
      <c r="S3108" s="20"/>
      <c r="T3108" s="20"/>
      <c r="U3108" s="20"/>
      <c r="V3108" s="20"/>
      <c r="W3108" s="20"/>
      <c r="X3108" s="20"/>
      <c r="Y3108" s="20"/>
      <c r="Z3108" s="20"/>
      <c r="AA3108" s="20"/>
      <c r="AB3108" s="20"/>
      <c r="AC3108" s="20"/>
      <c r="AD3108" s="20"/>
      <c r="AE3108" s="20"/>
      <c r="AF3108" s="20"/>
      <c r="AG3108" s="20"/>
      <c r="AH3108" s="20"/>
      <c r="AI3108" s="20"/>
      <c r="AJ3108" s="20"/>
      <c r="AK3108" s="20"/>
      <c r="AL3108" s="20"/>
      <c r="AM3108" s="20"/>
      <c r="AN3108" s="20"/>
    </row>
    <row r="3109" s="18" customFormat="1" ht="14.100000000000001" customHeight="1">
      <c r="A3109" s="20"/>
      <c r="B3109" s="20" t="s">
        <v>6362</v>
      </c>
      <c r="C3109" s="20" t="s">
        <v>6363</v>
      </c>
      <c r="D3109" s="20" t="s">
        <v>6362</v>
      </c>
      <c r="E3109" s="20" t="e">
        <f t="array" ref="E3109">INDEX(C:C,SMALL(IF(ISNUMBER(FIND(CELL("contents"),$C$2:$C$4852)),ROW($C$2:$C$4852),4^8),ROW(C3109)))&amp;""</f>
        <v>#N/A</v>
      </c>
      <c r="F3109" s="20"/>
      <c r="G3109" s="20"/>
      <c r="H3109" s="20"/>
      <c r="I3109" s="20"/>
      <c r="J3109" s="20"/>
      <c r="K3109" s="20"/>
      <c r="L3109" s="20"/>
      <c r="M3109" s="20"/>
      <c r="N3109" s="20"/>
      <c r="O3109" s="20"/>
      <c r="P3109" s="20"/>
      <c r="Q3109" s="20"/>
      <c r="R3109" s="20"/>
      <c r="S3109" s="20"/>
      <c r="T3109" s="20"/>
      <c r="U3109" s="20"/>
      <c r="V3109" s="20"/>
      <c r="W3109" s="20"/>
      <c r="X3109" s="20"/>
      <c r="Y3109" s="20"/>
      <c r="Z3109" s="20"/>
      <c r="AA3109" s="20"/>
      <c r="AB3109" s="20"/>
      <c r="AC3109" s="20"/>
      <c r="AD3109" s="20"/>
      <c r="AE3109" s="20"/>
      <c r="AF3109" s="20"/>
      <c r="AG3109" s="20"/>
      <c r="AH3109" s="20"/>
      <c r="AI3109" s="20"/>
      <c r="AJ3109" s="20"/>
      <c r="AK3109" s="20"/>
      <c r="AL3109" s="20"/>
      <c r="AM3109" s="20"/>
      <c r="AN3109" s="20"/>
    </row>
    <row r="3110" s="18" customFormat="1" ht="14.100000000000001" customHeight="1">
      <c r="A3110" s="20"/>
      <c r="B3110" s="20" t="s">
        <v>6364</v>
      </c>
      <c r="C3110" s="20" t="s">
        <v>6365</v>
      </c>
      <c r="D3110" s="20" t="s">
        <v>6364</v>
      </c>
      <c r="E3110" s="20" t="e">
        <f t="array" ref="E3110">INDEX(C:C,SMALL(IF(ISNUMBER(FIND(CELL("contents"),$C$2:$C$4852)),ROW($C$2:$C$4852),4^8),ROW(C3110)))&amp;""</f>
        <v>#N/A</v>
      </c>
      <c r="F3110" s="20"/>
      <c r="G3110" s="20"/>
      <c r="H3110" s="20"/>
      <c r="I3110" s="20"/>
      <c r="J3110" s="20"/>
      <c r="K3110" s="20"/>
      <c r="L3110" s="20"/>
      <c r="M3110" s="20"/>
      <c r="N3110" s="20"/>
      <c r="O3110" s="20"/>
      <c r="P3110" s="20"/>
      <c r="Q3110" s="20"/>
      <c r="R3110" s="20"/>
      <c r="S3110" s="20"/>
      <c r="T3110" s="20"/>
      <c r="U3110" s="20"/>
      <c r="V3110" s="20"/>
      <c r="W3110" s="20"/>
      <c r="X3110" s="20"/>
      <c r="Y3110" s="20"/>
      <c r="Z3110" s="20"/>
      <c r="AA3110" s="20"/>
      <c r="AB3110" s="20"/>
      <c r="AC3110" s="20"/>
      <c r="AD3110" s="20"/>
      <c r="AE3110" s="20"/>
      <c r="AF3110" s="20"/>
      <c r="AG3110" s="20"/>
      <c r="AH3110" s="20"/>
      <c r="AI3110" s="20"/>
      <c r="AJ3110" s="20"/>
      <c r="AK3110" s="20"/>
      <c r="AL3110" s="20"/>
      <c r="AM3110" s="20"/>
      <c r="AN3110" s="20"/>
    </row>
    <row r="3111" s="18" customFormat="1" ht="14.100000000000001" customHeight="1">
      <c r="A3111" s="20"/>
      <c r="B3111" s="20" t="s">
        <v>6366</v>
      </c>
      <c r="C3111" s="20" t="s">
        <v>6367</v>
      </c>
      <c r="D3111" s="20" t="s">
        <v>6366</v>
      </c>
      <c r="E3111" s="20" t="e">
        <f t="array" ref="E3111">INDEX(C:C,SMALL(IF(ISNUMBER(FIND(CELL("contents"),$C$2:$C$4852)),ROW($C$2:$C$4852),4^8),ROW(C3111)))&amp;""</f>
        <v>#N/A</v>
      </c>
      <c r="F3111" s="20"/>
      <c r="G3111" s="20"/>
      <c r="H3111" s="20"/>
      <c r="I3111" s="20"/>
      <c r="J3111" s="20"/>
      <c r="K3111" s="20"/>
      <c r="L3111" s="20"/>
      <c r="M3111" s="20"/>
      <c r="N3111" s="20"/>
      <c r="O3111" s="20"/>
      <c r="P3111" s="20"/>
      <c r="Q3111" s="20"/>
      <c r="R3111" s="20"/>
      <c r="S3111" s="20"/>
      <c r="T3111" s="20"/>
      <c r="U3111" s="20"/>
      <c r="V3111" s="20"/>
      <c r="W3111" s="20"/>
      <c r="X3111" s="20"/>
      <c r="Y3111" s="20"/>
      <c r="Z3111" s="20"/>
      <c r="AA3111" s="20"/>
      <c r="AB3111" s="20"/>
      <c r="AC3111" s="20"/>
      <c r="AD3111" s="20"/>
      <c r="AE3111" s="20"/>
      <c r="AF3111" s="20"/>
      <c r="AG3111" s="20"/>
      <c r="AH3111" s="20"/>
      <c r="AI3111" s="20"/>
      <c r="AJ3111" s="20"/>
      <c r="AK3111" s="20"/>
      <c r="AL3111" s="20"/>
      <c r="AM3111" s="20"/>
      <c r="AN3111" s="20"/>
    </row>
    <row r="3112" s="18" customFormat="1" ht="14.100000000000001" customHeight="1">
      <c r="A3112" s="20"/>
      <c r="B3112" s="20" t="s">
        <v>6368</v>
      </c>
      <c r="C3112" s="20" t="s">
        <v>6369</v>
      </c>
      <c r="D3112" s="20" t="s">
        <v>6368</v>
      </c>
      <c r="E3112" s="20" t="e">
        <f t="array" ref="E3112">INDEX(C:C,SMALL(IF(ISNUMBER(FIND(CELL("contents"),$C$2:$C$4852)),ROW($C$2:$C$4852),4^8),ROW(C3112)))&amp;""</f>
        <v>#N/A</v>
      </c>
      <c r="F3112" s="20"/>
      <c r="G3112" s="20"/>
      <c r="H3112" s="20"/>
      <c r="I3112" s="20"/>
      <c r="J3112" s="20"/>
      <c r="K3112" s="20"/>
      <c r="L3112" s="20"/>
      <c r="M3112" s="20"/>
      <c r="N3112" s="20"/>
      <c r="O3112" s="20"/>
      <c r="P3112" s="20"/>
      <c r="Q3112" s="20"/>
      <c r="R3112" s="20"/>
      <c r="S3112" s="20"/>
      <c r="T3112" s="20"/>
      <c r="U3112" s="20"/>
      <c r="V3112" s="20"/>
      <c r="W3112" s="20"/>
      <c r="X3112" s="20"/>
      <c r="Y3112" s="20"/>
      <c r="Z3112" s="20"/>
      <c r="AA3112" s="20"/>
      <c r="AB3112" s="20"/>
      <c r="AC3112" s="20"/>
      <c r="AD3112" s="20"/>
      <c r="AE3112" s="20"/>
      <c r="AF3112" s="20"/>
      <c r="AG3112" s="20"/>
      <c r="AH3112" s="20"/>
      <c r="AI3112" s="20"/>
      <c r="AJ3112" s="20"/>
      <c r="AK3112" s="20"/>
      <c r="AL3112" s="20"/>
      <c r="AM3112" s="20"/>
      <c r="AN3112" s="20"/>
    </row>
    <row r="3113" s="18" customFormat="1" ht="14.100000000000001" customHeight="1">
      <c r="A3113" s="20"/>
      <c r="B3113" s="20" t="s">
        <v>6370</v>
      </c>
      <c r="C3113" s="20" t="s">
        <v>6371</v>
      </c>
      <c r="D3113" s="20" t="s">
        <v>6370</v>
      </c>
      <c r="E3113" s="20" t="e">
        <f t="array" ref="E3113">INDEX(C:C,SMALL(IF(ISNUMBER(FIND(CELL("contents"),$C$2:$C$4852)),ROW($C$2:$C$4852),4^8),ROW(C3113)))&amp;""</f>
        <v>#N/A</v>
      </c>
      <c r="F3113" s="20"/>
      <c r="G3113" s="20"/>
      <c r="H3113" s="20"/>
      <c r="I3113" s="20"/>
      <c r="J3113" s="20"/>
      <c r="K3113" s="20"/>
      <c r="L3113" s="20"/>
      <c r="M3113" s="20"/>
      <c r="N3113" s="20"/>
      <c r="O3113" s="20"/>
      <c r="P3113" s="20"/>
      <c r="Q3113" s="20"/>
      <c r="R3113" s="20"/>
      <c r="S3113" s="20"/>
      <c r="T3113" s="20"/>
      <c r="U3113" s="20"/>
      <c r="V3113" s="20"/>
      <c r="W3113" s="20"/>
      <c r="X3113" s="20"/>
      <c r="Y3113" s="20"/>
      <c r="Z3113" s="20"/>
      <c r="AA3113" s="20"/>
      <c r="AB3113" s="20"/>
      <c r="AC3113" s="20"/>
      <c r="AD3113" s="20"/>
      <c r="AE3113" s="20"/>
      <c r="AF3113" s="20"/>
      <c r="AG3113" s="20"/>
      <c r="AH3113" s="20"/>
      <c r="AI3113" s="20"/>
      <c r="AJ3113" s="20"/>
      <c r="AK3113" s="20"/>
      <c r="AL3113" s="20"/>
      <c r="AM3113" s="20"/>
      <c r="AN3113" s="20"/>
    </row>
    <row r="3114" s="18" customFormat="1" ht="14.100000000000001" customHeight="1">
      <c r="A3114" s="20"/>
      <c r="B3114" s="20" t="s">
        <v>6372</v>
      </c>
      <c r="C3114" s="20" t="s">
        <v>6373</v>
      </c>
      <c r="D3114" s="20" t="s">
        <v>6372</v>
      </c>
      <c r="E3114" s="20" t="e">
        <f t="array" ref="E3114">INDEX(C:C,SMALL(IF(ISNUMBER(FIND(CELL("contents"),$C$2:$C$4852)),ROW($C$2:$C$4852),4^8),ROW(C3114)))&amp;""</f>
        <v>#N/A</v>
      </c>
      <c r="F3114" s="20"/>
      <c r="G3114" s="20"/>
      <c r="H3114" s="20"/>
      <c r="I3114" s="20"/>
      <c r="J3114" s="20"/>
      <c r="K3114" s="20"/>
      <c r="L3114" s="20"/>
      <c r="M3114" s="20"/>
      <c r="N3114" s="20"/>
      <c r="O3114" s="20"/>
      <c r="P3114" s="20"/>
      <c r="Q3114" s="20"/>
      <c r="R3114" s="20"/>
      <c r="S3114" s="20"/>
      <c r="T3114" s="20"/>
      <c r="U3114" s="20"/>
      <c r="V3114" s="20"/>
      <c r="W3114" s="20"/>
      <c r="X3114" s="20"/>
      <c r="Y3114" s="20"/>
      <c r="Z3114" s="20"/>
      <c r="AA3114" s="20"/>
      <c r="AB3114" s="20"/>
      <c r="AC3114" s="20"/>
      <c r="AD3114" s="20"/>
      <c r="AE3114" s="20"/>
      <c r="AF3114" s="20"/>
      <c r="AG3114" s="20"/>
      <c r="AH3114" s="20"/>
      <c r="AI3114" s="20"/>
      <c r="AJ3114" s="20"/>
      <c r="AK3114" s="20"/>
      <c r="AL3114" s="20"/>
      <c r="AM3114" s="20"/>
      <c r="AN3114" s="20"/>
    </row>
    <row r="3115" s="18" customFormat="1" ht="14.100000000000001" customHeight="1">
      <c r="A3115" s="20"/>
      <c r="B3115" s="20" t="s">
        <v>6374</v>
      </c>
      <c r="C3115" s="20" t="s">
        <v>6375</v>
      </c>
      <c r="D3115" s="20" t="s">
        <v>6374</v>
      </c>
      <c r="E3115" s="20" t="e">
        <f t="array" ref="E3115">INDEX(C:C,SMALL(IF(ISNUMBER(FIND(CELL("contents"),$C$2:$C$4852)),ROW($C$2:$C$4852),4^8),ROW(C3115)))&amp;""</f>
        <v>#N/A</v>
      </c>
      <c r="F3115" s="20"/>
      <c r="G3115" s="20"/>
      <c r="H3115" s="20"/>
      <c r="I3115" s="20"/>
      <c r="J3115" s="20"/>
      <c r="K3115" s="20"/>
      <c r="L3115" s="20"/>
      <c r="M3115" s="20"/>
      <c r="N3115" s="20"/>
      <c r="O3115" s="20"/>
      <c r="P3115" s="20"/>
      <c r="Q3115" s="20"/>
      <c r="R3115" s="20"/>
      <c r="S3115" s="20"/>
      <c r="T3115" s="20"/>
      <c r="U3115" s="20"/>
      <c r="V3115" s="20"/>
      <c r="W3115" s="20"/>
      <c r="X3115" s="20"/>
      <c r="Y3115" s="20"/>
      <c r="Z3115" s="20"/>
      <c r="AA3115" s="20"/>
      <c r="AB3115" s="20"/>
      <c r="AC3115" s="20"/>
      <c r="AD3115" s="20"/>
      <c r="AE3115" s="20"/>
      <c r="AF3115" s="20"/>
      <c r="AG3115" s="20"/>
      <c r="AH3115" s="20"/>
      <c r="AI3115" s="20"/>
      <c r="AJ3115" s="20"/>
      <c r="AK3115" s="20"/>
      <c r="AL3115" s="20"/>
      <c r="AM3115" s="20"/>
      <c r="AN3115" s="20"/>
    </row>
    <row r="3116" s="18" customFormat="1" ht="14.100000000000001" customHeight="1">
      <c r="A3116" s="20"/>
      <c r="B3116" s="20" t="s">
        <v>6376</v>
      </c>
      <c r="C3116" s="20" t="s">
        <v>6377</v>
      </c>
      <c r="D3116" s="20" t="s">
        <v>6376</v>
      </c>
      <c r="E3116" s="20" t="e">
        <f t="array" ref="E3116">INDEX(C:C,SMALL(IF(ISNUMBER(FIND(CELL("contents"),$C$2:$C$4852)),ROW($C$2:$C$4852),4^8),ROW(C3116)))&amp;""</f>
        <v>#N/A</v>
      </c>
      <c r="F3116" s="20"/>
      <c r="G3116" s="20"/>
      <c r="H3116" s="20"/>
      <c r="I3116" s="20"/>
      <c r="J3116" s="20"/>
      <c r="K3116" s="20"/>
      <c r="L3116" s="20"/>
      <c r="M3116" s="20"/>
      <c r="N3116" s="20"/>
      <c r="O3116" s="20"/>
      <c r="P3116" s="20"/>
      <c r="Q3116" s="20"/>
      <c r="R3116" s="20"/>
      <c r="S3116" s="20"/>
      <c r="T3116" s="20"/>
      <c r="U3116" s="20"/>
      <c r="V3116" s="20"/>
      <c r="W3116" s="20"/>
      <c r="X3116" s="20"/>
      <c r="Y3116" s="20"/>
      <c r="Z3116" s="20"/>
      <c r="AA3116" s="20"/>
      <c r="AB3116" s="20"/>
      <c r="AC3116" s="20"/>
      <c r="AD3116" s="20"/>
      <c r="AE3116" s="20"/>
      <c r="AF3116" s="20"/>
      <c r="AG3116" s="20"/>
      <c r="AH3116" s="20"/>
      <c r="AI3116" s="20"/>
      <c r="AJ3116" s="20"/>
      <c r="AK3116" s="20"/>
      <c r="AL3116" s="20"/>
      <c r="AM3116" s="20"/>
      <c r="AN3116" s="20"/>
    </row>
    <row r="3117" s="18" customFormat="1" ht="14.100000000000001" customHeight="1">
      <c r="A3117" s="20"/>
      <c r="B3117" s="20" t="s">
        <v>6378</v>
      </c>
      <c r="C3117" s="20" t="s">
        <v>6379</v>
      </c>
      <c r="D3117" s="20" t="s">
        <v>6378</v>
      </c>
      <c r="E3117" s="20" t="e">
        <f t="array" ref="E3117">INDEX(C:C,SMALL(IF(ISNUMBER(FIND(CELL("contents"),$C$2:$C$4852)),ROW($C$2:$C$4852),4^8),ROW(C3117)))&amp;""</f>
        <v>#N/A</v>
      </c>
      <c r="F3117" s="20"/>
      <c r="G3117" s="20"/>
      <c r="H3117" s="20"/>
      <c r="I3117" s="20"/>
      <c r="J3117" s="20"/>
      <c r="K3117" s="20"/>
      <c r="L3117" s="20"/>
      <c r="M3117" s="20"/>
      <c r="N3117" s="20"/>
      <c r="O3117" s="20"/>
      <c r="P3117" s="20"/>
      <c r="Q3117" s="20"/>
      <c r="R3117" s="20"/>
      <c r="S3117" s="20"/>
      <c r="T3117" s="20"/>
      <c r="U3117" s="20"/>
      <c r="V3117" s="20"/>
      <c r="W3117" s="20"/>
      <c r="X3117" s="20"/>
      <c r="Y3117" s="20"/>
      <c r="Z3117" s="20"/>
      <c r="AA3117" s="20"/>
      <c r="AB3117" s="20"/>
      <c r="AC3117" s="20"/>
      <c r="AD3117" s="20"/>
      <c r="AE3117" s="20"/>
      <c r="AF3117" s="20"/>
      <c r="AG3117" s="20"/>
      <c r="AH3117" s="20"/>
      <c r="AI3117" s="20"/>
      <c r="AJ3117" s="20"/>
      <c r="AK3117" s="20"/>
      <c r="AL3117" s="20"/>
      <c r="AM3117" s="20"/>
      <c r="AN3117" s="20"/>
    </row>
    <row r="3118" s="18" customFormat="1" ht="14.100000000000001" customHeight="1">
      <c r="A3118" s="20"/>
      <c r="B3118" s="20" t="s">
        <v>6380</v>
      </c>
      <c r="C3118" s="20" t="s">
        <v>6381</v>
      </c>
      <c r="D3118" s="20" t="s">
        <v>6380</v>
      </c>
      <c r="E3118" s="20" t="e">
        <f t="array" ref="E3118">INDEX(C:C,SMALL(IF(ISNUMBER(FIND(CELL("contents"),$C$2:$C$4852)),ROW($C$2:$C$4852),4^8),ROW(C3118)))&amp;""</f>
        <v>#N/A</v>
      </c>
      <c r="F3118" s="20"/>
      <c r="G3118" s="20"/>
      <c r="H3118" s="20"/>
      <c r="I3118" s="20"/>
      <c r="J3118" s="20"/>
      <c r="K3118" s="20"/>
      <c r="L3118" s="20"/>
      <c r="M3118" s="20"/>
      <c r="N3118" s="20"/>
      <c r="O3118" s="20"/>
      <c r="P3118" s="20"/>
      <c r="Q3118" s="20"/>
      <c r="R3118" s="20"/>
      <c r="S3118" s="20"/>
      <c r="T3118" s="20"/>
      <c r="U3118" s="20"/>
      <c r="V3118" s="20"/>
      <c r="W3118" s="20"/>
      <c r="X3118" s="20"/>
      <c r="Y3118" s="20"/>
      <c r="Z3118" s="20"/>
      <c r="AA3118" s="20"/>
      <c r="AB3118" s="20"/>
      <c r="AC3118" s="20"/>
      <c r="AD3118" s="20"/>
      <c r="AE3118" s="20"/>
      <c r="AF3118" s="20"/>
      <c r="AG3118" s="20"/>
      <c r="AH3118" s="20"/>
      <c r="AI3118" s="20"/>
      <c r="AJ3118" s="20"/>
      <c r="AK3118" s="20"/>
      <c r="AL3118" s="20"/>
      <c r="AM3118" s="20"/>
      <c r="AN3118" s="20"/>
    </row>
    <row r="3119" s="18" customFormat="1" ht="14.100000000000001" customHeight="1">
      <c r="A3119" s="20"/>
      <c r="B3119" s="20" t="s">
        <v>6382</v>
      </c>
      <c r="C3119" s="20" t="s">
        <v>6383</v>
      </c>
      <c r="D3119" s="20" t="s">
        <v>6382</v>
      </c>
      <c r="E3119" s="20" t="e">
        <f t="array" ref="E3119">INDEX(C:C,SMALL(IF(ISNUMBER(FIND(CELL("contents"),$C$2:$C$4852)),ROW($C$2:$C$4852),4^8),ROW(C3119)))&amp;""</f>
        <v>#N/A</v>
      </c>
      <c r="F3119" s="20"/>
      <c r="G3119" s="20"/>
      <c r="H3119" s="20"/>
      <c r="I3119" s="20"/>
      <c r="J3119" s="20"/>
      <c r="K3119" s="20"/>
      <c r="L3119" s="20"/>
      <c r="M3119" s="20"/>
      <c r="N3119" s="20"/>
      <c r="O3119" s="20"/>
      <c r="P3119" s="20"/>
      <c r="Q3119" s="20"/>
      <c r="R3119" s="20"/>
      <c r="S3119" s="20"/>
      <c r="T3119" s="20"/>
      <c r="U3119" s="20"/>
      <c r="V3119" s="20"/>
      <c r="W3119" s="20"/>
      <c r="X3119" s="20"/>
      <c r="Y3119" s="20"/>
      <c r="Z3119" s="20"/>
      <c r="AA3119" s="20"/>
      <c r="AB3119" s="20"/>
      <c r="AC3119" s="20"/>
      <c r="AD3119" s="20"/>
      <c r="AE3119" s="20"/>
      <c r="AF3119" s="20"/>
      <c r="AG3119" s="20"/>
      <c r="AH3119" s="20"/>
      <c r="AI3119" s="20"/>
      <c r="AJ3119" s="20"/>
      <c r="AK3119" s="20"/>
      <c r="AL3119" s="20"/>
      <c r="AM3119" s="20"/>
      <c r="AN3119" s="20"/>
    </row>
    <row r="3120" s="18" customFormat="1" ht="14.100000000000001" customHeight="1">
      <c r="A3120" s="20"/>
      <c r="B3120" s="20" t="s">
        <v>6384</v>
      </c>
      <c r="C3120" s="20" t="s">
        <v>6385</v>
      </c>
      <c r="D3120" s="20" t="s">
        <v>6384</v>
      </c>
      <c r="E3120" s="20" t="e">
        <f t="array" ref="E3120">INDEX(C:C,SMALL(IF(ISNUMBER(FIND(CELL("contents"),$C$2:$C$4852)),ROW($C$2:$C$4852),4^8),ROW(C3120)))&amp;""</f>
        <v>#N/A</v>
      </c>
      <c r="F3120" s="20"/>
      <c r="G3120" s="20"/>
      <c r="H3120" s="20"/>
      <c r="I3120" s="20"/>
      <c r="J3120" s="20"/>
      <c r="K3120" s="20"/>
      <c r="L3120" s="20"/>
      <c r="M3120" s="20"/>
      <c r="N3120" s="20"/>
      <c r="O3120" s="20"/>
      <c r="P3120" s="20"/>
      <c r="Q3120" s="20"/>
      <c r="R3120" s="20"/>
      <c r="S3120" s="20"/>
      <c r="T3120" s="20"/>
      <c r="U3120" s="20"/>
      <c r="V3120" s="20"/>
      <c r="W3120" s="20"/>
      <c r="X3120" s="20"/>
      <c r="Y3120" s="20"/>
      <c r="Z3120" s="20"/>
      <c r="AA3120" s="20"/>
      <c r="AB3120" s="20"/>
      <c r="AC3120" s="20"/>
      <c r="AD3120" s="20"/>
      <c r="AE3120" s="20"/>
      <c r="AF3120" s="20"/>
      <c r="AG3120" s="20"/>
      <c r="AH3120" s="20"/>
      <c r="AI3120" s="20"/>
      <c r="AJ3120" s="20"/>
      <c r="AK3120" s="20"/>
      <c r="AL3120" s="20"/>
      <c r="AM3120" s="20"/>
      <c r="AN3120" s="20"/>
    </row>
    <row r="3121" s="18" customFormat="1" ht="14.100000000000001" customHeight="1">
      <c r="A3121" s="20"/>
      <c r="B3121" s="20" t="s">
        <v>6386</v>
      </c>
      <c r="C3121" s="20" t="s">
        <v>6387</v>
      </c>
      <c r="D3121" s="20" t="s">
        <v>6386</v>
      </c>
      <c r="E3121" s="20" t="e">
        <f t="array" ref="E3121">INDEX(C:C,SMALL(IF(ISNUMBER(FIND(CELL("contents"),$C$2:$C$4852)),ROW($C$2:$C$4852),4^8),ROW(C3121)))&amp;""</f>
        <v>#N/A</v>
      </c>
      <c r="F3121" s="20"/>
      <c r="G3121" s="20"/>
      <c r="H3121" s="20"/>
      <c r="I3121" s="20"/>
      <c r="J3121" s="20"/>
      <c r="K3121" s="20"/>
      <c r="L3121" s="20"/>
      <c r="M3121" s="20"/>
      <c r="N3121" s="20"/>
      <c r="O3121" s="20"/>
      <c r="P3121" s="20"/>
      <c r="Q3121" s="20"/>
      <c r="R3121" s="20"/>
      <c r="S3121" s="20"/>
      <c r="T3121" s="20"/>
      <c r="U3121" s="20"/>
      <c r="V3121" s="20"/>
      <c r="W3121" s="20"/>
      <c r="X3121" s="20"/>
      <c r="Y3121" s="20"/>
      <c r="Z3121" s="20"/>
      <c r="AA3121" s="20"/>
      <c r="AB3121" s="20"/>
      <c r="AC3121" s="20"/>
      <c r="AD3121" s="20"/>
      <c r="AE3121" s="20"/>
      <c r="AF3121" s="20"/>
      <c r="AG3121" s="20"/>
      <c r="AH3121" s="20"/>
      <c r="AI3121" s="20"/>
      <c r="AJ3121" s="20"/>
      <c r="AK3121" s="20"/>
      <c r="AL3121" s="20"/>
      <c r="AM3121" s="20"/>
      <c r="AN3121" s="20"/>
    </row>
    <row r="3122" s="18" customFormat="1" ht="14.100000000000001" customHeight="1">
      <c r="A3122" s="20"/>
      <c r="B3122" s="20" t="s">
        <v>6388</v>
      </c>
      <c r="C3122" s="20" t="s">
        <v>6389</v>
      </c>
      <c r="D3122" s="20" t="s">
        <v>6388</v>
      </c>
      <c r="E3122" s="20" t="e">
        <f t="array" ref="E3122">INDEX(C:C,SMALL(IF(ISNUMBER(FIND(CELL("contents"),$C$2:$C$4852)),ROW($C$2:$C$4852),4^8),ROW(C3122)))&amp;""</f>
        <v>#N/A</v>
      </c>
      <c r="F3122" s="20"/>
      <c r="G3122" s="20"/>
      <c r="H3122" s="20"/>
      <c r="I3122" s="20"/>
      <c r="J3122" s="20"/>
      <c r="K3122" s="20"/>
      <c r="L3122" s="20"/>
      <c r="M3122" s="20"/>
      <c r="N3122" s="20"/>
      <c r="O3122" s="20"/>
      <c r="P3122" s="20"/>
      <c r="Q3122" s="20"/>
      <c r="R3122" s="20"/>
      <c r="S3122" s="20"/>
      <c r="T3122" s="20"/>
      <c r="U3122" s="20"/>
      <c r="V3122" s="20"/>
      <c r="W3122" s="20"/>
      <c r="X3122" s="20"/>
      <c r="Y3122" s="20"/>
      <c r="Z3122" s="20"/>
      <c r="AA3122" s="20"/>
      <c r="AB3122" s="20"/>
      <c r="AC3122" s="20"/>
      <c r="AD3122" s="20"/>
      <c r="AE3122" s="20"/>
      <c r="AF3122" s="20"/>
      <c r="AG3122" s="20"/>
      <c r="AH3122" s="20"/>
      <c r="AI3122" s="20"/>
      <c r="AJ3122" s="20"/>
      <c r="AK3122" s="20"/>
      <c r="AL3122" s="20"/>
      <c r="AM3122" s="20"/>
      <c r="AN3122" s="20"/>
    </row>
    <row r="3123" s="18" customFormat="1" ht="14.100000000000001" customHeight="1">
      <c r="A3123" s="20"/>
      <c r="B3123" s="20" t="s">
        <v>6390</v>
      </c>
      <c r="C3123" s="20" t="s">
        <v>6391</v>
      </c>
      <c r="D3123" s="20" t="s">
        <v>6390</v>
      </c>
      <c r="E3123" s="20" t="e">
        <f t="array" ref="E3123">INDEX(C:C,SMALL(IF(ISNUMBER(FIND(CELL("contents"),$C$2:$C$4852)),ROW($C$2:$C$4852),4^8),ROW(C3123)))&amp;""</f>
        <v>#N/A</v>
      </c>
      <c r="F3123" s="20"/>
      <c r="G3123" s="20"/>
      <c r="H3123" s="20"/>
      <c r="I3123" s="20"/>
      <c r="J3123" s="20"/>
      <c r="K3123" s="20"/>
      <c r="L3123" s="20"/>
      <c r="M3123" s="20"/>
      <c r="N3123" s="20"/>
      <c r="O3123" s="20"/>
      <c r="P3123" s="20"/>
      <c r="Q3123" s="20"/>
      <c r="R3123" s="20"/>
      <c r="S3123" s="20"/>
      <c r="T3123" s="20"/>
      <c r="U3123" s="20"/>
      <c r="V3123" s="20"/>
      <c r="W3123" s="20"/>
      <c r="X3123" s="20"/>
      <c r="Y3123" s="20"/>
      <c r="Z3123" s="20"/>
      <c r="AA3123" s="20"/>
      <c r="AB3123" s="20"/>
      <c r="AC3123" s="20"/>
      <c r="AD3123" s="20"/>
      <c r="AE3123" s="20"/>
      <c r="AF3123" s="20"/>
      <c r="AG3123" s="20"/>
      <c r="AH3123" s="20"/>
      <c r="AI3123" s="20"/>
      <c r="AJ3123" s="20"/>
      <c r="AK3123" s="20"/>
      <c r="AL3123" s="20"/>
      <c r="AM3123" s="20"/>
      <c r="AN3123" s="20"/>
    </row>
    <row r="3124" s="18" customFormat="1" ht="14.100000000000001" customHeight="1">
      <c r="A3124" s="20"/>
      <c r="B3124" s="20" t="s">
        <v>6392</v>
      </c>
      <c r="C3124" s="20" t="s">
        <v>6393</v>
      </c>
      <c r="D3124" s="20" t="s">
        <v>6392</v>
      </c>
      <c r="E3124" s="20" t="e">
        <f t="array" ref="E3124">INDEX(C:C,SMALL(IF(ISNUMBER(FIND(CELL("contents"),$C$2:$C$4852)),ROW($C$2:$C$4852),4^8),ROW(C3124)))&amp;""</f>
        <v>#N/A</v>
      </c>
      <c r="F3124" s="20"/>
      <c r="G3124" s="20"/>
      <c r="H3124" s="20"/>
      <c r="I3124" s="20"/>
      <c r="J3124" s="20"/>
      <c r="K3124" s="20"/>
      <c r="L3124" s="20"/>
      <c r="M3124" s="20"/>
      <c r="N3124" s="20"/>
      <c r="O3124" s="20"/>
      <c r="P3124" s="20"/>
      <c r="Q3124" s="20"/>
      <c r="R3124" s="20"/>
      <c r="S3124" s="20"/>
      <c r="T3124" s="20"/>
      <c r="U3124" s="20"/>
      <c r="V3124" s="20"/>
      <c r="W3124" s="20"/>
      <c r="X3124" s="20"/>
      <c r="Y3124" s="20"/>
      <c r="Z3124" s="20"/>
      <c r="AA3124" s="20"/>
      <c r="AB3124" s="20"/>
      <c r="AC3124" s="20"/>
      <c r="AD3124" s="20"/>
      <c r="AE3124" s="20"/>
      <c r="AF3124" s="20"/>
      <c r="AG3124" s="20"/>
      <c r="AH3124" s="20"/>
      <c r="AI3124" s="20"/>
      <c r="AJ3124" s="20"/>
      <c r="AK3124" s="20"/>
      <c r="AL3124" s="20"/>
      <c r="AM3124" s="20"/>
      <c r="AN3124" s="20"/>
    </row>
    <row r="3125" s="18" customFormat="1" ht="14.100000000000001" customHeight="1">
      <c r="A3125" s="20"/>
      <c r="B3125" s="20" t="s">
        <v>6394</v>
      </c>
      <c r="C3125" s="20" t="s">
        <v>6395</v>
      </c>
      <c r="D3125" s="20" t="s">
        <v>6394</v>
      </c>
      <c r="E3125" s="20" t="e">
        <f t="array" ref="E3125">INDEX(C:C,SMALL(IF(ISNUMBER(FIND(CELL("contents"),$C$2:$C$4852)),ROW($C$2:$C$4852),4^8),ROW(C3125)))&amp;""</f>
        <v>#N/A</v>
      </c>
      <c r="F3125" s="20"/>
      <c r="G3125" s="20"/>
      <c r="H3125" s="20"/>
      <c r="I3125" s="20"/>
      <c r="J3125" s="20"/>
      <c r="K3125" s="20"/>
      <c r="L3125" s="20"/>
      <c r="M3125" s="20"/>
      <c r="N3125" s="20"/>
      <c r="O3125" s="20"/>
      <c r="P3125" s="20"/>
      <c r="Q3125" s="20"/>
      <c r="R3125" s="20"/>
      <c r="S3125" s="20"/>
      <c r="T3125" s="20"/>
      <c r="U3125" s="20"/>
      <c r="V3125" s="20"/>
      <c r="W3125" s="20"/>
      <c r="X3125" s="20"/>
      <c r="Y3125" s="20"/>
      <c r="Z3125" s="20"/>
      <c r="AA3125" s="20"/>
      <c r="AB3125" s="20"/>
      <c r="AC3125" s="20"/>
      <c r="AD3125" s="20"/>
      <c r="AE3125" s="20"/>
      <c r="AF3125" s="20"/>
      <c r="AG3125" s="20"/>
      <c r="AH3125" s="20"/>
      <c r="AI3125" s="20"/>
      <c r="AJ3125" s="20"/>
      <c r="AK3125" s="20"/>
      <c r="AL3125" s="20"/>
      <c r="AM3125" s="20"/>
      <c r="AN3125" s="20"/>
    </row>
    <row r="3126" s="18" customFormat="1" ht="14.100000000000001" customHeight="1">
      <c r="A3126" s="20"/>
      <c r="B3126" s="20" t="s">
        <v>6396</v>
      </c>
      <c r="C3126" s="20" t="s">
        <v>6397</v>
      </c>
      <c r="D3126" s="20" t="s">
        <v>6396</v>
      </c>
      <c r="E3126" s="20" t="e">
        <f t="array" ref="E3126">INDEX(C:C,SMALL(IF(ISNUMBER(FIND(CELL("contents"),$C$2:$C$4852)),ROW($C$2:$C$4852),4^8),ROW(C3126)))&amp;""</f>
        <v>#N/A</v>
      </c>
      <c r="F3126" s="20"/>
      <c r="G3126" s="20"/>
      <c r="H3126" s="20"/>
      <c r="I3126" s="20"/>
      <c r="J3126" s="20"/>
      <c r="K3126" s="20"/>
      <c r="L3126" s="20"/>
      <c r="M3126" s="20"/>
      <c r="N3126" s="20"/>
      <c r="O3126" s="20"/>
      <c r="P3126" s="20"/>
      <c r="Q3126" s="20"/>
      <c r="R3126" s="20"/>
      <c r="S3126" s="20"/>
      <c r="T3126" s="20"/>
      <c r="U3126" s="20"/>
      <c r="V3126" s="20"/>
      <c r="W3126" s="20"/>
      <c r="X3126" s="20"/>
      <c r="Y3126" s="20"/>
      <c r="Z3126" s="20"/>
      <c r="AA3126" s="20"/>
      <c r="AB3126" s="20"/>
      <c r="AC3126" s="20"/>
      <c r="AD3126" s="20"/>
      <c r="AE3126" s="20"/>
      <c r="AF3126" s="20"/>
      <c r="AG3126" s="20"/>
      <c r="AH3126" s="20"/>
      <c r="AI3126" s="20"/>
      <c r="AJ3126" s="20"/>
      <c r="AK3126" s="20"/>
      <c r="AL3126" s="20"/>
      <c r="AM3126" s="20"/>
      <c r="AN3126" s="20"/>
    </row>
    <row r="3127" s="18" customFormat="1" ht="14.100000000000001" customHeight="1">
      <c r="A3127" s="20"/>
      <c r="B3127" s="20" t="s">
        <v>6398</v>
      </c>
      <c r="C3127" s="20" t="s">
        <v>6399</v>
      </c>
      <c r="D3127" s="20" t="s">
        <v>6398</v>
      </c>
      <c r="E3127" s="20" t="e">
        <f t="array" ref="E3127">INDEX(C:C,SMALL(IF(ISNUMBER(FIND(CELL("contents"),$C$2:$C$4852)),ROW($C$2:$C$4852),4^8),ROW(C3127)))&amp;""</f>
        <v>#N/A</v>
      </c>
      <c r="F3127" s="20"/>
      <c r="G3127" s="20"/>
      <c r="H3127" s="20"/>
      <c r="I3127" s="20"/>
      <c r="J3127" s="20"/>
      <c r="K3127" s="20"/>
      <c r="L3127" s="20"/>
      <c r="M3127" s="20"/>
      <c r="N3127" s="20"/>
      <c r="O3127" s="20"/>
      <c r="P3127" s="20"/>
      <c r="Q3127" s="20"/>
      <c r="R3127" s="20"/>
      <c r="S3127" s="20"/>
      <c r="T3127" s="20"/>
      <c r="U3127" s="20"/>
      <c r="V3127" s="20"/>
      <c r="W3127" s="20"/>
      <c r="X3127" s="20"/>
      <c r="Y3127" s="20"/>
      <c r="Z3127" s="20"/>
      <c r="AA3127" s="20"/>
      <c r="AB3127" s="20"/>
      <c r="AC3127" s="20"/>
      <c r="AD3127" s="20"/>
      <c r="AE3127" s="20"/>
      <c r="AF3127" s="20"/>
      <c r="AG3127" s="20"/>
      <c r="AH3127" s="20"/>
      <c r="AI3127" s="20"/>
      <c r="AJ3127" s="20"/>
      <c r="AK3127" s="20"/>
      <c r="AL3127" s="20"/>
      <c r="AM3127" s="20"/>
      <c r="AN3127" s="20"/>
    </row>
    <row r="3128" s="18" customFormat="1" ht="14.100000000000001" customHeight="1">
      <c r="A3128" s="20"/>
      <c r="B3128" s="20" t="s">
        <v>6400</v>
      </c>
      <c r="C3128" s="20" t="s">
        <v>6401</v>
      </c>
      <c r="D3128" s="20" t="s">
        <v>6400</v>
      </c>
      <c r="E3128" s="20" t="e">
        <f t="array" ref="E3128">INDEX(C:C,SMALL(IF(ISNUMBER(FIND(CELL("contents"),$C$2:$C$4852)),ROW($C$2:$C$4852),4^8),ROW(C3128)))&amp;""</f>
        <v>#N/A</v>
      </c>
      <c r="F3128" s="20"/>
      <c r="G3128" s="20"/>
      <c r="H3128" s="20"/>
      <c r="I3128" s="20"/>
      <c r="J3128" s="20"/>
      <c r="K3128" s="20"/>
      <c r="L3128" s="20"/>
      <c r="M3128" s="20"/>
      <c r="N3128" s="20"/>
      <c r="O3128" s="20"/>
      <c r="P3128" s="20"/>
      <c r="Q3128" s="20"/>
      <c r="R3128" s="20"/>
      <c r="S3128" s="20"/>
      <c r="T3128" s="20"/>
      <c r="U3128" s="20"/>
      <c r="V3128" s="20"/>
      <c r="W3128" s="20"/>
      <c r="X3128" s="20"/>
      <c r="Y3128" s="20"/>
      <c r="Z3128" s="20"/>
      <c r="AA3128" s="20"/>
      <c r="AB3128" s="20"/>
      <c r="AC3128" s="20"/>
      <c r="AD3128" s="20"/>
      <c r="AE3128" s="20"/>
      <c r="AF3128" s="20"/>
      <c r="AG3128" s="20"/>
      <c r="AH3128" s="20"/>
      <c r="AI3128" s="20"/>
      <c r="AJ3128" s="20"/>
      <c r="AK3128" s="20"/>
      <c r="AL3128" s="20"/>
      <c r="AM3128" s="20"/>
      <c r="AN3128" s="20"/>
    </row>
    <row r="3129" s="18" customFormat="1" ht="14.100000000000001" customHeight="1">
      <c r="A3129" s="20"/>
      <c r="B3129" s="20" t="s">
        <v>6402</v>
      </c>
      <c r="C3129" s="20" t="s">
        <v>6403</v>
      </c>
      <c r="D3129" s="20" t="s">
        <v>6402</v>
      </c>
      <c r="E3129" s="20" t="e">
        <f t="array" ref="E3129">INDEX(C:C,SMALL(IF(ISNUMBER(FIND(CELL("contents"),$C$2:$C$4852)),ROW($C$2:$C$4852),4^8),ROW(C3129)))&amp;""</f>
        <v>#N/A</v>
      </c>
      <c r="F3129" s="20"/>
      <c r="G3129" s="20"/>
      <c r="H3129" s="20"/>
      <c r="I3129" s="20"/>
      <c r="J3129" s="20"/>
      <c r="K3129" s="20"/>
      <c r="L3129" s="20"/>
      <c r="M3129" s="20"/>
      <c r="N3129" s="20"/>
      <c r="O3129" s="20"/>
      <c r="P3129" s="20"/>
      <c r="Q3129" s="20"/>
      <c r="R3129" s="20"/>
      <c r="S3129" s="20"/>
      <c r="T3129" s="20"/>
      <c r="U3129" s="20"/>
      <c r="V3129" s="20"/>
      <c r="W3129" s="20"/>
      <c r="X3129" s="20"/>
      <c r="Y3129" s="20"/>
      <c r="Z3129" s="20"/>
      <c r="AA3129" s="20"/>
      <c r="AB3129" s="20"/>
      <c r="AC3129" s="20"/>
      <c r="AD3129" s="20"/>
      <c r="AE3129" s="20"/>
      <c r="AF3129" s="20"/>
      <c r="AG3129" s="20"/>
      <c r="AH3129" s="20"/>
      <c r="AI3129" s="20"/>
      <c r="AJ3129" s="20"/>
      <c r="AK3129" s="20"/>
      <c r="AL3129" s="20"/>
      <c r="AM3129" s="20"/>
      <c r="AN3129" s="20"/>
    </row>
    <row r="3130" s="18" customFormat="1" ht="14.100000000000001" customHeight="1">
      <c r="A3130" s="20"/>
      <c r="B3130" s="20" t="s">
        <v>6404</v>
      </c>
      <c r="C3130" s="20" t="s">
        <v>6405</v>
      </c>
      <c r="D3130" s="20" t="s">
        <v>6404</v>
      </c>
      <c r="E3130" s="20" t="e">
        <f t="array" ref="E3130">INDEX(C:C,SMALL(IF(ISNUMBER(FIND(CELL("contents"),$C$2:$C$4852)),ROW($C$2:$C$4852),4^8),ROW(C3130)))&amp;""</f>
        <v>#N/A</v>
      </c>
      <c r="F3130" s="20"/>
      <c r="G3130" s="20"/>
      <c r="H3130" s="20"/>
      <c r="I3130" s="20"/>
      <c r="J3130" s="20"/>
      <c r="K3130" s="20"/>
      <c r="L3130" s="20"/>
      <c r="M3130" s="20"/>
      <c r="N3130" s="20"/>
      <c r="O3130" s="20"/>
      <c r="P3130" s="20"/>
      <c r="Q3130" s="20"/>
      <c r="R3130" s="20"/>
      <c r="S3130" s="20"/>
      <c r="T3130" s="20"/>
      <c r="U3130" s="20"/>
      <c r="V3130" s="20"/>
      <c r="W3130" s="20"/>
      <c r="X3130" s="20"/>
      <c r="Y3130" s="20"/>
      <c r="Z3130" s="20"/>
      <c r="AA3130" s="20"/>
      <c r="AB3130" s="20"/>
      <c r="AC3130" s="20"/>
      <c r="AD3130" s="20"/>
      <c r="AE3130" s="20"/>
      <c r="AF3130" s="20"/>
      <c r="AG3130" s="20"/>
      <c r="AH3130" s="20"/>
      <c r="AI3130" s="20"/>
      <c r="AJ3130" s="20"/>
      <c r="AK3130" s="20"/>
      <c r="AL3130" s="20"/>
      <c r="AM3130" s="20"/>
      <c r="AN3130" s="20"/>
    </row>
    <row r="3131" s="18" customFormat="1" ht="14.100000000000001" customHeight="1">
      <c r="A3131" s="20"/>
      <c r="B3131" s="20" t="s">
        <v>6406</v>
      </c>
      <c r="C3131" s="20" t="s">
        <v>6407</v>
      </c>
      <c r="D3131" s="20" t="s">
        <v>6406</v>
      </c>
      <c r="E3131" s="20" t="e">
        <f t="array" ref="E3131">INDEX(C:C,SMALL(IF(ISNUMBER(FIND(CELL("contents"),$C$2:$C$4852)),ROW($C$2:$C$4852),4^8),ROW(C3131)))&amp;""</f>
        <v>#N/A</v>
      </c>
      <c r="F3131" s="20"/>
      <c r="G3131" s="20"/>
      <c r="H3131" s="20"/>
      <c r="I3131" s="20"/>
      <c r="J3131" s="20"/>
      <c r="K3131" s="20"/>
      <c r="L3131" s="20"/>
      <c r="M3131" s="20"/>
      <c r="N3131" s="20"/>
      <c r="O3131" s="20"/>
      <c r="P3131" s="20"/>
      <c r="Q3131" s="20"/>
      <c r="R3131" s="20"/>
      <c r="S3131" s="20"/>
      <c r="T3131" s="20"/>
      <c r="U3131" s="20"/>
      <c r="V3131" s="20"/>
      <c r="W3131" s="20"/>
      <c r="X3131" s="20"/>
      <c r="Y3131" s="20"/>
      <c r="Z3131" s="20"/>
      <c r="AA3131" s="20"/>
      <c r="AB3131" s="20"/>
      <c r="AC3131" s="20"/>
      <c r="AD3131" s="20"/>
      <c r="AE3131" s="20"/>
      <c r="AF3131" s="20"/>
      <c r="AG3131" s="20"/>
      <c r="AH3131" s="20"/>
      <c r="AI3131" s="20"/>
      <c r="AJ3131" s="20"/>
      <c r="AK3131" s="20"/>
      <c r="AL3131" s="20"/>
      <c r="AM3131" s="20"/>
      <c r="AN3131" s="20"/>
    </row>
    <row r="3132" s="18" customFormat="1" ht="14.100000000000001" customHeight="1">
      <c r="A3132" s="20"/>
      <c r="B3132" s="20" t="s">
        <v>6408</v>
      </c>
      <c r="C3132" s="20" t="s">
        <v>6409</v>
      </c>
      <c r="D3132" s="20" t="s">
        <v>6408</v>
      </c>
      <c r="E3132" s="20" t="e">
        <f t="array" ref="E3132">INDEX(C:C,SMALL(IF(ISNUMBER(FIND(CELL("contents"),$C$2:$C$4852)),ROW($C$2:$C$4852),4^8),ROW(C3132)))&amp;""</f>
        <v>#N/A</v>
      </c>
      <c r="F3132" s="20"/>
      <c r="G3132" s="20"/>
      <c r="H3132" s="20"/>
      <c r="I3132" s="20"/>
      <c r="J3132" s="20"/>
      <c r="K3132" s="20"/>
      <c r="L3132" s="20"/>
      <c r="M3132" s="20"/>
      <c r="N3132" s="20"/>
      <c r="O3132" s="20"/>
      <c r="P3132" s="20"/>
      <c r="Q3132" s="20"/>
      <c r="R3132" s="20"/>
      <c r="S3132" s="20"/>
      <c r="T3132" s="20"/>
      <c r="U3132" s="20"/>
      <c r="V3132" s="20"/>
      <c r="W3132" s="20"/>
      <c r="X3132" s="20"/>
      <c r="Y3132" s="20"/>
      <c r="Z3132" s="20"/>
      <c r="AA3132" s="20"/>
      <c r="AB3132" s="20"/>
      <c r="AC3132" s="20"/>
      <c r="AD3132" s="20"/>
      <c r="AE3132" s="20"/>
      <c r="AF3132" s="20"/>
      <c r="AG3132" s="20"/>
      <c r="AH3132" s="20"/>
      <c r="AI3132" s="20"/>
      <c r="AJ3132" s="20"/>
      <c r="AK3132" s="20"/>
      <c r="AL3132" s="20"/>
      <c r="AM3132" s="20"/>
      <c r="AN3132" s="20"/>
    </row>
    <row r="3133" s="18" customFormat="1" ht="14.100000000000001" customHeight="1">
      <c r="A3133" s="20"/>
      <c r="B3133" s="20" t="s">
        <v>6410</v>
      </c>
      <c r="C3133" s="20" t="s">
        <v>6411</v>
      </c>
      <c r="D3133" s="20" t="s">
        <v>6410</v>
      </c>
      <c r="E3133" s="20" t="e">
        <f t="array" ref="E3133">INDEX(C:C,SMALL(IF(ISNUMBER(FIND(CELL("contents"),$C$2:$C$4852)),ROW($C$2:$C$4852),4^8),ROW(C3133)))&amp;""</f>
        <v>#N/A</v>
      </c>
      <c r="F3133" s="20"/>
      <c r="G3133" s="20"/>
      <c r="H3133" s="20"/>
      <c r="I3133" s="20"/>
      <c r="J3133" s="20"/>
      <c r="K3133" s="20"/>
      <c r="L3133" s="20"/>
      <c r="M3133" s="20"/>
      <c r="N3133" s="20"/>
      <c r="O3133" s="20"/>
      <c r="P3133" s="20"/>
      <c r="Q3133" s="20"/>
      <c r="R3133" s="20"/>
      <c r="S3133" s="20"/>
      <c r="T3133" s="20"/>
      <c r="U3133" s="20"/>
      <c r="V3133" s="20"/>
      <c r="W3133" s="20"/>
      <c r="X3133" s="20"/>
      <c r="Y3133" s="20"/>
      <c r="Z3133" s="20"/>
      <c r="AA3133" s="20"/>
      <c r="AB3133" s="20"/>
      <c r="AC3133" s="20"/>
      <c r="AD3133" s="20"/>
      <c r="AE3133" s="20"/>
      <c r="AF3133" s="20"/>
      <c r="AG3133" s="20"/>
      <c r="AH3133" s="20"/>
      <c r="AI3133" s="20"/>
      <c r="AJ3133" s="20"/>
      <c r="AK3133" s="20"/>
      <c r="AL3133" s="20"/>
      <c r="AM3133" s="20"/>
      <c r="AN3133" s="20"/>
    </row>
    <row r="3134" s="18" customFormat="1" ht="14.100000000000001" customHeight="1">
      <c r="A3134" s="20"/>
      <c r="B3134" s="20" t="s">
        <v>6412</v>
      </c>
      <c r="C3134" s="20" t="s">
        <v>6413</v>
      </c>
      <c r="D3134" s="20" t="s">
        <v>6412</v>
      </c>
      <c r="E3134" s="20" t="e">
        <f t="array" ref="E3134">INDEX(C:C,SMALL(IF(ISNUMBER(FIND(CELL("contents"),$C$2:$C$4852)),ROW($C$2:$C$4852),4^8),ROW(C3134)))&amp;""</f>
        <v>#N/A</v>
      </c>
      <c r="F3134" s="20"/>
      <c r="G3134" s="20"/>
      <c r="H3134" s="20"/>
      <c r="I3134" s="20"/>
      <c r="J3134" s="20"/>
      <c r="K3134" s="20"/>
      <c r="L3134" s="20"/>
      <c r="M3134" s="20"/>
      <c r="N3134" s="20"/>
      <c r="O3134" s="20"/>
      <c r="P3134" s="20"/>
      <c r="Q3134" s="20"/>
      <c r="R3134" s="20"/>
      <c r="S3134" s="20"/>
      <c r="T3134" s="20"/>
      <c r="U3134" s="20"/>
      <c r="V3134" s="20"/>
      <c r="W3134" s="20"/>
      <c r="X3134" s="20"/>
      <c r="Y3134" s="20"/>
      <c r="Z3134" s="20"/>
      <c r="AA3134" s="20"/>
      <c r="AB3134" s="20"/>
      <c r="AC3134" s="20"/>
      <c r="AD3134" s="20"/>
      <c r="AE3134" s="20"/>
      <c r="AF3134" s="20"/>
      <c r="AG3134" s="20"/>
      <c r="AH3134" s="20"/>
      <c r="AI3134" s="20"/>
      <c r="AJ3134" s="20"/>
      <c r="AK3134" s="20"/>
      <c r="AL3134" s="20"/>
      <c r="AM3134" s="20"/>
      <c r="AN3134" s="20"/>
    </row>
    <row r="3135" s="18" customFormat="1" ht="14.100000000000001" customHeight="1">
      <c r="A3135" s="20"/>
      <c r="B3135" s="20" t="s">
        <v>6414</v>
      </c>
      <c r="C3135" s="20" t="s">
        <v>6415</v>
      </c>
      <c r="D3135" s="20" t="s">
        <v>6414</v>
      </c>
      <c r="E3135" s="20" t="e">
        <f t="array" ref="E3135">INDEX(C:C,SMALL(IF(ISNUMBER(FIND(CELL("contents"),$C$2:$C$4852)),ROW($C$2:$C$4852),4^8),ROW(C3135)))&amp;""</f>
        <v>#N/A</v>
      </c>
      <c r="F3135" s="20"/>
      <c r="G3135" s="20"/>
      <c r="H3135" s="20"/>
      <c r="I3135" s="20"/>
      <c r="J3135" s="20"/>
      <c r="K3135" s="20"/>
      <c r="L3135" s="20"/>
      <c r="M3135" s="20"/>
      <c r="N3135" s="20"/>
      <c r="O3135" s="20"/>
      <c r="P3135" s="20"/>
      <c r="Q3135" s="20"/>
      <c r="R3135" s="20"/>
      <c r="S3135" s="20"/>
      <c r="T3135" s="20"/>
      <c r="U3135" s="20"/>
      <c r="V3135" s="20"/>
      <c r="W3135" s="20"/>
      <c r="X3135" s="20"/>
      <c r="Y3135" s="20"/>
      <c r="Z3135" s="20"/>
      <c r="AA3135" s="20"/>
      <c r="AB3135" s="20"/>
      <c r="AC3135" s="20"/>
      <c r="AD3135" s="20"/>
      <c r="AE3135" s="20"/>
      <c r="AF3135" s="20"/>
      <c r="AG3135" s="20"/>
      <c r="AH3135" s="20"/>
      <c r="AI3135" s="20"/>
      <c r="AJ3135" s="20"/>
      <c r="AK3135" s="20"/>
      <c r="AL3135" s="20"/>
      <c r="AM3135" s="20"/>
      <c r="AN3135" s="20"/>
    </row>
    <row r="3136" s="18" customFormat="1" ht="14.100000000000001" customHeight="1">
      <c r="A3136" s="20"/>
      <c r="B3136" s="20" t="s">
        <v>6416</v>
      </c>
      <c r="C3136" s="20" t="s">
        <v>6417</v>
      </c>
      <c r="D3136" s="20" t="s">
        <v>6416</v>
      </c>
      <c r="E3136" s="20" t="e">
        <f t="array" ref="E3136">INDEX(C:C,SMALL(IF(ISNUMBER(FIND(CELL("contents"),$C$2:$C$4852)),ROW($C$2:$C$4852),4^8),ROW(C3136)))&amp;""</f>
        <v>#N/A</v>
      </c>
      <c r="F3136" s="20"/>
      <c r="G3136" s="20"/>
      <c r="H3136" s="20"/>
      <c r="I3136" s="20"/>
      <c r="J3136" s="20"/>
      <c r="K3136" s="20"/>
      <c r="L3136" s="20"/>
      <c r="M3136" s="20"/>
      <c r="N3136" s="20"/>
      <c r="O3136" s="20"/>
      <c r="P3136" s="20"/>
      <c r="Q3136" s="20"/>
      <c r="R3136" s="20"/>
      <c r="S3136" s="20"/>
      <c r="T3136" s="20"/>
      <c r="U3136" s="20"/>
      <c r="V3136" s="20"/>
      <c r="W3136" s="20"/>
      <c r="X3136" s="20"/>
      <c r="Y3136" s="20"/>
      <c r="Z3136" s="20"/>
      <c r="AA3136" s="20"/>
      <c r="AB3136" s="20"/>
      <c r="AC3136" s="20"/>
      <c r="AD3136" s="20"/>
      <c r="AE3136" s="20"/>
      <c r="AF3136" s="20"/>
      <c r="AG3136" s="20"/>
      <c r="AH3136" s="20"/>
      <c r="AI3136" s="20"/>
      <c r="AJ3136" s="20"/>
      <c r="AK3136" s="20"/>
      <c r="AL3136" s="20"/>
      <c r="AM3136" s="20"/>
      <c r="AN3136" s="20"/>
    </row>
    <row r="3137" s="18" customFormat="1" ht="14.100000000000001" customHeight="1">
      <c r="A3137" s="20"/>
      <c r="B3137" s="20" t="s">
        <v>6418</v>
      </c>
      <c r="C3137" s="20" t="s">
        <v>6419</v>
      </c>
      <c r="D3137" s="20" t="s">
        <v>6418</v>
      </c>
      <c r="E3137" s="20" t="e">
        <f t="array" ref="E3137">INDEX(C:C,SMALL(IF(ISNUMBER(FIND(CELL("contents"),$C$2:$C$4852)),ROW($C$2:$C$4852),4^8),ROW(C3137)))&amp;""</f>
        <v>#N/A</v>
      </c>
      <c r="F3137" s="20"/>
      <c r="G3137" s="20"/>
      <c r="H3137" s="20"/>
      <c r="I3137" s="20"/>
      <c r="J3137" s="20"/>
      <c r="K3137" s="20"/>
      <c r="L3137" s="20"/>
      <c r="M3137" s="20"/>
      <c r="N3137" s="20"/>
      <c r="O3137" s="20"/>
      <c r="P3137" s="20"/>
      <c r="Q3137" s="20"/>
      <c r="R3137" s="20"/>
      <c r="S3137" s="20"/>
      <c r="T3137" s="20"/>
      <c r="U3137" s="20"/>
      <c r="V3137" s="20"/>
      <c r="W3137" s="20"/>
      <c r="X3137" s="20"/>
      <c r="Y3137" s="20"/>
      <c r="Z3137" s="20"/>
      <c r="AA3137" s="20"/>
      <c r="AB3137" s="20"/>
      <c r="AC3137" s="20"/>
      <c r="AD3137" s="20"/>
      <c r="AE3137" s="20"/>
      <c r="AF3137" s="20"/>
      <c r="AG3137" s="20"/>
      <c r="AH3137" s="20"/>
      <c r="AI3137" s="20"/>
      <c r="AJ3137" s="20"/>
      <c r="AK3137" s="20"/>
      <c r="AL3137" s="20"/>
      <c r="AM3137" s="20"/>
      <c r="AN3137" s="20"/>
    </row>
    <row r="3138" s="18" customFormat="1" ht="14.100000000000001" customHeight="1">
      <c r="A3138" s="20"/>
      <c r="B3138" s="20" t="s">
        <v>6420</v>
      </c>
      <c r="C3138" s="20" t="s">
        <v>6421</v>
      </c>
      <c r="D3138" s="20" t="s">
        <v>6420</v>
      </c>
      <c r="E3138" s="20" t="e">
        <f t="array" ref="E3138">INDEX(C:C,SMALL(IF(ISNUMBER(FIND(CELL("contents"),$C$2:$C$4852)),ROW($C$2:$C$4852),4^8),ROW(C3138)))&amp;""</f>
        <v>#N/A</v>
      </c>
      <c r="F3138" s="20"/>
      <c r="G3138" s="20"/>
      <c r="H3138" s="20"/>
      <c r="I3138" s="20"/>
      <c r="J3138" s="20"/>
      <c r="K3138" s="20"/>
      <c r="L3138" s="20"/>
      <c r="M3138" s="20"/>
      <c r="N3138" s="20"/>
      <c r="O3138" s="20"/>
      <c r="P3138" s="20"/>
      <c r="Q3138" s="20"/>
      <c r="R3138" s="20"/>
      <c r="S3138" s="20"/>
      <c r="T3138" s="20"/>
      <c r="U3138" s="20"/>
      <c r="V3138" s="20"/>
      <c r="W3138" s="20"/>
      <c r="X3138" s="20"/>
      <c r="Y3138" s="20"/>
      <c r="Z3138" s="20"/>
      <c r="AA3138" s="20"/>
      <c r="AB3138" s="20"/>
      <c r="AC3138" s="20"/>
      <c r="AD3138" s="20"/>
      <c r="AE3138" s="20"/>
      <c r="AF3138" s="20"/>
      <c r="AG3138" s="20"/>
      <c r="AH3138" s="20"/>
      <c r="AI3138" s="20"/>
      <c r="AJ3138" s="20"/>
      <c r="AK3138" s="20"/>
      <c r="AL3138" s="20"/>
      <c r="AM3138" s="20"/>
      <c r="AN3138" s="20"/>
    </row>
    <row r="3139" s="18" customFormat="1" ht="14.100000000000001" customHeight="1">
      <c r="A3139" s="20"/>
      <c r="B3139" s="20" t="s">
        <v>6422</v>
      </c>
      <c r="C3139" s="20" t="s">
        <v>6423</v>
      </c>
      <c r="D3139" s="20" t="s">
        <v>6422</v>
      </c>
      <c r="E3139" s="20" t="e">
        <f t="array" ref="E3139">INDEX(C:C,SMALL(IF(ISNUMBER(FIND(CELL("contents"),$C$2:$C$4852)),ROW($C$2:$C$4852),4^8),ROW(C3139)))&amp;""</f>
        <v>#N/A</v>
      </c>
      <c r="F3139" s="20"/>
      <c r="G3139" s="20"/>
      <c r="H3139" s="20"/>
      <c r="I3139" s="20"/>
      <c r="J3139" s="20"/>
      <c r="K3139" s="20"/>
      <c r="L3139" s="20"/>
      <c r="M3139" s="20"/>
      <c r="N3139" s="20"/>
      <c r="O3139" s="20"/>
      <c r="P3139" s="20"/>
      <c r="Q3139" s="20"/>
      <c r="R3139" s="20"/>
      <c r="S3139" s="20"/>
      <c r="T3139" s="20"/>
      <c r="U3139" s="20"/>
      <c r="V3139" s="20"/>
      <c r="W3139" s="20"/>
      <c r="X3139" s="20"/>
      <c r="Y3139" s="20"/>
      <c r="Z3139" s="20"/>
      <c r="AA3139" s="20"/>
      <c r="AB3139" s="20"/>
      <c r="AC3139" s="20"/>
      <c r="AD3139" s="20"/>
      <c r="AE3139" s="20"/>
      <c r="AF3139" s="20"/>
      <c r="AG3139" s="20"/>
      <c r="AH3139" s="20"/>
      <c r="AI3139" s="20"/>
      <c r="AJ3139" s="20"/>
      <c r="AK3139" s="20"/>
      <c r="AL3139" s="20"/>
      <c r="AM3139" s="20"/>
      <c r="AN3139" s="20"/>
    </row>
    <row r="3140" s="18" customFormat="1" ht="14.100000000000001" customHeight="1">
      <c r="A3140" s="20"/>
      <c r="B3140" s="20" t="s">
        <v>6424</v>
      </c>
      <c r="C3140" s="20" t="s">
        <v>6425</v>
      </c>
      <c r="D3140" s="20" t="s">
        <v>6424</v>
      </c>
      <c r="E3140" s="20" t="e">
        <f t="array" ref="E3140">INDEX(C:C,SMALL(IF(ISNUMBER(FIND(CELL("contents"),$C$2:$C$4852)),ROW($C$2:$C$4852),4^8),ROW(C3140)))&amp;""</f>
        <v>#N/A</v>
      </c>
      <c r="F3140" s="20"/>
      <c r="G3140" s="20"/>
      <c r="H3140" s="20"/>
      <c r="I3140" s="20"/>
      <c r="J3140" s="20"/>
      <c r="K3140" s="20"/>
      <c r="L3140" s="20"/>
      <c r="M3140" s="20"/>
      <c r="N3140" s="20"/>
      <c r="O3140" s="20"/>
      <c r="P3140" s="20"/>
      <c r="Q3140" s="20"/>
      <c r="R3140" s="20"/>
      <c r="S3140" s="20"/>
      <c r="T3140" s="20"/>
      <c r="U3140" s="20"/>
      <c r="V3140" s="20"/>
      <c r="W3140" s="20"/>
      <c r="X3140" s="20"/>
      <c r="Y3140" s="20"/>
      <c r="Z3140" s="20"/>
      <c r="AA3140" s="20"/>
      <c r="AB3140" s="20"/>
      <c r="AC3140" s="20"/>
      <c r="AD3140" s="20"/>
      <c r="AE3140" s="20"/>
      <c r="AF3140" s="20"/>
      <c r="AG3140" s="20"/>
      <c r="AH3140" s="20"/>
      <c r="AI3140" s="20"/>
      <c r="AJ3140" s="20"/>
      <c r="AK3140" s="20"/>
      <c r="AL3140" s="20"/>
      <c r="AM3140" s="20"/>
      <c r="AN3140" s="20"/>
    </row>
    <row r="3141" s="18" customFormat="1" ht="14.100000000000001" customHeight="1">
      <c r="A3141" s="20"/>
      <c r="B3141" s="20" t="s">
        <v>6426</v>
      </c>
      <c r="C3141" s="20" t="s">
        <v>6427</v>
      </c>
      <c r="D3141" s="20" t="s">
        <v>6426</v>
      </c>
      <c r="E3141" s="20" t="e">
        <f t="array" ref="E3141">INDEX(C:C,SMALL(IF(ISNUMBER(FIND(CELL("contents"),$C$2:$C$4852)),ROW($C$2:$C$4852),4^8),ROW(C3141)))&amp;""</f>
        <v>#N/A</v>
      </c>
      <c r="F3141" s="20"/>
      <c r="G3141" s="20"/>
      <c r="H3141" s="20"/>
      <c r="I3141" s="20"/>
      <c r="J3141" s="20"/>
      <c r="K3141" s="20"/>
      <c r="L3141" s="20"/>
      <c r="M3141" s="20"/>
      <c r="N3141" s="20"/>
      <c r="O3141" s="20"/>
      <c r="P3141" s="20"/>
      <c r="Q3141" s="20"/>
      <c r="R3141" s="20"/>
      <c r="S3141" s="20"/>
      <c r="T3141" s="20"/>
      <c r="U3141" s="20"/>
      <c r="V3141" s="20"/>
      <c r="W3141" s="20"/>
      <c r="X3141" s="20"/>
      <c r="Y3141" s="20"/>
      <c r="Z3141" s="20"/>
      <c r="AA3141" s="20"/>
      <c r="AB3141" s="20"/>
      <c r="AC3141" s="20"/>
      <c r="AD3141" s="20"/>
      <c r="AE3141" s="20"/>
      <c r="AF3141" s="20"/>
      <c r="AG3141" s="20"/>
      <c r="AH3141" s="20"/>
      <c r="AI3141" s="20"/>
      <c r="AJ3141" s="20"/>
      <c r="AK3141" s="20"/>
      <c r="AL3141" s="20"/>
      <c r="AM3141" s="20"/>
      <c r="AN3141" s="20"/>
    </row>
    <row r="3142" s="18" customFormat="1" ht="14.100000000000001" customHeight="1">
      <c r="A3142" s="20"/>
      <c r="B3142" s="20" t="s">
        <v>6428</v>
      </c>
      <c r="C3142" s="20" t="s">
        <v>6429</v>
      </c>
      <c r="D3142" s="20" t="s">
        <v>6428</v>
      </c>
      <c r="E3142" s="20" t="e">
        <f t="array" ref="E3142">INDEX(C:C,SMALL(IF(ISNUMBER(FIND(CELL("contents"),$C$2:$C$4852)),ROW($C$2:$C$4852),4^8),ROW(C3142)))&amp;""</f>
        <v>#N/A</v>
      </c>
      <c r="F3142" s="20"/>
      <c r="G3142" s="20"/>
      <c r="H3142" s="20"/>
      <c r="I3142" s="20"/>
      <c r="J3142" s="20"/>
      <c r="K3142" s="20"/>
      <c r="L3142" s="20"/>
      <c r="M3142" s="20"/>
      <c r="N3142" s="20"/>
      <c r="O3142" s="20"/>
      <c r="P3142" s="20"/>
      <c r="Q3142" s="20"/>
      <c r="R3142" s="20"/>
      <c r="S3142" s="20"/>
      <c r="T3142" s="20"/>
      <c r="U3142" s="20"/>
      <c r="V3142" s="20"/>
      <c r="W3142" s="20"/>
      <c r="X3142" s="20"/>
      <c r="Y3142" s="20"/>
      <c r="Z3142" s="20"/>
      <c r="AA3142" s="20"/>
      <c r="AB3142" s="20"/>
      <c r="AC3142" s="20"/>
      <c r="AD3142" s="20"/>
      <c r="AE3142" s="20"/>
      <c r="AF3142" s="20"/>
      <c r="AG3142" s="20"/>
      <c r="AH3142" s="20"/>
      <c r="AI3142" s="20"/>
      <c r="AJ3142" s="20"/>
      <c r="AK3142" s="20"/>
      <c r="AL3142" s="20"/>
      <c r="AM3142" s="20"/>
      <c r="AN3142" s="20"/>
    </row>
    <row r="3143" s="18" customFormat="1" ht="14.100000000000001" customHeight="1">
      <c r="A3143" s="20"/>
      <c r="B3143" s="20" t="s">
        <v>6430</v>
      </c>
      <c r="C3143" s="20" t="s">
        <v>6431</v>
      </c>
      <c r="D3143" s="20" t="s">
        <v>6430</v>
      </c>
      <c r="E3143" s="20" t="e">
        <f t="array" ref="E3143">INDEX(C:C,SMALL(IF(ISNUMBER(FIND(CELL("contents"),$C$2:$C$4852)),ROW($C$2:$C$4852),4^8),ROW(C3143)))&amp;""</f>
        <v>#N/A</v>
      </c>
      <c r="F3143" s="20"/>
      <c r="G3143" s="20"/>
      <c r="H3143" s="20"/>
      <c r="I3143" s="20"/>
      <c r="J3143" s="20"/>
      <c r="K3143" s="20"/>
      <c r="L3143" s="20"/>
      <c r="M3143" s="20"/>
      <c r="N3143" s="20"/>
      <c r="O3143" s="20"/>
      <c r="P3143" s="20"/>
      <c r="Q3143" s="20"/>
      <c r="R3143" s="20"/>
      <c r="S3143" s="20"/>
      <c r="T3143" s="20"/>
      <c r="U3143" s="20"/>
      <c r="V3143" s="20"/>
      <c r="W3143" s="20"/>
      <c r="X3143" s="20"/>
      <c r="Y3143" s="20"/>
      <c r="Z3143" s="20"/>
      <c r="AA3143" s="20"/>
      <c r="AB3143" s="20"/>
      <c r="AC3143" s="20"/>
      <c r="AD3143" s="20"/>
      <c r="AE3143" s="20"/>
      <c r="AF3143" s="20"/>
      <c r="AG3143" s="20"/>
      <c r="AH3143" s="20"/>
      <c r="AI3143" s="20"/>
      <c r="AJ3143" s="20"/>
      <c r="AK3143" s="20"/>
      <c r="AL3143" s="20"/>
      <c r="AM3143" s="20"/>
      <c r="AN3143" s="20"/>
    </row>
    <row r="3144" s="18" customFormat="1" ht="14.100000000000001" customHeight="1">
      <c r="A3144" s="20"/>
      <c r="B3144" s="20" t="s">
        <v>6432</v>
      </c>
      <c r="C3144" s="20" t="s">
        <v>6433</v>
      </c>
      <c r="D3144" s="20" t="s">
        <v>6432</v>
      </c>
      <c r="E3144" s="20" t="e">
        <f t="array" ref="E3144">INDEX(C:C,SMALL(IF(ISNUMBER(FIND(CELL("contents"),$C$2:$C$4852)),ROW($C$2:$C$4852),4^8),ROW(C3144)))&amp;""</f>
        <v>#N/A</v>
      </c>
      <c r="F3144" s="20"/>
      <c r="G3144" s="20"/>
      <c r="H3144" s="20"/>
      <c r="I3144" s="20"/>
      <c r="J3144" s="20"/>
      <c r="K3144" s="20"/>
      <c r="L3144" s="20"/>
      <c r="M3144" s="20"/>
      <c r="N3144" s="20"/>
      <c r="O3144" s="20"/>
      <c r="P3144" s="20"/>
      <c r="Q3144" s="20"/>
      <c r="R3144" s="20"/>
      <c r="S3144" s="20"/>
      <c r="T3144" s="20"/>
      <c r="U3144" s="20"/>
      <c r="V3144" s="20"/>
      <c r="W3144" s="20"/>
      <c r="X3144" s="20"/>
      <c r="Y3144" s="20"/>
      <c r="Z3144" s="20"/>
      <c r="AA3144" s="20"/>
      <c r="AB3144" s="20"/>
      <c r="AC3144" s="20"/>
      <c r="AD3144" s="20"/>
      <c r="AE3144" s="20"/>
      <c r="AF3144" s="20"/>
      <c r="AG3144" s="20"/>
      <c r="AH3144" s="20"/>
      <c r="AI3144" s="20"/>
      <c r="AJ3144" s="20"/>
      <c r="AK3144" s="20"/>
      <c r="AL3144" s="20"/>
      <c r="AM3144" s="20"/>
      <c r="AN3144" s="20"/>
    </row>
    <row r="3145" s="18" customFormat="1" ht="14.100000000000001" customHeight="1">
      <c r="A3145" s="20"/>
      <c r="B3145" s="20" t="s">
        <v>6434</v>
      </c>
      <c r="C3145" s="20" t="s">
        <v>6435</v>
      </c>
      <c r="D3145" s="20" t="s">
        <v>6434</v>
      </c>
      <c r="E3145" s="20" t="e">
        <f t="array" ref="E3145">INDEX(C:C,SMALL(IF(ISNUMBER(FIND(CELL("contents"),$C$2:$C$4852)),ROW($C$2:$C$4852),4^8),ROW(C3145)))&amp;""</f>
        <v>#N/A</v>
      </c>
      <c r="F3145" s="20"/>
      <c r="G3145" s="20"/>
      <c r="H3145" s="20"/>
      <c r="I3145" s="20"/>
      <c r="J3145" s="20"/>
      <c r="K3145" s="20"/>
      <c r="L3145" s="20"/>
      <c r="M3145" s="20"/>
      <c r="N3145" s="20"/>
      <c r="O3145" s="20"/>
      <c r="P3145" s="20"/>
      <c r="Q3145" s="20"/>
      <c r="R3145" s="20"/>
      <c r="S3145" s="20"/>
      <c r="T3145" s="20"/>
      <c r="U3145" s="20"/>
      <c r="V3145" s="20"/>
      <c r="W3145" s="20"/>
      <c r="X3145" s="20"/>
      <c r="Y3145" s="20"/>
      <c r="Z3145" s="20"/>
      <c r="AA3145" s="20"/>
      <c r="AB3145" s="20"/>
      <c r="AC3145" s="20"/>
      <c r="AD3145" s="20"/>
      <c r="AE3145" s="20"/>
      <c r="AF3145" s="20"/>
      <c r="AG3145" s="20"/>
      <c r="AH3145" s="20"/>
      <c r="AI3145" s="20"/>
      <c r="AJ3145" s="20"/>
      <c r="AK3145" s="20"/>
      <c r="AL3145" s="20"/>
      <c r="AM3145" s="20"/>
      <c r="AN3145" s="20"/>
    </row>
    <row r="3146" s="18" customFormat="1" ht="14.100000000000001" customHeight="1">
      <c r="A3146" s="20"/>
      <c r="B3146" s="20" t="s">
        <v>6436</v>
      </c>
      <c r="C3146" s="20" t="s">
        <v>6437</v>
      </c>
      <c r="D3146" s="20" t="s">
        <v>6436</v>
      </c>
      <c r="E3146" s="20" t="e">
        <f t="array" ref="E3146">INDEX(C:C,SMALL(IF(ISNUMBER(FIND(CELL("contents"),$C$2:$C$4852)),ROW($C$2:$C$4852),4^8),ROW(C3146)))&amp;""</f>
        <v>#N/A</v>
      </c>
      <c r="F3146" s="20"/>
      <c r="G3146" s="20"/>
      <c r="H3146" s="20"/>
      <c r="I3146" s="20"/>
      <c r="J3146" s="20"/>
      <c r="K3146" s="20"/>
      <c r="L3146" s="20"/>
      <c r="M3146" s="20"/>
      <c r="N3146" s="20"/>
      <c r="O3146" s="20"/>
      <c r="P3146" s="20"/>
      <c r="Q3146" s="20"/>
      <c r="R3146" s="20"/>
      <c r="S3146" s="20"/>
      <c r="T3146" s="20"/>
      <c r="U3146" s="20"/>
      <c r="V3146" s="20"/>
      <c r="W3146" s="20"/>
      <c r="X3146" s="20"/>
      <c r="Y3146" s="20"/>
      <c r="Z3146" s="20"/>
      <c r="AA3146" s="20"/>
      <c r="AB3146" s="20"/>
      <c r="AC3146" s="20"/>
      <c r="AD3146" s="20"/>
      <c r="AE3146" s="20"/>
      <c r="AF3146" s="20"/>
      <c r="AG3146" s="20"/>
      <c r="AH3146" s="20"/>
      <c r="AI3146" s="20"/>
      <c r="AJ3146" s="20"/>
      <c r="AK3146" s="20"/>
      <c r="AL3146" s="20"/>
      <c r="AM3146" s="20"/>
      <c r="AN3146" s="20"/>
    </row>
    <row r="3147" s="18" customFormat="1" ht="14.100000000000001" customHeight="1">
      <c r="A3147" s="20"/>
      <c r="B3147" s="20" t="s">
        <v>6438</v>
      </c>
      <c r="C3147" s="20" t="s">
        <v>6439</v>
      </c>
      <c r="D3147" s="20" t="s">
        <v>6438</v>
      </c>
      <c r="E3147" s="20" t="e">
        <f t="array" ref="E3147">INDEX(C:C,SMALL(IF(ISNUMBER(FIND(CELL("contents"),$C$2:$C$4852)),ROW($C$2:$C$4852),4^8),ROW(C3147)))&amp;""</f>
        <v>#N/A</v>
      </c>
      <c r="F3147" s="20"/>
      <c r="G3147" s="20"/>
      <c r="H3147" s="20"/>
      <c r="I3147" s="20"/>
      <c r="J3147" s="20"/>
      <c r="K3147" s="20"/>
      <c r="L3147" s="20"/>
      <c r="M3147" s="20"/>
      <c r="N3147" s="20"/>
      <c r="O3147" s="20"/>
      <c r="P3147" s="20"/>
      <c r="Q3147" s="20"/>
      <c r="R3147" s="20"/>
      <c r="S3147" s="20"/>
      <c r="T3147" s="20"/>
      <c r="U3147" s="20"/>
      <c r="V3147" s="20"/>
      <c r="W3147" s="20"/>
      <c r="X3147" s="20"/>
      <c r="Y3147" s="20"/>
      <c r="Z3147" s="20"/>
      <c r="AA3147" s="20"/>
      <c r="AB3147" s="20"/>
      <c r="AC3147" s="20"/>
      <c r="AD3147" s="20"/>
      <c r="AE3147" s="20"/>
      <c r="AF3147" s="20"/>
      <c r="AG3147" s="20"/>
      <c r="AH3147" s="20"/>
      <c r="AI3147" s="20"/>
      <c r="AJ3147" s="20"/>
      <c r="AK3147" s="20"/>
      <c r="AL3147" s="20"/>
      <c r="AM3147" s="20"/>
      <c r="AN3147" s="20"/>
    </row>
    <row r="3148" s="18" customFormat="1" ht="14.100000000000001" customHeight="1">
      <c r="A3148" s="20"/>
      <c r="B3148" s="20" t="s">
        <v>6440</v>
      </c>
      <c r="C3148" s="20" t="s">
        <v>6441</v>
      </c>
      <c r="D3148" s="20" t="s">
        <v>6440</v>
      </c>
      <c r="E3148" s="20" t="e">
        <f t="array" ref="E3148">INDEX(C:C,SMALL(IF(ISNUMBER(FIND(CELL("contents"),$C$2:$C$4852)),ROW($C$2:$C$4852),4^8),ROW(C3148)))&amp;""</f>
        <v>#N/A</v>
      </c>
      <c r="F3148" s="20"/>
      <c r="G3148" s="20"/>
      <c r="H3148" s="20"/>
      <c r="I3148" s="20"/>
      <c r="J3148" s="20"/>
      <c r="K3148" s="20"/>
      <c r="L3148" s="20"/>
      <c r="M3148" s="20"/>
      <c r="N3148" s="20"/>
      <c r="O3148" s="20"/>
      <c r="P3148" s="20"/>
      <c r="Q3148" s="20"/>
      <c r="R3148" s="20"/>
      <c r="S3148" s="20"/>
      <c r="T3148" s="20"/>
      <c r="U3148" s="20"/>
      <c r="V3148" s="20"/>
      <c r="W3148" s="20"/>
      <c r="X3148" s="20"/>
      <c r="Y3148" s="20"/>
      <c r="Z3148" s="20"/>
      <c r="AA3148" s="20"/>
      <c r="AB3148" s="20"/>
      <c r="AC3148" s="20"/>
      <c r="AD3148" s="20"/>
      <c r="AE3148" s="20"/>
      <c r="AF3148" s="20"/>
      <c r="AG3148" s="20"/>
      <c r="AH3148" s="20"/>
      <c r="AI3148" s="20"/>
      <c r="AJ3148" s="20"/>
      <c r="AK3148" s="20"/>
      <c r="AL3148" s="20"/>
      <c r="AM3148" s="20"/>
      <c r="AN3148" s="20"/>
    </row>
    <row r="3149" s="18" customFormat="1" ht="14.100000000000001" customHeight="1">
      <c r="A3149" s="20"/>
      <c r="B3149" s="20" t="s">
        <v>6442</v>
      </c>
      <c r="C3149" s="20" t="s">
        <v>6443</v>
      </c>
      <c r="D3149" s="20" t="s">
        <v>6442</v>
      </c>
      <c r="E3149" s="20" t="e">
        <f t="array" ref="E3149">INDEX(C:C,SMALL(IF(ISNUMBER(FIND(CELL("contents"),$C$2:$C$4852)),ROW($C$2:$C$4852),4^8),ROW(C3149)))&amp;""</f>
        <v>#N/A</v>
      </c>
      <c r="F3149" s="20"/>
      <c r="G3149" s="20"/>
      <c r="H3149" s="20"/>
      <c r="I3149" s="20"/>
      <c r="J3149" s="20"/>
      <c r="K3149" s="20"/>
      <c r="L3149" s="20"/>
      <c r="M3149" s="20"/>
      <c r="N3149" s="20"/>
      <c r="O3149" s="20"/>
      <c r="P3149" s="20"/>
      <c r="Q3149" s="20"/>
      <c r="R3149" s="20"/>
      <c r="S3149" s="20"/>
      <c r="T3149" s="20"/>
      <c r="U3149" s="20"/>
      <c r="V3149" s="20"/>
      <c r="W3149" s="20"/>
      <c r="X3149" s="20"/>
      <c r="Y3149" s="20"/>
      <c r="Z3149" s="20"/>
      <c r="AA3149" s="20"/>
      <c r="AB3149" s="20"/>
      <c r="AC3149" s="20"/>
      <c r="AD3149" s="20"/>
      <c r="AE3149" s="20"/>
      <c r="AF3149" s="20"/>
      <c r="AG3149" s="20"/>
      <c r="AH3149" s="20"/>
      <c r="AI3149" s="20"/>
      <c r="AJ3149" s="20"/>
      <c r="AK3149" s="20"/>
      <c r="AL3149" s="20"/>
      <c r="AM3149" s="20"/>
      <c r="AN3149" s="20"/>
    </row>
    <row r="3150" s="18" customFormat="1" ht="14.100000000000001" customHeight="1">
      <c r="A3150" s="20"/>
      <c r="B3150" s="20" t="s">
        <v>6444</v>
      </c>
      <c r="C3150" s="20" t="s">
        <v>6445</v>
      </c>
      <c r="D3150" s="20" t="s">
        <v>6444</v>
      </c>
      <c r="E3150" s="20" t="e">
        <f t="array" ref="E3150">INDEX(C:C,SMALL(IF(ISNUMBER(FIND(CELL("contents"),$C$2:$C$4852)),ROW($C$2:$C$4852),4^8),ROW(C3150)))&amp;""</f>
        <v>#N/A</v>
      </c>
      <c r="F3150" s="20"/>
      <c r="G3150" s="20"/>
      <c r="H3150" s="20"/>
      <c r="I3150" s="20"/>
      <c r="J3150" s="20"/>
      <c r="K3150" s="20"/>
      <c r="L3150" s="20"/>
      <c r="M3150" s="20"/>
      <c r="N3150" s="20"/>
      <c r="O3150" s="20"/>
      <c r="P3150" s="20"/>
      <c r="Q3150" s="20"/>
      <c r="R3150" s="20"/>
      <c r="S3150" s="20"/>
      <c r="T3150" s="20"/>
      <c r="U3150" s="20"/>
      <c r="V3150" s="20"/>
      <c r="W3150" s="20"/>
      <c r="X3150" s="20"/>
      <c r="Y3150" s="20"/>
      <c r="Z3150" s="20"/>
      <c r="AA3150" s="20"/>
      <c r="AB3150" s="20"/>
      <c r="AC3150" s="20"/>
      <c r="AD3150" s="20"/>
      <c r="AE3150" s="20"/>
      <c r="AF3150" s="20"/>
      <c r="AG3150" s="20"/>
      <c r="AH3150" s="20"/>
      <c r="AI3150" s="20"/>
      <c r="AJ3150" s="20"/>
      <c r="AK3150" s="20"/>
      <c r="AL3150" s="20"/>
      <c r="AM3150" s="20"/>
      <c r="AN3150" s="20"/>
    </row>
    <row r="3151" s="18" customFormat="1" ht="14.100000000000001" customHeight="1">
      <c r="A3151" s="20"/>
      <c r="B3151" s="20" t="s">
        <v>6446</v>
      </c>
      <c r="C3151" s="20" t="s">
        <v>6447</v>
      </c>
      <c r="D3151" s="20" t="s">
        <v>6446</v>
      </c>
      <c r="E3151" s="20" t="e">
        <f t="array" ref="E3151">INDEX(C:C,SMALL(IF(ISNUMBER(FIND(CELL("contents"),$C$2:$C$4852)),ROW($C$2:$C$4852),4^8),ROW(C3151)))&amp;""</f>
        <v>#N/A</v>
      </c>
      <c r="F3151" s="20"/>
      <c r="G3151" s="20"/>
      <c r="H3151" s="20"/>
      <c r="I3151" s="20"/>
      <c r="J3151" s="20"/>
      <c r="K3151" s="20"/>
      <c r="L3151" s="20"/>
      <c r="M3151" s="20"/>
      <c r="N3151" s="20"/>
      <c r="O3151" s="20"/>
      <c r="P3151" s="20"/>
      <c r="Q3151" s="20"/>
      <c r="R3151" s="20"/>
      <c r="S3151" s="20"/>
      <c r="T3151" s="20"/>
      <c r="U3151" s="20"/>
      <c r="V3151" s="20"/>
      <c r="W3151" s="20"/>
      <c r="X3151" s="20"/>
      <c r="Y3151" s="20"/>
      <c r="Z3151" s="20"/>
      <c r="AA3151" s="20"/>
      <c r="AB3151" s="20"/>
      <c r="AC3151" s="20"/>
      <c r="AD3151" s="20"/>
      <c r="AE3151" s="20"/>
      <c r="AF3151" s="20"/>
      <c r="AG3151" s="20"/>
      <c r="AH3151" s="20"/>
      <c r="AI3151" s="20"/>
      <c r="AJ3151" s="20"/>
      <c r="AK3151" s="20"/>
      <c r="AL3151" s="20"/>
      <c r="AM3151" s="20"/>
      <c r="AN3151" s="20"/>
    </row>
    <row r="3152" s="18" customFormat="1" ht="14.100000000000001" customHeight="1">
      <c r="A3152" s="20"/>
      <c r="B3152" s="20" t="s">
        <v>6448</v>
      </c>
      <c r="C3152" s="20" t="s">
        <v>6449</v>
      </c>
      <c r="D3152" s="20" t="s">
        <v>6448</v>
      </c>
      <c r="E3152" s="20" t="e">
        <f t="array" ref="E3152">INDEX(C:C,SMALL(IF(ISNUMBER(FIND(CELL("contents"),$C$2:$C$4852)),ROW($C$2:$C$4852),4^8),ROW(C3152)))&amp;""</f>
        <v>#N/A</v>
      </c>
      <c r="F3152" s="20"/>
      <c r="G3152" s="20"/>
      <c r="H3152" s="20"/>
      <c r="I3152" s="20"/>
      <c r="J3152" s="20"/>
      <c r="K3152" s="20"/>
      <c r="L3152" s="20"/>
      <c r="M3152" s="20"/>
      <c r="N3152" s="20"/>
      <c r="O3152" s="20"/>
      <c r="P3152" s="20"/>
      <c r="Q3152" s="20"/>
      <c r="R3152" s="20"/>
      <c r="S3152" s="20"/>
      <c r="T3152" s="20"/>
      <c r="U3152" s="20"/>
      <c r="V3152" s="20"/>
      <c r="W3152" s="20"/>
      <c r="X3152" s="20"/>
      <c r="Y3152" s="20"/>
      <c r="Z3152" s="20"/>
      <c r="AA3152" s="20"/>
      <c r="AB3152" s="20"/>
      <c r="AC3152" s="20"/>
      <c r="AD3152" s="20"/>
      <c r="AE3152" s="20"/>
      <c r="AF3152" s="20"/>
      <c r="AG3152" s="20"/>
      <c r="AH3152" s="20"/>
      <c r="AI3152" s="20"/>
      <c r="AJ3152" s="20"/>
      <c r="AK3152" s="20"/>
      <c r="AL3152" s="20"/>
      <c r="AM3152" s="20"/>
      <c r="AN3152" s="20"/>
    </row>
    <row r="3153" s="18" customFormat="1" ht="14.100000000000001" customHeight="1">
      <c r="A3153" s="20"/>
      <c r="B3153" s="20" t="s">
        <v>6450</v>
      </c>
      <c r="C3153" s="20" t="s">
        <v>6451</v>
      </c>
      <c r="D3153" s="20" t="s">
        <v>6450</v>
      </c>
      <c r="E3153" s="20" t="e">
        <f t="array" ref="E3153">INDEX(C:C,SMALL(IF(ISNUMBER(FIND(CELL("contents"),$C$2:$C$4852)),ROW($C$2:$C$4852),4^8),ROW(C3153)))&amp;""</f>
        <v>#N/A</v>
      </c>
      <c r="F3153" s="20"/>
      <c r="G3153" s="20"/>
      <c r="H3153" s="20"/>
      <c r="I3153" s="20"/>
      <c r="J3153" s="20"/>
      <c r="K3153" s="20"/>
      <c r="L3153" s="20"/>
      <c r="M3153" s="20"/>
      <c r="N3153" s="20"/>
      <c r="O3153" s="20"/>
      <c r="P3153" s="20"/>
      <c r="Q3153" s="20"/>
      <c r="R3153" s="20"/>
      <c r="S3153" s="20"/>
      <c r="T3153" s="20"/>
      <c r="U3153" s="20"/>
      <c r="V3153" s="20"/>
      <c r="W3153" s="20"/>
      <c r="X3153" s="20"/>
      <c r="Y3153" s="20"/>
      <c r="Z3153" s="20"/>
      <c r="AA3153" s="20"/>
      <c r="AB3153" s="20"/>
      <c r="AC3153" s="20"/>
      <c r="AD3153" s="20"/>
      <c r="AE3153" s="20"/>
      <c r="AF3153" s="20"/>
      <c r="AG3153" s="20"/>
      <c r="AH3153" s="20"/>
      <c r="AI3153" s="20"/>
      <c r="AJ3153" s="20"/>
      <c r="AK3153" s="20"/>
      <c r="AL3153" s="20"/>
      <c r="AM3153" s="20"/>
      <c r="AN3153" s="20"/>
    </row>
    <row r="3154" s="18" customFormat="1" ht="14.100000000000001" customHeight="1">
      <c r="A3154" s="20"/>
      <c r="B3154" s="20" t="s">
        <v>6452</v>
      </c>
      <c r="C3154" s="20" t="s">
        <v>6453</v>
      </c>
      <c r="D3154" s="20" t="s">
        <v>6452</v>
      </c>
      <c r="E3154" s="20" t="e">
        <f t="array" ref="E3154">INDEX(C:C,SMALL(IF(ISNUMBER(FIND(CELL("contents"),$C$2:$C$4852)),ROW($C$2:$C$4852),4^8),ROW(C3154)))&amp;""</f>
        <v>#N/A</v>
      </c>
      <c r="F3154" s="20"/>
      <c r="G3154" s="20"/>
      <c r="H3154" s="20"/>
      <c r="I3154" s="20"/>
      <c r="J3154" s="20"/>
      <c r="K3154" s="20"/>
      <c r="L3154" s="20"/>
      <c r="M3154" s="20"/>
      <c r="N3154" s="20"/>
      <c r="O3154" s="20"/>
      <c r="P3154" s="20"/>
      <c r="Q3154" s="20"/>
      <c r="R3154" s="20"/>
      <c r="S3154" s="20"/>
      <c r="T3154" s="20"/>
      <c r="U3154" s="20"/>
      <c r="V3154" s="20"/>
      <c r="W3154" s="20"/>
      <c r="X3154" s="20"/>
      <c r="Y3154" s="20"/>
      <c r="Z3154" s="20"/>
      <c r="AA3154" s="20"/>
      <c r="AB3154" s="20"/>
      <c r="AC3154" s="20"/>
      <c r="AD3154" s="20"/>
      <c r="AE3154" s="20"/>
      <c r="AF3154" s="20"/>
      <c r="AG3154" s="20"/>
      <c r="AH3154" s="20"/>
      <c r="AI3154" s="20"/>
      <c r="AJ3154" s="20"/>
      <c r="AK3154" s="20"/>
      <c r="AL3154" s="20"/>
      <c r="AM3154" s="20"/>
      <c r="AN3154" s="20"/>
    </row>
    <row r="3155" s="18" customFormat="1" ht="14.100000000000001" customHeight="1">
      <c r="A3155" s="20"/>
      <c r="B3155" s="20" t="s">
        <v>6454</v>
      </c>
      <c r="C3155" s="20" t="s">
        <v>6455</v>
      </c>
      <c r="D3155" s="20" t="s">
        <v>6454</v>
      </c>
      <c r="E3155" s="20" t="e">
        <f t="array" ref="E3155">INDEX(C:C,SMALL(IF(ISNUMBER(FIND(CELL("contents"),$C$2:$C$4852)),ROW($C$2:$C$4852),4^8),ROW(C3155)))&amp;""</f>
        <v>#N/A</v>
      </c>
      <c r="F3155" s="20"/>
      <c r="G3155" s="20"/>
      <c r="H3155" s="20"/>
      <c r="I3155" s="20"/>
      <c r="J3155" s="20"/>
      <c r="K3155" s="20"/>
      <c r="L3155" s="20"/>
      <c r="M3155" s="20"/>
      <c r="N3155" s="20"/>
      <c r="O3155" s="20"/>
      <c r="P3155" s="20"/>
      <c r="Q3155" s="20"/>
      <c r="R3155" s="20"/>
      <c r="S3155" s="20"/>
      <c r="T3155" s="20"/>
      <c r="U3155" s="20"/>
      <c r="V3155" s="20"/>
      <c r="W3155" s="20"/>
      <c r="X3155" s="20"/>
      <c r="Y3155" s="20"/>
      <c r="Z3155" s="20"/>
      <c r="AA3155" s="20"/>
      <c r="AB3155" s="20"/>
      <c r="AC3155" s="20"/>
      <c r="AD3155" s="20"/>
      <c r="AE3155" s="20"/>
      <c r="AF3155" s="20"/>
      <c r="AG3155" s="20"/>
      <c r="AH3155" s="20"/>
      <c r="AI3155" s="20"/>
      <c r="AJ3155" s="20"/>
      <c r="AK3155" s="20"/>
      <c r="AL3155" s="20"/>
      <c r="AM3155" s="20"/>
      <c r="AN3155" s="20"/>
    </row>
    <row r="3156" s="18" customFormat="1" ht="14.100000000000001" customHeight="1">
      <c r="A3156" s="20"/>
      <c r="B3156" s="20" t="s">
        <v>6456</v>
      </c>
      <c r="C3156" s="20" t="s">
        <v>6457</v>
      </c>
      <c r="D3156" s="20" t="s">
        <v>6456</v>
      </c>
      <c r="E3156" s="20" t="e">
        <f t="array" ref="E3156">INDEX(C:C,SMALL(IF(ISNUMBER(FIND(CELL("contents"),$C$2:$C$4852)),ROW($C$2:$C$4852),4^8),ROW(C3156)))&amp;""</f>
        <v>#N/A</v>
      </c>
      <c r="F3156" s="20"/>
      <c r="G3156" s="20"/>
      <c r="H3156" s="20"/>
      <c r="I3156" s="20"/>
      <c r="J3156" s="20"/>
      <c r="K3156" s="20"/>
      <c r="L3156" s="20"/>
      <c r="M3156" s="20"/>
      <c r="N3156" s="20"/>
      <c r="O3156" s="20"/>
      <c r="P3156" s="20"/>
      <c r="Q3156" s="20"/>
      <c r="R3156" s="20"/>
      <c r="S3156" s="20"/>
      <c r="T3156" s="20"/>
      <c r="U3156" s="20"/>
      <c r="V3156" s="20"/>
      <c r="W3156" s="20"/>
      <c r="X3156" s="20"/>
      <c r="Y3156" s="20"/>
      <c r="Z3156" s="20"/>
      <c r="AA3156" s="20"/>
      <c r="AB3156" s="20"/>
      <c r="AC3156" s="20"/>
      <c r="AD3156" s="20"/>
      <c r="AE3156" s="20"/>
      <c r="AF3156" s="20"/>
      <c r="AG3156" s="20"/>
      <c r="AH3156" s="20"/>
      <c r="AI3156" s="20"/>
      <c r="AJ3156" s="20"/>
      <c r="AK3156" s="20"/>
      <c r="AL3156" s="20"/>
      <c r="AM3156" s="20"/>
      <c r="AN3156" s="20"/>
    </row>
    <row r="3157" s="18" customFormat="1" ht="14.100000000000001" customHeight="1">
      <c r="A3157" s="20"/>
      <c r="B3157" s="20" t="s">
        <v>6458</v>
      </c>
      <c r="C3157" s="20" t="s">
        <v>6459</v>
      </c>
      <c r="D3157" s="20" t="s">
        <v>6458</v>
      </c>
      <c r="E3157" s="20" t="e">
        <f t="array" ref="E3157">INDEX(C:C,SMALL(IF(ISNUMBER(FIND(CELL("contents"),$C$2:$C$4852)),ROW($C$2:$C$4852),4^8),ROW(C3157)))&amp;""</f>
        <v>#N/A</v>
      </c>
      <c r="F3157" s="20"/>
      <c r="G3157" s="20"/>
      <c r="H3157" s="20"/>
      <c r="I3157" s="20"/>
      <c r="J3157" s="20"/>
      <c r="K3157" s="20"/>
      <c r="L3157" s="20"/>
      <c r="M3157" s="20"/>
      <c r="N3157" s="20"/>
      <c r="O3157" s="20"/>
      <c r="P3157" s="20"/>
      <c r="Q3157" s="20"/>
      <c r="R3157" s="20"/>
      <c r="S3157" s="20"/>
      <c r="T3157" s="20"/>
      <c r="U3157" s="20"/>
      <c r="V3157" s="20"/>
      <c r="W3157" s="20"/>
      <c r="X3157" s="20"/>
      <c r="Y3157" s="20"/>
      <c r="Z3157" s="20"/>
      <c r="AA3157" s="20"/>
      <c r="AB3157" s="20"/>
      <c r="AC3157" s="20"/>
      <c r="AD3157" s="20"/>
      <c r="AE3157" s="20"/>
      <c r="AF3157" s="20"/>
      <c r="AG3157" s="20"/>
      <c r="AH3157" s="20"/>
      <c r="AI3157" s="20"/>
      <c r="AJ3157" s="20"/>
      <c r="AK3157" s="20"/>
      <c r="AL3157" s="20"/>
      <c r="AM3157" s="20"/>
      <c r="AN3157" s="20"/>
    </row>
    <row r="3158" s="18" customFormat="1" ht="14.100000000000001" customHeight="1">
      <c r="A3158" s="20"/>
      <c r="B3158" s="20" t="s">
        <v>6460</v>
      </c>
      <c r="C3158" s="20" t="s">
        <v>6461</v>
      </c>
      <c r="D3158" s="20" t="s">
        <v>6460</v>
      </c>
      <c r="E3158" s="20" t="e">
        <f t="array" ref="E3158">INDEX(C:C,SMALL(IF(ISNUMBER(FIND(CELL("contents"),$C$2:$C$4852)),ROW($C$2:$C$4852),4^8),ROW(C3158)))&amp;""</f>
        <v>#N/A</v>
      </c>
      <c r="F3158" s="20"/>
      <c r="G3158" s="20"/>
      <c r="H3158" s="20"/>
      <c r="I3158" s="20"/>
      <c r="J3158" s="20"/>
      <c r="K3158" s="20"/>
      <c r="L3158" s="20"/>
      <c r="M3158" s="20"/>
      <c r="N3158" s="20"/>
      <c r="O3158" s="20"/>
      <c r="P3158" s="20"/>
      <c r="Q3158" s="20"/>
      <c r="R3158" s="20"/>
      <c r="S3158" s="20"/>
      <c r="T3158" s="20"/>
      <c r="U3158" s="20"/>
      <c r="V3158" s="20"/>
      <c r="W3158" s="20"/>
      <c r="X3158" s="20"/>
      <c r="Y3158" s="20"/>
      <c r="Z3158" s="20"/>
      <c r="AA3158" s="20"/>
      <c r="AB3158" s="20"/>
      <c r="AC3158" s="20"/>
      <c r="AD3158" s="20"/>
      <c r="AE3158" s="20"/>
      <c r="AF3158" s="20"/>
      <c r="AG3158" s="20"/>
      <c r="AH3158" s="20"/>
      <c r="AI3158" s="20"/>
      <c r="AJ3158" s="20"/>
      <c r="AK3158" s="20"/>
      <c r="AL3158" s="20"/>
      <c r="AM3158" s="20"/>
      <c r="AN3158" s="20"/>
    </row>
    <row r="3159" s="18" customFormat="1" ht="14.100000000000001" customHeight="1">
      <c r="A3159" s="20"/>
      <c r="B3159" s="20" t="s">
        <v>6462</v>
      </c>
      <c r="C3159" s="20" t="s">
        <v>6463</v>
      </c>
      <c r="D3159" s="20" t="s">
        <v>6462</v>
      </c>
      <c r="E3159" s="20" t="e">
        <f t="array" ref="E3159">INDEX(C:C,SMALL(IF(ISNUMBER(FIND(CELL("contents"),$C$2:$C$4852)),ROW($C$2:$C$4852),4^8),ROW(C3159)))&amp;""</f>
        <v>#N/A</v>
      </c>
      <c r="F3159" s="20"/>
      <c r="G3159" s="20"/>
      <c r="H3159" s="20"/>
      <c r="I3159" s="20"/>
      <c r="J3159" s="20"/>
      <c r="K3159" s="20"/>
      <c r="L3159" s="20"/>
      <c r="M3159" s="20"/>
      <c r="N3159" s="20"/>
      <c r="O3159" s="20"/>
      <c r="P3159" s="20"/>
      <c r="Q3159" s="20"/>
      <c r="R3159" s="20"/>
      <c r="S3159" s="20"/>
      <c r="T3159" s="20"/>
      <c r="U3159" s="20"/>
      <c r="V3159" s="20"/>
      <c r="W3159" s="20"/>
      <c r="X3159" s="20"/>
      <c r="Y3159" s="20"/>
      <c r="Z3159" s="20"/>
      <c r="AA3159" s="20"/>
      <c r="AB3159" s="20"/>
      <c r="AC3159" s="20"/>
      <c r="AD3159" s="20"/>
      <c r="AE3159" s="20"/>
      <c r="AF3159" s="20"/>
      <c r="AG3159" s="20"/>
      <c r="AH3159" s="20"/>
      <c r="AI3159" s="20"/>
      <c r="AJ3159" s="20"/>
      <c r="AK3159" s="20"/>
      <c r="AL3159" s="20"/>
      <c r="AM3159" s="20"/>
      <c r="AN3159" s="20"/>
    </row>
    <row r="3160" s="18" customFormat="1" ht="14.100000000000001" customHeight="1">
      <c r="A3160" s="20"/>
      <c r="B3160" s="20" t="s">
        <v>6464</v>
      </c>
      <c r="C3160" s="20" t="s">
        <v>6465</v>
      </c>
      <c r="D3160" s="20" t="s">
        <v>6464</v>
      </c>
      <c r="E3160" s="20" t="e">
        <f t="array" ref="E3160">INDEX(C:C,SMALL(IF(ISNUMBER(FIND(CELL("contents"),$C$2:$C$4852)),ROW($C$2:$C$4852),4^8),ROW(C3160)))&amp;""</f>
        <v>#N/A</v>
      </c>
      <c r="F3160" s="20"/>
      <c r="G3160" s="20"/>
      <c r="H3160" s="20"/>
      <c r="I3160" s="20"/>
      <c r="J3160" s="20"/>
      <c r="K3160" s="20"/>
      <c r="L3160" s="20"/>
      <c r="M3160" s="20"/>
      <c r="N3160" s="20"/>
      <c r="O3160" s="20"/>
      <c r="P3160" s="20"/>
      <c r="Q3160" s="20"/>
      <c r="R3160" s="20"/>
      <c r="S3160" s="20"/>
      <c r="T3160" s="20"/>
      <c r="U3160" s="20"/>
      <c r="V3160" s="20"/>
      <c r="W3160" s="20"/>
      <c r="X3160" s="20"/>
      <c r="Y3160" s="20"/>
      <c r="Z3160" s="20"/>
      <c r="AA3160" s="20"/>
      <c r="AB3160" s="20"/>
      <c r="AC3160" s="20"/>
      <c r="AD3160" s="20"/>
      <c r="AE3160" s="20"/>
      <c r="AF3160" s="20"/>
      <c r="AG3160" s="20"/>
      <c r="AH3160" s="20"/>
      <c r="AI3160" s="20"/>
      <c r="AJ3160" s="20"/>
      <c r="AK3160" s="20"/>
      <c r="AL3160" s="20"/>
      <c r="AM3160" s="20"/>
      <c r="AN3160" s="20"/>
    </row>
    <row r="3161" s="18" customFormat="1" ht="14.100000000000001" customHeight="1">
      <c r="A3161" s="20"/>
      <c r="B3161" s="20" t="s">
        <v>6466</v>
      </c>
      <c r="C3161" s="20" t="s">
        <v>6467</v>
      </c>
      <c r="D3161" s="20" t="s">
        <v>6466</v>
      </c>
      <c r="E3161" s="20" t="e">
        <f t="array" ref="E3161">INDEX(C:C,SMALL(IF(ISNUMBER(FIND(CELL("contents"),$C$2:$C$4852)),ROW($C$2:$C$4852),4^8),ROW(C3161)))&amp;""</f>
        <v>#N/A</v>
      </c>
      <c r="F3161" s="20"/>
      <c r="G3161" s="20"/>
      <c r="H3161" s="20"/>
      <c r="I3161" s="20"/>
      <c r="J3161" s="20"/>
      <c r="K3161" s="20"/>
      <c r="L3161" s="20"/>
      <c r="M3161" s="20"/>
      <c r="N3161" s="20"/>
      <c r="O3161" s="20"/>
      <c r="P3161" s="20"/>
      <c r="Q3161" s="20"/>
      <c r="R3161" s="20"/>
      <c r="S3161" s="20"/>
      <c r="T3161" s="20"/>
      <c r="U3161" s="20"/>
      <c r="V3161" s="20"/>
      <c r="W3161" s="20"/>
      <c r="X3161" s="20"/>
      <c r="Y3161" s="20"/>
      <c r="Z3161" s="20"/>
      <c r="AA3161" s="20"/>
      <c r="AB3161" s="20"/>
      <c r="AC3161" s="20"/>
      <c r="AD3161" s="20"/>
      <c r="AE3161" s="20"/>
      <c r="AF3161" s="20"/>
      <c r="AG3161" s="20"/>
      <c r="AH3161" s="20"/>
      <c r="AI3161" s="20"/>
      <c r="AJ3161" s="20"/>
      <c r="AK3161" s="20"/>
      <c r="AL3161" s="20"/>
      <c r="AM3161" s="20"/>
      <c r="AN3161" s="20"/>
    </row>
    <row r="3162" s="18" customFormat="1" ht="14.100000000000001" customHeight="1">
      <c r="A3162" s="20"/>
      <c r="B3162" s="20" t="s">
        <v>6468</v>
      </c>
      <c r="C3162" s="20" t="s">
        <v>6469</v>
      </c>
      <c r="D3162" s="20" t="s">
        <v>6468</v>
      </c>
      <c r="E3162" s="20" t="e">
        <f t="array" ref="E3162">INDEX(C:C,SMALL(IF(ISNUMBER(FIND(CELL("contents"),$C$2:$C$4852)),ROW($C$2:$C$4852),4^8),ROW(C3162)))&amp;""</f>
        <v>#N/A</v>
      </c>
      <c r="F3162" s="20"/>
      <c r="G3162" s="20"/>
      <c r="H3162" s="20"/>
      <c r="I3162" s="20"/>
      <c r="J3162" s="20"/>
      <c r="K3162" s="20"/>
      <c r="L3162" s="20"/>
      <c r="M3162" s="20"/>
      <c r="N3162" s="20"/>
      <c r="O3162" s="20"/>
      <c r="P3162" s="20"/>
      <c r="Q3162" s="20"/>
      <c r="R3162" s="20"/>
      <c r="S3162" s="20"/>
      <c r="T3162" s="20"/>
      <c r="U3162" s="20"/>
      <c r="V3162" s="20"/>
      <c r="W3162" s="20"/>
      <c r="X3162" s="20"/>
      <c r="Y3162" s="20"/>
      <c r="Z3162" s="20"/>
      <c r="AA3162" s="20"/>
      <c r="AB3162" s="20"/>
      <c r="AC3162" s="20"/>
      <c r="AD3162" s="20"/>
      <c r="AE3162" s="20"/>
      <c r="AF3162" s="20"/>
      <c r="AG3162" s="20"/>
      <c r="AH3162" s="20"/>
      <c r="AI3162" s="20"/>
      <c r="AJ3162" s="20"/>
      <c r="AK3162" s="20"/>
      <c r="AL3162" s="20"/>
      <c r="AM3162" s="20"/>
      <c r="AN3162" s="20"/>
    </row>
    <row r="3163" s="18" customFormat="1" ht="14.100000000000001" customHeight="1">
      <c r="A3163" s="20"/>
      <c r="B3163" s="20" t="s">
        <v>6470</v>
      </c>
      <c r="C3163" s="20" t="s">
        <v>6471</v>
      </c>
      <c r="D3163" s="20" t="s">
        <v>6470</v>
      </c>
      <c r="E3163" s="20" t="e">
        <f t="array" ref="E3163">INDEX(C:C,SMALL(IF(ISNUMBER(FIND(CELL("contents"),$C$2:$C$4852)),ROW($C$2:$C$4852),4^8),ROW(C3163)))&amp;""</f>
        <v>#N/A</v>
      </c>
      <c r="F3163" s="20"/>
      <c r="G3163" s="20"/>
      <c r="H3163" s="20"/>
      <c r="I3163" s="20"/>
      <c r="J3163" s="20"/>
      <c r="K3163" s="20"/>
      <c r="L3163" s="20"/>
      <c r="M3163" s="20"/>
      <c r="N3163" s="20"/>
      <c r="O3163" s="20"/>
      <c r="P3163" s="20"/>
      <c r="Q3163" s="20"/>
      <c r="R3163" s="20"/>
      <c r="S3163" s="20"/>
      <c r="T3163" s="20"/>
      <c r="U3163" s="20"/>
      <c r="V3163" s="20"/>
      <c r="W3163" s="20"/>
      <c r="X3163" s="20"/>
      <c r="Y3163" s="20"/>
      <c r="Z3163" s="20"/>
      <c r="AA3163" s="20"/>
      <c r="AB3163" s="20"/>
      <c r="AC3163" s="20"/>
      <c r="AD3163" s="20"/>
      <c r="AE3163" s="20"/>
      <c r="AF3163" s="20"/>
      <c r="AG3163" s="20"/>
      <c r="AH3163" s="20"/>
      <c r="AI3163" s="20"/>
      <c r="AJ3163" s="20"/>
      <c r="AK3163" s="20"/>
      <c r="AL3163" s="20"/>
      <c r="AM3163" s="20"/>
      <c r="AN3163" s="20"/>
    </row>
    <row r="3164" s="18" customFormat="1" ht="14.100000000000001" customHeight="1">
      <c r="A3164" s="20"/>
      <c r="B3164" s="20" t="s">
        <v>6472</v>
      </c>
      <c r="C3164" s="20" t="s">
        <v>6473</v>
      </c>
      <c r="D3164" s="20" t="s">
        <v>6472</v>
      </c>
      <c r="E3164" s="20" t="e">
        <f t="array" ref="E3164">INDEX(C:C,SMALL(IF(ISNUMBER(FIND(CELL("contents"),$C$2:$C$4852)),ROW($C$2:$C$4852),4^8),ROW(C3164)))&amp;""</f>
        <v>#N/A</v>
      </c>
      <c r="F3164" s="20"/>
      <c r="G3164" s="20"/>
      <c r="H3164" s="20"/>
      <c r="I3164" s="20"/>
      <c r="J3164" s="20"/>
      <c r="K3164" s="20"/>
      <c r="L3164" s="20"/>
      <c r="M3164" s="20"/>
      <c r="N3164" s="20"/>
      <c r="O3164" s="20"/>
      <c r="P3164" s="20"/>
      <c r="Q3164" s="20"/>
      <c r="R3164" s="20"/>
      <c r="S3164" s="20"/>
      <c r="T3164" s="20"/>
      <c r="U3164" s="20"/>
      <c r="V3164" s="20"/>
      <c r="W3164" s="20"/>
      <c r="X3164" s="20"/>
      <c r="Y3164" s="20"/>
      <c r="Z3164" s="20"/>
      <c r="AA3164" s="20"/>
      <c r="AB3164" s="20"/>
      <c r="AC3164" s="20"/>
      <c r="AD3164" s="20"/>
      <c r="AE3164" s="20"/>
      <c r="AF3164" s="20"/>
      <c r="AG3164" s="20"/>
      <c r="AH3164" s="20"/>
      <c r="AI3164" s="20"/>
      <c r="AJ3164" s="20"/>
      <c r="AK3164" s="20"/>
      <c r="AL3164" s="20"/>
      <c r="AM3164" s="20"/>
      <c r="AN3164" s="20"/>
    </row>
    <row r="3165" s="18" customFormat="1" ht="14.100000000000001" customHeight="1">
      <c r="A3165" s="20"/>
      <c r="B3165" s="20" t="s">
        <v>6474</v>
      </c>
      <c r="C3165" s="20" t="s">
        <v>6475</v>
      </c>
      <c r="D3165" s="20" t="s">
        <v>6474</v>
      </c>
      <c r="E3165" s="20" t="e">
        <f t="array" ref="E3165">INDEX(C:C,SMALL(IF(ISNUMBER(FIND(CELL("contents"),$C$2:$C$4852)),ROW($C$2:$C$4852),4^8),ROW(C3165)))&amp;""</f>
        <v>#N/A</v>
      </c>
      <c r="F3165" s="20"/>
      <c r="G3165" s="20"/>
      <c r="H3165" s="20"/>
      <c r="I3165" s="20"/>
      <c r="J3165" s="20"/>
      <c r="K3165" s="20"/>
      <c r="L3165" s="20"/>
      <c r="M3165" s="20"/>
      <c r="N3165" s="20"/>
      <c r="O3165" s="20"/>
      <c r="P3165" s="20"/>
      <c r="Q3165" s="20"/>
      <c r="R3165" s="20"/>
      <c r="S3165" s="20"/>
      <c r="T3165" s="20"/>
      <c r="U3165" s="20"/>
      <c r="V3165" s="20"/>
      <c r="W3165" s="20"/>
      <c r="X3165" s="20"/>
      <c r="Y3165" s="20"/>
      <c r="Z3165" s="20"/>
      <c r="AA3165" s="20"/>
      <c r="AB3165" s="20"/>
      <c r="AC3165" s="20"/>
      <c r="AD3165" s="20"/>
      <c r="AE3165" s="20"/>
      <c r="AF3165" s="20"/>
      <c r="AG3165" s="20"/>
      <c r="AH3165" s="20"/>
      <c r="AI3165" s="20"/>
      <c r="AJ3165" s="20"/>
      <c r="AK3165" s="20"/>
      <c r="AL3165" s="20"/>
      <c r="AM3165" s="20"/>
      <c r="AN3165" s="20"/>
    </row>
    <row r="3166" s="18" customFormat="1" ht="14.100000000000001" customHeight="1">
      <c r="A3166" s="20"/>
      <c r="B3166" s="20" t="s">
        <v>6476</v>
      </c>
      <c r="C3166" s="20" t="s">
        <v>6477</v>
      </c>
      <c r="D3166" s="20" t="s">
        <v>6476</v>
      </c>
      <c r="E3166" s="20" t="e">
        <f t="array" ref="E3166">INDEX(C:C,SMALL(IF(ISNUMBER(FIND(CELL("contents"),$C$2:$C$4852)),ROW($C$2:$C$4852),4^8),ROW(C3166)))&amp;""</f>
        <v>#N/A</v>
      </c>
      <c r="F3166" s="20"/>
      <c r="G3166" s="20"/>
      <c r="H3166" s="20"/>
      <c r="I3166" s="20"/>
      <c r="J3166" s="20"/>
      <c r="K3166" s="20"/>
      <c r="L3166" s="20"/>
      <c r="M3166" s="20"/>
      <c r="N3166" s="20"/>
      <c r="O3166" s="20"/>
      <c r="P3166" s="20"/>
      <c r="Q3166" s="20"/>
      <c r="R3166" s="20"/>
      <c r="S3166" s="20"/>
      <c r="T3166" s="20"/>
      <c r="U3166" s="20"/>
      <c r="V3166" s="20"/>
      <c r="W3166" s="20"/>
      <c r="X3166" s="20"/>
      <c r="Y3166" s="20"/>
      <c r="Z3166" s="20"/>
      <c r="AA3166" s="20"/>
      <c r="AB3166" s="20"/>
      <c r="AC3166" s="20"/>
      <c r="AD3166" s="20"/>
      <c r="AE3166" s="20"/>
      <c r="AF3166" s="20"/>
      <c r="AG3166" s="20"/>
      <c r="AH3166" s="20"/>
      <c r="AI3166" s="20"/>
      <c r="AJ3166" s="20"/>
      <c r="AK3166" s="20"/>
      <c r="AL3166" s="20"/>
      <c r="AM3166" s="20"/>
      <c r="AN3166" s="20"/>
    </row>
    <row r="3167" s="18" customFormat="1" ht="14.100000000000001" customHeight="1">
      <c r="A3167" s="20"/>
      <c r="B3167" s="20" t="s">
        <v>6478</v>
      </c>
      <c r="C3167" s="20" t="s">
        <v>6479</v>
      </c>
      <c r="D3167" s="20" t="s">
        <v>6478</v>
      </c>
      <c r="E3167" s="20" t="e">
        <f t="array" ref="E3167">INDEX(C:C,SMALL(IF(ISNUMBER(FIND(CELL("contents"),$C$2:$C$4852)),ROW($C$2:$C$4852),4^8),ROW(C3167)))&amp;""</f>
        <v>#N/A</v>
      </c>
      <c r="F3167" s="20"/>
      <c r="G3167" s="20"/>
      <c r="H3167" s="20"/>
      <c r="I3167" s="20"/>
      <c r="J3167" s="20"/>
      <c r="K3167" s="20"/>
      <c r="L3167" s="20"/>
      <c r="M3167" s="20"/>
      <c r="N3167" s="20"/>
      <c r="O3167" s="20"/>
      <c r="P3167" s="20"/>
      <c r="Q3167" s="20"/>
      <c r="R3167" s="20"/>
      <c r="S3167" s="20"/>
      <c r="T3167" s="20"/>
      <c r="U3167" s="20"/>
      <c r="V3167" s="20"/>
      <c r="W3167" s="20"/>
      <c r="X3167" s="20"/>
      <c r="Y3167" s="20"/>
      <c r="Z3167" s="20"/>
      <c r="AA3167" s="20"/>
      <c r="AB3167" s="20"/>
      <c r="AC3167" s="20"/>
      <c r="AD3167" s="20"/>
      <c r="AE3167" s="20"/>
      <c r="AF3167" s="20"/>
      <c r="AG3167" s="20"/>
      <c r="AH3167" s="20"/>
      <c r="AI3167" s="20"/>
      <c r="AJ3167" s="20"/>
      <c r="AK3167" s="20"/>
      <c r="AL3167" s="20"/>
      <c r="AM3167" s="20"/>
      <c r="AN3167" s="20"/>
    </row>
    <row r="3168" s="18" customFormat="1" ht="14.100000000000001" customHeight="1">
      <c r="A3168" s="20"/>
      <c r="B3168" s="20" t="s">
        <v>6480</v>
      </c>
      <c r="C3168" s="20" t="s">
        <v>6481</v>
      </c>
      <c r="D3168" s="20" t="s">
        <v>6480</v>
      </c>
      <c r="E3168" s="20" t="e">
        <f t="array" ref="E3168">INDEX(C:C,SMALL(IF(ISNUMBER(FIND(CELL("contents"),$C$2:$C$4852)),ROW($C$2:$C$4852),4^8),ROW(C3168)))&amp;""</f>
        <v>#N/A</v>
      </c>
      <c r="F3168" s="20"/>
      <c r="G3168" s="20"/>
      <c r="H3168" s="20"/>
      <c r="I3168" s="20"/>
      <c r="J3168" s="20"/>
      <c r="K3168" s="20"/>
      <c r="L3168" s="20"/>
      <c r="M3168" s="20"/>
      <c r="N3168" s="20"/>
      <c r="O3168" s="20"/>
      <c r="P3168" s="20"/>
      <c r="Q3168" s="20"/>
      <c r="R3168" s="20"/>
      <c r="S3168" s="20"/>
      <c r="T3168" s="20"/>
      <c r="U3168" s="20"/>
      <c r="V3168" s="20"/>
      <c r="W3168" s="20"/>
      <c r="X3168" s="20"/>
      <c r="Y3168" s="20"/>
      <c r="Z3168" s="20"/>
      <c r="AA3168" s="20"/>
      <c r="AB3168" s="20"/>
      <c r="AC3168" s="20"/>
      <c r="AD3168" s="20"/>
      <c r="AE3168" s="20"/>
      <c r="AF3168" s="20"/>
      <c r="AG3168" s="20"/>
      <c r="AH3168" s="20"/>
      <c r="AI3168" s="20"/>
      <c r="AJ3168" s="20"/>
      <c r="AK3168" s="20"/>
      <c r="AL3168" s="20"/>
      <c r="AM3168" s="20"/>
      <c r="AN3168" s="20"/>
    </row>
    <row r="3169" s="18" customFormat="1" ht="14.100000000000001" customHeight="1">
      <c r="A3169" s="20"/>
      <c r="B3169" s="20" t="s">
        <v>6482</v>
      </c>
      <c r="C3169" s="20" t="s">
        <v>6483</v>
      </c>
      <c r="D3169" s="20" t="s">
        <v>6482</v>
      </c>
      <c r="E3169" s="20" t="e">
        <f t="array" ref="E3169">INDEX(C:C,SMALL(IF(ISNUMBER(FIND(CELL("contents"),$C$2:$C$4852)),ROW($C$2:$C$4852),4^8),ROW(C3169)))&amp;""</f>
        <v>#N/A</v>
      </c>
      <c r="F3169" s="20"/>
      <c r="G3169" s="20"/>
      <c r="H3169" s="20"/>
      <c r="I3169" s="20"/>
      <c r="J3169" s="20"/>
      <c r="K3169" s="20"/>
      <c r="L3169" s="20"/>
      <c r="M3169" s="20"/>
      <c r="N3169" s="20"/>
      <c r="O3169" s="20"/>
      <c r="P3169" s="20"/>
      <c r="Q3169" s="20"/>
      <c r="R3169" s="20"/>
      <c r="S3169" s="20"/>
      <c r="T3169" s="20"/>
      <c r="U3169" s="20"/>
      <c r="V3169" s="20"/>
      <c r="W3169" s="20"/>
      <c r="X3169" s="20"/>
      <c r="Y3169" s="20"/>
      <c r="Z3169" s="20"/>
      <c r="AA3169" s="20"/>
      <c r="AB3169" s="20"/>
      <c r="AC3169" s="20"/>
      <c r="AD3169" s="20"/>
      <c r="AE3169" s="20"/>
      <c r="AF3169" s="20"/>
      <c r="AG3169" s="20"/>
      <c r="AH3169" s="20"/>
      <c r="AI3169" s="20"/>
      <c r="AJ3169" s="20"/>
      <c r="AK3169" s="20"/>
      <c r="AL3169" s="20"/>
      <c r="AM3169" s="20"/>
      <c r="AN3169" s="20"/>
    </row>
    <row r="3170" s="18" customFormat="1" ht="14.100000000000001" customHeight="1">
      <c r="A3170" s="20"/>
      <c r="B3170" s="20" t="s">
        <v>6484</v>
      </c>
      <c r="C3170" s="20" t="s">
        <v>6485</v>
      </c>
      <c r="D3170" s="20" t="s">
        <v>6484</v>
      </c>
      <c r="E3170" s="20" t="e">
        <f t="array" ref="E3170">INDEX(C:C,SMALL(IF(ISNUMBER(FIND(CELL("contents"),$C$2:$C$4852)),ROW($C$2:$C$4852),4^8),ROW(C3170)))&amp;""</f>
        <v>#N/A</v>
      </c>
      <c r="F3170" s="20"/>
      <c r="G3170" s="20"/>
      <c r="H3170" s="20"/>
      <c r="I3170" s="20"/>
      <c r="J3170" s="20"/>
      <c r="K3170" s="20"/>
      <c r="L3170" s="20"/>
      <c r="M3170" s="20"/>
      <c r="N3170" s="20"/>
      <c r="O3170" s="20"/>
      <c r="P3170" s="20"/>
      <c r="Q3170" s="20"/>
      <c r="R3170" s="20"/>
      <c r="S3170" s="20"/>
      <c r="T3170" s="20"/>
      <c r="U3170" s="20"/>
      <c r="V3170" s="20"/>
      <c r="W3170" s="20"/>
      <c r="X3170" s="20"/>
      <c r="Y3170" s="20"/>
      <c r="Z3170" s="20"/>
      <c r="AA3170" s="20"/>
      <c r="AB3170" s="20"/>
      <c r="AC3170" s="20"/>
      <c r="AD3170" s="20"/>
      <c r="AE3170" s="20"/>
      <c r="AF3170" s="20"/>
      <c r="AG3170" s="20"/>
      <c r="AH3170" s="20"/>
      <c r="AI3170" s="20"/>
      <c r="AJ3170" s="20"/>
      <c r="AK3170" s="20"/>
      <c r="AL3170" s="20"/>
      <c r="AM3170" s="20"/>
      <c r="AN3170" s="20"/>
    </row>
    <row r="3171" s="18" customFormat="1" ht="14.100000000000001" customHeight="1">
      <c r="A3171" s="20"/>
      <c r="B3171" s="20" t="s">
        <v>6486</v>
      </c>
      <c r="C3171" s="20" t="s">
        <v>6487</v>
      </c>
      <c r="D3171" s="20" t="s">
        <v>6486</v>
      </c>
      <c r="E3171" s="20" t="e">
        <f t="array" ref="E3171">INDEX(C:C,SMALL(IF(ISNUMBER(FIND(CELL("contents"),$C$2:$C$4852)),ROW($C$2:$C$4852),4^8),ROW(C3171)))&amp;""</f>
        <v>#N/A</v>
      </c>
      <c r="F3171" s="20"/>
      <c r="G3171" s="20"/>
      <c r="H3171" s="20"/>
      <c r="I3171" s="20"/>
      <c r="J3171" s="20"/>
      <c r="K3171" s="20"/>
      <c r="L3171" s="20"/>
      <c r="M3171" s="20"/>
      <c r="N3171" s="20"/>
      <c r="O3171" s="20"/>
      <c r="P3171" s="20"/>
      <c r="Q3171" s="20"/>
      <c r="R3171" s="20"/>
      <c r="S3171" s="20"/>
      <c r="T3171" s="20"/>
      <c r="U3171" s="20"/>
      <c r="V3171" s="20"/>
      <c r="W3171" s="20"/>
      <c r="X3171" s="20"/>
      <c r="Y3171" s="20"/>
      <c r="Z3171" s="20"/>
      <c r="AA3171" s="20"/>
      <c r="AB3171" s="20"/>
      <c r="AC3171" s="20"/>
      <c r="AD3171" s="20"/>
      <c r="AE3171" s="20"/>
      <c r="AF3171" s="20"/>
      <c r="AG3171" s="20"/>
      <c r="AH3171" s="20"/>
      <c r="AI3171" s="20"/>
      <c r="AJ3171" s="20"/>
      <c r="AK3171" s="20"/>
      <c r="AL3171" s="20"/>
      <c r="AM3171" s="20"/>
      <c r="AN3171" s="20"/>
    </row>
    <row r="3172" s="18" customFormat="1" ht="14.100000000000001" customHeight="1">
      <c r="A3172" s="20"/>
      <c r="B3172" s="20" t="s">
        <v>6488</v>
      </c>
      <c r="C3172" s="20" t="s">
        <v>6489</v>
      </c>
      <c r="D3172" s="20" t="s">
        <v>6488</v>
      </c>
      <c r="E3172" s="20" t="e">
        <f t="array" ref="E3172">INDEX(C:C,SMALL(IF(ISNUMBER(FIND(CELL("contents"),$C$2:$C$4852)),ROW($C$2:$C$4852),4^8),ROW(C3172)))&amp;""</f>
        <v>#N/A</v>
      </c>
      <c r="F3172" s="20"/>
      <c r="G3172" s="20"/>
      <c r="H3172" s="20"/>
      <c r="I3172" s="20"/>
      <c r="J3172" s="20"/>
      <c r="K3172" s="20"/>
      <c r="L3172" s="20"/>
      <c r="M3172" s="20"/>
      <c r="N3172" s="20"/>
      <c r="O3172" s="20"/>
      <c r="P3172" s="20"/>
      <c r="Q3172" s="20"/>
      <c r="R3172" s="20"/>
      <c r="S3172" s="20"/>
      <c r="T3172" s="20"/>
      <c r="U3172" s="20"/>
      <c r="V3172" s="20"/>
      <c r="W3172" s="20"/>
      <c r="X3172" s="20"/>
      <c r="Y3172" s="20"/>
      <c r="Z3172" s="20"/>
      <c r="AA3172" s="20"/>
      <c r="AB3172" s="20"/>
      <c r="AC3172" s="20"/>
      <c r="AD3172" s="20"/>
      <c r="AE3172" s="20"/>
      <c r="AF3172" s="20"/>
      <c r="AG3172" s="20"/>
      <c r="AH3172" s="20"/>
      <c r="AI3172" s="20"/>
      <c r="AJ3172" s="20"/>
      <c r="AK3172" s="20"/>
      <c r="AL3172" s="20"/>
      <c r="AM3172" s="20"/>
      <c r="AN3172" s="20"/>
    </row>
    <row r="3173" s="18" customFormat="1" ht="14.100000000000001" customHeight="1">
      <c r="A3173" s="20"/>
      <c r="B3173" s="20" t="s">
        <v>6490</v>
      </c>
      <c r="C3173" s="20" t="s">
        <v>6491</v>
      </c>
      <c r="D3173" s="20" t="s">
        <v>6490</v>
      </c>
      <c r="E3173" s="20" t="e">
        <f t="array" ref="E3173">INDEX(C:C,SMALL(IF(ISNUMBER(FIND(CELL("contents"),$C$2:$C$4852)),ROW($C$2:$C$4852),4^8),ROW(C3173)))&amp;""</f>
        <v>#N/A</v>
      </c>
      <c r="F3173" s="20"/>
      <c r="G3173" s="20"/>
      <c r="H3173" s="20"/>
      <c r="I3173" s="20"/>
      <c r="J3173" s="20"/>
      <c r="K3173" s="20"/>
      <c r="L3173" s="20"/>
      <c r="M3173" s="20"/>
      <c r="N3173" s="20"/>
      <c r="O3173" s="20"/>
      <c r="P3173" s="20"/>
      <c r="Q3173" s="20"/>
      <c r="R3173" s="20"/>
      <c r="S3173" s="20"/>
      <c r="T3173" s="20"/>
      <c r="U3173" s="20"/>
      <c r="V3173" s="20"/>
      <c r="W3173" s="20"/>
      <c r="X3173" s="20"/>
      <c r="Y3173" s="20"/>
      <c r="Z3173" s="20"/>
      <c r="AA3173" s="20"/>
      <c r="AB3173" s="20"/>
      <c r="AC3173" s="20"/>
      <c r="AD3173" s="20"/>
      <c r="AE3173" s="20"/>
      <c r="AF3173" s="20"/>
      <c r="AG3173" s="20"/>
      <c r="AH3173" s="20"/>
      <c r="AI3173" s="20"/>
      <c r="AJ3173" s="20"/>
      <c r="AK3173" s="20"/>
      <c r="AL3173" s="20"/>
      <c r="AM3173" s="20"/>
      <c r="AN3173" s="20"/>
    </row>
    <row r="3174" s="18" customFormat="1" ht="14.100000000000001" customHeight="1">
      <c r="A3174" s="20"/>
      <c r="B3174" s="20" t="s">
        <v>6492</v>
      </c>
      <c r="C3174" s="20" t="s">
        <v>6493</v>
      </c>
      <c r="D3174" s="20" t="s">
        <v>6492</v>
      </c>
      <c r="E3174" s="20" t="e">
        <f t="array" ref="E3174">INDEX(C:C,SMALL(IF(ISNUMBER(FIND(CELL("contents"),$C$2:$C$4852)),ROW($C$2:$C$4852),4^8),ROW(C3174)))&amp;""</f>
        <v>#N/A</v>
      </c>
      <c r="F3174" s="20"/>
      <c r="G3174" s="20"/>
      <c r="H3174" s="20"/>
      <c r="I3174" s="20"/>
      <c r="J3174" s="20"/>
      <c r="K3174" s="20"/>
      <c r="L3174" s="20"/>
      <c r="M3174" s="20"/>
      <c r="N3174" s="20"/>
      <c r="O3174" s="20"/>
      <c r="P3174" s="20"/>
      <c r="Q3174" s="20"/>
      <c r="R3174" s="20"/>
      <c r="S3174" s="20"/>
      <c r="T3174" s="20"/>
      <c r="U3174" s="20"/>
      <c r="V3174" s="20"/>
      <c r="W3174" s="20"/>
      <c r="X3174" s="20"/>
      <c r="Y3174" s="20"/>
      <c r="Z3174" s="20"/>
      <c r="AA3174" s="20"/>
      <c r="AB3174" s="20"/>
      <c r="AC3174" s="20"/>
      <c r="AD3174" s="20"/>
      <c r="AE3174" s="20"/>
      <c r="AF3174" s="20"/>
      <c r="AG3174" s="20"/>
      <c r="AH3174" s="20"/>
      <c r="AI3174" s="20"/>
      <c r="AJ3174" s="20"/>
      <c r="AK3174" s="20"/>
      <c r="AL3174" s="20"/>
      <c r="AM3174" s="20"/>
      <c r="AN3174" s="20"/>
    </row>
    <row r="3175" s="18" customFormat="1" ht="14.100000000000001" customHeight="1">
      <c r="A3175" s="20"/>
      <c r="B3175" s="20" t="s">
        <v>6494</v>
      </c>
      <c r="C3175" s="20" t="s">
        <v>6495</v>
      </c>
      <c r="D3175" s="20" t="s">
        <v>6494</v>
      </c>
      <c r="E3175" s="20" t="e">
        <f t="array" ref="E3175">INDEX(C:C,SMALL(IF(ISNUMBER(FIND(CELL("contents"),$C$2:$C$4852)),ROW($C$2:$C$4852),4^8),ROW(C3175)))&amp;""</f>
        <v>#N/A</v>
      </c>
      <c r="F3175" s="20"/>
      <c r="G3175" s="20"/>
      <c r="H3175" s="20"/>
      <c r="I3175" s="20"/>
      <c r="J3175" s="20"/>
      <c r="K3175" s="20"/>
      <c r="L3175" s="20"/>
      <c r="M3175" s="20"/>
      <c r="N3175" s="20"/>
      <c r="O3175" s="20"/>
      <c r="P3175" s="20"/>
      <c r="Q3175" s="20"/>
      <c r="R3175" s="20"/>
      <c r="S3175" s="20"/>
      <c r="T3175" s="20"/>
      <c r="U3175" s="20"/>
      <c r="V3175" s="20"/>
      <c r="W3175" s="20"/>
      <c r="X3175" s="20"/>
      <c r="Y3175" s="20"/>
      <c r="Z3175" s="20"/>
      <c r="AA3175" s="20"/>
      <c r="AB3175" s="20"/>
      <c r="AC3175" s="20"/>
      <c r="AD3175" s="20"/>
      <c r="AE3175" s="20"/>
      <c r="AF3175" s="20"/>
      <c r="AG3175" s="20"/>
      <c r="AH3175" s="20"/>
      <c r="AI3175" s="20"/>
      <c r="AJ3175" s="20"/>
      <c r="AK3175" s="20"/>
      <c r="AL3175" s="20"/>
      <c r="AM3175" s="20"/>
      <c r="AN3175" s="20"/>
    </row>
    <row r="3176" s="18" customFormat="1" ht="14.100000000000001" customHeight="1">
      <c r="A3176" s="20"/>
      <c r="B3176" s="20" t="s">
        <v>6496</v>
      </c>
      <c r="C3176" s="20" t="s">
        <v>6497</v>
      </c>
      <c r="D3176" s="20" t="s">
        <v>6496</v>
      </c>
      <c r="E3176" s="20" t="e">
        <f t="array" ref="E3176">INDEX(C:C,SMALL(IF(ISNUMBER(FIND(CELL("contents"),$C$2:$C$4852)),ROW($C$2:$C$4852),4^8),ROW(C3176)))&amp;""</f>
        <v>#N/A</v>
      </c>
      <c r="F3176" s="20"/>
      <c r="G3176" s="20"/>
      <c r="H3176" s="20"/>
      <c r="I3176" s="20"/>
      <c r="J3176" s="20"/>
      <c r="K3176" s="20"/>
      <c r="L3176" s="20"/>
      <c r="M3176" s="20"/>
      <c r="N3176" s="20"/>
      <c r="O3176" s="20"/>
      <c r="P3176" s="20"/>
      <c r="Q3176" s="20"/>
      <c r="R3176" s="20"/>
      <c r="S3176" s="20"/>
      <c r="T3176" s="20"/>
      <c r="U3176" s="20"/>
      <c r="V3176" s="20"/>
      <c r="W3176" s="20"/>
      <c r="X3176" s="20"/>
      <c r="Y3176" s="20"/>
      <c r="Z3176" s="20"/>
      <c r="AA3176" s="20"/>
      <c r="AB3176" s="20"/>
      <c r="AC3176" s="20"/>
      <c r="AD3176" s="20"/>
      <c r="AE3176" s="20"/>
      <c r="AF3176" s="20"/>
      <c r="AG3176" s="20"/>
      <c r="AH3176" s="20"/>
      <c r="AI3176" s="20"/>
      <c r="AJ3176" s="20"/>
      <c r="AK3176" s="20"/>
      <c r="AL3176" s="20"/>
      <c r="AM3176" s="20"/>
      <c r="AN3176" s="20"/>
    </row>
    <row r="3177" s="18" customFormat="1" ht="14.100000000000001" customHeight="1">
      <c r="A3177" s="20"/>
      <c r="B3177" s="20" t="s">
        <v>6498</v>
      </c>
      <c r="C3177" s="20" t="s">
        <v>6499</v>
      </c>
      <c r="D3177" s="20" t="s">
        <v>6498</v>
      </c>
      <c r="E3177" s="20" t="e">
        <f t="array" ref="E3177">INDEX(C:C,SMALL(IF(ISNUMBER(FIND(CELL("contents"),$C$2:$C$4852)),ROW($C$2:$C$4852),4^8),ROW(C3177)))&amp;""</f>
        <v>#N/A</v>
      </c>
      <c r="F3177" s="20"/>
      <c r="G3177" s="20"/>
      <c r="H3177" s="20"/>
      <c r="I3177" s="20"/>
      <c r="J3177" s="20"/>
      <c r="K3177" s="20"/>
      <c r="L3177" s="20"/>
      <c r="M3177" s="20"/>
      <c r="N3177" s="20"/>
      <c r="O3177" s="20"/>
      <c r="P3177" s="20"/>
      <c r="Q3177" s="20"/>
      <c r="R3177" s="20"/>
      <c r="S3177" s="20"/>
      <c r="T3177" s="20"/>
      <c r="U3177" s="20"/>
      <c r="V3177" s="20"/>
      <c r="W3177" s="20"/>
      <c r="X3177" s="20"/>
      <c r="Y3177" s="20"/>
      <c r="Z3177" s="20"/>
      <c r="AA3177" s="20"/>
      <c r="AB3177" s="20"/>
      <c r="AC3177" s="20"/>
      <c r="AD3177" s="20"/>
      <c r="AE3177" s="20"/>
      <c r="AF3177" s="20"/>
      <c r="AG3177" s="20"/>
      <c r="AH3177" s="20"/>
      <c r="AI3177" s="20"/>
      <c r="AJ3177" s="20"/>
      <c r="AK3177" s="20"/>
      <c r="AL3177" s="20"/>
      <c r="AM3177" s="20"/>
      <c r="AN3177" s="20"/>
    </row>
    <row r="3178" s="18" customFormat="1" ht="14.100000000000001" customHeight="1">
      <c r="A3178" s="20"/>
      <c r="B3178" s="20" t="s">
        <v>6500</v>
      </c>
      <c r="C3178" s="20" t="s">
        <v>6501</v>
      </c>
      <c r="D3178" s="20" t="s">
        <v>6500</v>
      </c>
      <c r="E3178" s="20" t="e">
        <f t="array" ref="E3178">INDEX(C:C,SMALL(IF(ISNUMBER(FIND(CELL("contents"),$C$2:$C$4852)),ROW($C$2:$C$4852),4^8),ROW(C3178)))&amp;""</f>
        <v>#N/A</v>
      </c>
      <c r="F3178" s="20"/>
      <c r="G3178" s="20"/>
      <c r="H3178" s="20"/>
      <c r="I3178" s="20"/>
      <c r="J3178" s="20"/>
      <c r="K3178" s="20"/>
      <c r="L3178" s="20"/>
      <c r="M3178" s="20"/>
      <c r="N3178" s="20"/>
      <c r="O3178" s="20"/>
      <c r="P3178" s="20"/>
      <c r="Q3178" s="20"/>
      <c r="R3178" s="20"/>
      <c r="S3178" s="20"/>
      <c r="T3178" s="20"/>
      <c r="U3178" s="20"/>
      <c r="V3178" s="20"/>
      <c r="W3178" s="20"/>
      <c r="X3178" s="20"/>
      <c r="Y3178" s="20"/>
      <c r="Z3178" s="20"/>
      <c r="AA3178" s="20"/>
      <c r="AB3178" s="20"/>
      <c r="AC3178" s="20"/>
      <c r="AD3178" s="20"/>
      <c r="AE3178" s="20"/>
      <c r="AF3178" s="20"/>
      <c r="AG3178" s="20"/>
      <c r="AH3178" s="20"/>
      <c r="AI3178" s="20"/>
      <c r="AJ3178" s="20"/>
      <c r="AK3178" s="20"/>
      <c r="AL3178" s="20"/>
      <c r="AM3178" s="20"/>
      <c r="AN3178" s="20"/>
    </row>
    <row r="3179" s="18" customFormat="1" ht="14.100000000000001" customHeight="1">
      <c r="A3179" s="20"/>
      <c r="B3179" s="20" t="s">
        <v>6502</v>
      </c>
      <c r="C3179" s="20" t="s">
        <v>6503</v>
      </c>
      <c r="D3179" s="20" t="s">
        <v>6502</v>
      </c>
      <c r="E3179" s="20" t="e">
        <f t="array" ref="E3179">INDEX(C:C,SMALL(IF(ISNUMBER(FIND(CELL("contents"),$C$2:$C$4852)),ROW($C$2:$C$4852),4^8),ROW(C3179)))&amp;""</f>
        <v>#N/A</v>
      </c>
      <c r="F3179" s="20"/>
      <c r="G3179" s="20"/>
      <c r="H3179" s="20"/>
      <c r="I3179" s="20"/>
      <c r="J3179" s="20"/>
      <c r="K3179" s="20"/>
      <c r="L3179" s="20"/>
      <c r="M3179" s="20"/>
      <c r="N3179" s="20"/>
      <c r="O3179" s="20"/>
      <c r="P3179" s="20"/>
      <c r="Q3179" s="20"/>
      <c r="R3179" s="20"/>
      <c r="S3179" s="20"/>
      <c r="T3179" s="20"/>
      <c r="U3179" s="20"/>
      <c r="V3179" s="20"/>
      <c r="W3179" s="20"/>
      <c r="X3179" s="20"/>
      <c r="Y3179" s="20"/>
      <c r="Z3179" s="20"/>
      <c r="AA3179" s="20"/>
      <c r="AB3179" s="20"/>
      <c r="AC3179" s="20"/>
      <c r="AD3179" s="20"/>
      <c r="AE3179" s="20"/>
      <c r="AF3179" s="20"/>
      <c r="AG3179" s="20"/>
      <c r="AH3179" s="20"/>
      <c r="AI3179" s="20"/>
      <c r="AJ3179" s="20"/>
      <c r="AK3179" s="20"/>
      <c r="AL3179" s="20"/>
      <c r="AM3179" s="20"/>
      <c r="AN3179" s="20"/>
    </row>
    <row r="3180" s="18" customFormat="1" ht="14.100000000000001" customHeight="1">
      <c r="A3180" s="20"/>
      <c r="B3180" s="20" t="s">
        <v>6504</v>
      </c>
      <c r="C3180" s="20" t="s">
        <v>6505</v>
      </c>
      <c r="D3180" s="20" t="s">
        <v>6504</v>
      </c>
      <c r="E3180" s="20" t="e">
        <f t="array" ref="E3180">INDEX(C:C,SMALL(IF(ISNUMBER(FIND(CELL("contents"),$C$2:$C$4852)),ROW($C$2:$C$4852),4^8),ROW(C3180)))&amp;""</f>
        <v>#N/A</v>
      </c>
      <c r="F3180" s="20"/>
      <c r="G3180" s="20"/>
      <c r="H3180" s="20"/>
      <c r="I3180" s="20"/>
      <c r="J3180" s="20"/>
      <c r="K3180" s="20"/>
      <c r="L3180" s="20"/>
      <c r="M3180" s="20"/>
      <c r="N3180" s="20"/>
      <c r="O3180" s="20"/>
      <c r="P3180" s="20"/>
      <c r="Q3180" s="20"/>
      <c r="R3180" s="20"/>
      <c r="S3180" s="20"/>
      <c r="T3180" s="20"/>
      <c r="U3180" s="20"/>
      <c r="V3180" s="20"/>
      <c r="W3180" s="20"/>
      <c r="X3180" s="20"/>
      <c r="Y3180" s="20"/>
      <c r="Z3180" s="20"/>
      <c r="AA3180" s="20"/>
      <c r="AB3180" s="20"/>
      <c r="AC3180" s="20"/>
      <c r="AD3180" s="20"/>
      <c r="AE3180" s="20"/>
      <c r="AF3180" s="20"/>
      <c r="AG3180" s="20"/>
      <c r="AH3180" s="20"/>
      <c r="AI3180" s="20"/>
      <c r="AJ3180" s="20"/>
      <c r="AK3180" s="20"/>
      <c r="AL3180" s="20"/>
      <c r="AM3180" s="20"/>
      <c r="AN3180" s="20"/>
    </row>
    <row r="3181" s="18" customFormat="1" ht="14.100000000000001" customHeight="1">
      <c r="A3181" s="20"/>
      <c r="B3181" s="20" t="s">
        <v>6506</v>
      </c>
      <c r="C3181" s="20" t="s">
        <v>6507</v>
      </c>
      <c r="D3181" s="20" t="s">
        <v>6506</v>
      </c>
      <c r="E3181" s="20" t="e">
        <f t="array" ref="E3181">INDEX(C:C,SMALL(IF(ISNUMBER(FIND(CELL("contents"),$C$2:$C$4852)),ROW($C$2:$C$4852),4^8),ROW(C3181)))&amp;""</f>
        <v>#N/A</v>
      </c>
      <c r="F3181" s="20"/>
      <c r="G3181" s="20"/>
      <c r="H3181" s="20"/>
      <c r="I3181" s="20"/>
      <c r="J3181" s="20"/>
      <c r="K3181" s="20"/>
      <c r="L3181" s="20"/>
      <c r="M3181" s="20"/>
      <c r="N3181" s="20"/>
      <c r="O3181" s="20"/>
      <c r="P3181" s="20"/>
      <c r="Q3181" s="20"/>
      <c r="R3181" s="20"/>
      <c r="S3181" s="20"/>
      <c r="T3181" s="20"/>
      <c r="U3181" s="20"/>
      <c r="V3181" s="20"/>
      <c r="W3181" s="20"/>
      <c r="X3181" s="20"/>
      <c r="Y3181" s="20"/>
      <c r="Z3181" s="20"/>
      <c r="AA3181" s="20"/>
      <c r="AB3181" s="20"/>
      <c r="AC3181" s="20"/>
      <c r="AD3181" s="20"/>
      <c r="AE3181" s="20"/>
      <c r="AF3181" s="20"/>
      <c r="AG3181" s="20"/>
      <c r="AH3181" s="20"/>
      <c r="AI3181" s="20"/>
      <c r="AJ3181" s="20"/>
      <c r="AK3181" s="20"/>
      <c r="AL3181" s="20"/>
      <c r="AM3181" s="20"/>
      <c r="AN3181" s="20"/>
    </row>
    <row r="3182" s="18" customFormat="1" ht="14.100000000000001" customHeight="1">
      <c r="A3182" s="20"/>
      <c r="B3182" s="20" t="s">
        <v>6508</v>
      </c>
      <c r="C3182" s="20" t="s">
        <v>6509</v>
      </c>
      <c r="D3182" s="20" t="s">
        <v>6508</v>
      </c>
      <c r="E3182" s="20" t="e">
        <f t="array" ref="E3182">INDEX(C:C,SMALL(IF(ISNUMBER(FIND(CELL("contents"),$C$2:$C$4852)),ROW($C$2:$C$4852),4^8),ROW(C3182)))&amp;""</f>
        <v>#N/A</v>
      </c>
      <c r="F3182" s="20"/>
      <c r="G3182" s="20"/>
      <c r="H3182" s="20"/>
      <c r="I3182" s="20"/>
      <c r="J3182" s="20"/>
      <c r="K3182" s="20"/>
      <c r="L3182" s="20"/>
      <c r="M3182" s="20"/>
      <c r="N3182" s="20"/>
      <c r="O3182" s="20"/>
      <c r="P3182" s="20"/>
      <c r="Q3182" s="20"/>
      <c r="R3182" s="20"/>
      <c r="S3182" s="20"/>
      <c r="T3182" s="20"/>
      <c r="U3182" s="20"/>
      <c r="V3182" s="20"/>
      <c r="W3182" s="20"/>
      <c r="X3182" s="20"/>
      <c r="Y3182" s="20"/>
      <c r="Z3182" s="20"/>
      <c r="AA3182" s="20"/>
      <c r="AB3182" s="20"/>
      <c r="AC3182" s="20"/>
      <c r="AD3182" s="20"/>
      <c r="AE3182" s="20"/>
      <c r="AF3182" s="20"/>
      <c r="AG3182" s="20"/>
      <c r="AH3182" s="20"/>
      <c r="AI3182" s="20"/>
      <c r="AJ3182" s="20"/>
      <c r="AK3182" s="20"/>
      <c r="AL3182" s="20"/>
      <c r="AM3182" s="20"/>
      <c r="AN3182" s="20"/>
    </row>
    <row r="3183" s="18" customFormat="1" ht="14.100000000000001" customHeight="1">
      <c r="A3183" s="20"/>
      <c r="B3183" s="20" t="s">
        <v>6510</v>
      </c>
      <c r="C3183" s="20" t="s">
        <v>6511</v>
      </c>
      <c r="D3183" s="20" t="s">
        <v>6510</v>
      </c>
      <c r="E3183" s="20" t="e">
        <f t="array" ref="E3183">INDEX(C:C,SMALL(IF(ISNUMBER(FIND(CELL("contents"),$C$2:$C$4852)),ROW($C$2:$C$4852),4^8),ROW(C3183)))&amp;""</f>
        <v>#N/A</v>
      </c>
      <c r="F3183" s="20"/>
      <c r="G3183" s="20"/>
      <c r="H3183" s="20"/>
      <c r="I3183" s="20"/>
      <c r="J3183" s="20"/>
      <c r="K3183" s="20"/>
      <c r="L3183" s="20"/>
      <c r="M3183" s="20"/>
      <c r="N3183" s="20"/>
      <c r="O3183" s="20"/>
      <c r="P3183" s="20"/>
      <c r="Q3183" s="20"/>
      <c r="R3183" s="20"/>
      <c r="S3183" s="20"/>
      <c r="T3183" s="20"/>
      <c r="U3183" s="20"/>
      <c r="V3183" s="20"/>
      <c r="W3183" s="20"/>
      <c r="X3183" s="20"/>
      <c r="Y3183" s="20"/>
      <c r="Z3183" s="20"/>
      <c r="AA3183" s="20"/>
      <c r="AB3183" s="20"/>
      <c r="AC3183" s="20"/>
      <c r="AD3183" s="20"/>
      <c r="AE3183" s="20"/>
      <c r="AF3183" s="20"/>
      <c r="AG3183" s="20"/>
      <c r="AH3183" s="20"/>
      <c r="AI3183" s="20"/>
      <c r="AJ3183" s="20"/>
      <c r="AK3183" s="20"/>
      <c r="AL3183" s="20"/>
      <c r="AM3183" s="20"/>
      <c r="AN3183" s="20"/>
    </row>
    <row r="3184" s="18" customFormat="1" ht="14.100000000000001" customHeight="1">
      <c r="A3184" s="20"/>
      <c r="B3184" s="20" t="s">
        <v>6512</v>
      </c>
      <c r="C3184" s="20" t="s">
        <v>6513</v>
      </c>
      <c r="D3184" s="20" t="s">
        <v>6512</v>
      </c>
      <c r="E3184" s="20" t="e">
        <f t="array" ref="E3184">INDEX(C:C,SMALL(IF(ISNUMBER(FIND(CELL("contents"),$C$2:$C$4852)),ROW($C$2:$C$4852),4^8),ROW(C3184)))&amp;""</f>
        <v>#N/A</v>
      </c>
      <c r="F3184" s="20"/>
      <c r="G3184" s="20"/>
      <c r="H3184" s="20"/>
      <c r="I3184" s="20"/>
      <c r="J3184" s="20"/>
      <c r="K3184" s="20"/>
      <c r="L3184" s="20"/>
      <c r="M3184" s="20"/>
      <c r="N3184" s="20"/>
      <c r="O3184" s="20"/>
      <c r="P3184" s="20"/>
      <c r="Q3184" s="20"/>
      <c r="R3184" s="20"/>
      <c r="S3184" s="20"/>
      <c r="T3184" s="20"/>
      <c r="U3184" s="20"/>
      <c r="V3184" s="20"/>
      <c r="W3184" s="20"/>
      <c r="X3184" s="20"/>
      <c r="Y3184" s="20"/>
      <c r="Z3184" s="20"/>
      <c r="AA3184" s="20"/>
      <c r="AB3184" s="20"/>
      <c r="AC3184" s="20"/>
      <c r="AD3184" s="20"/>
      <c r="AE3184" s="20"/>
      <c r="AF3184" s="20"/>
      <c r="AG3184" s="20"/>
      <c r="AH3184" s="20"/>
      <c r="AI3184" s="20"/>
      <c r="AJ3184" s="20"/>
      <c r="AK3184" s="20"/>
      <c r="AL3184" s="20"/>
      <c r="AM3184" s="20"/>
      <c r="AN3184" s="20"/>
    </row>
    <row r="3185" s="18" customFormat="1" ht="14.100000000000001" customHeight="1">
      <c r="A3185" s="20"/>
      <c r="B3185" s="20" t="s">
        <v>6514</v>
      </c>
      <c r="C3185" s="20" t="s">
        <v>6515</v>
      </c>
      <c r="D3185" s="20" t="s">
        <v>6514</v>
      </c>
      <c r="E3185" s="20" t="e">
        <f t="array" ref="E3185">INDEX(C:C,SMALL(IF(ISNUMBER(FIND(CELL("contents"),$C$2:$C$4852)),ROW($C$2:$C$4852),4^8),ROW(C3185)))&amp;""</f>
        <v>#N/A</v>
      </c>
      <c r="F3185" s="20"/>
      <c r="G3185" s="20"/>
      <c r="H3185" s="20"/>
      <c r="I3185" s="20"/>
      <c r="J3185" s="20"/>
      <c r="K3185" s="20"/>
      <c r="L3185" s="20"/>
      <c r="M3185" s="20"/>
      <c r="N3185" s="20"/>
      <c r="O3185" s="20"/>
      <c r="P3185" s="20"/>
      <c r="Q3185" s="20"/>
      <c r="R3185" s="20"/>
      <c r="S3185" s="20"/>
      <c r="T3185" s="20"/>
      <c r="U3185" s="20"/>
      <c r="V3185" s="20"/>
      <c r="W3185" s="20"/>
      <c r="X3185" s="20"/>
      <c r="Y3185" s="20"/>
      <c r="Z3185" s="20"/>
      <c r="AA3185" s="20"/>
      <c r="AB3185" s="20"/>
      <c r="AC3185" s="20"/>
      <c r="AD3185" s="20"/>
      <c r="AE3185" s="20"/>
      <c r="AF3185" s="20"/>
      <c r="AG3185" s="20"/>
      <c r="AH3185" s="20"/>
      <c r="AI3185" s="20"/>
      <c r="AJ3185" s="20"/>
      <c r="AK3185" s="20"/>
      <c r="AL3185" s="20"/>
      <c r="AM3185" s="20"/>
      <c r="AN3185" s="20"/>
    </row>
    <row r="3186" s="18" customFormat="1" ht="14.100000000000001" customHeight="1">
      <c r="A3186" s="20"/>
      <c r="B3186" s="20" t="s">
        <v>6516</v>
      </c>
      <c r="C3186" s="20" t="s">
        <v>6517</v>
      </c>
      <c r="D3186" s="20" t="s">
        <v>6516</v>
      </c>
      <c r="E3186" s="20" t="e">
        <f t="array" ref="E3186">INDEX(C:C,SMALL(IF(ISNUMBER(FIND(CELL("contents"),$C$2:$C$4852)),ROW($C$2:$C$4852),4^8),ROW(C3186)))&amp;""</f>
        <v>#N/A</v>
      </c>
      <c r="F3186" s="20"/>
      <c r="G3186" s="20"/>
      <c r="H3186" s="20"/>
      <c r="I3186" s="20"/>
      <c r="J3186" s="20"/>
      <c r="K3186" s="20"/>
      <c r="L3186" s="20"/>
      <c r="M3186" s="20"/>
      <c r="N3186" s="20"/>
      <c r="O3186" s="20"/>
      <c r="P3186" s="20"/>
      <c r="Q3186" s="20"/>
      <c r="R3186" s="20"/>
      <c r="S3186" s="20"/>
      <c r="T3186" s="20"/>
      <c r="U3186" s="20"/>
      <c r="V3186" s="20"/>
      <c r="W3186" s="20"/>
      <c r="X3186" s="20"/>
      <c r="Y3186" s="20"/>
      <c r="Z3186" s="20"/>
      <c r="AA3186" s="20"/>
      <c r="AB3186" s="20"/>
      <c r="AC3186" s="20"/>
      <c r="AD3186" s="20"/>
      <c r="AE3186" s="20"/>
      <c r="AF3186" s="20"/>
      <c r="AG3186" s="20"/>
      <c r="AH3186" s="20"/>
      <c r="AI3186" s="20"/>
      <c r="AJ3186" s="20"/>
      <c r="AK3186" s="20"/>
      <c r="AL3186" s="20"/>
      <c r="AM3186" s="20"/>
      <c r="AN3186" s="20"/>
    </row>
    <row r="3187" s="18" customFormat="1" ht="14.100000000000001" customHeight="1">
      <c r="A3187" s="20"/>
      <c r="B3187" s="20" t="s">
        <v>6518</v>
      </c>
      <c r="C3187" s="20" t="s">
        <v>6519</v>
      </c>
      <c r="D3187" s="20" t="s">
        <v>6518</v>
      </c>
      <c r="E3187" s="20" t="e">
        <f t="array" ref="E3187">INDEX(C:C,SMALL(IF(ISNUMBER(FIND(CELL("contents"),$C$2:$C$4852)),ROW($C$2:$C$4852),4^8),ROW(C3187)))&amp;""</f>
        <v>#N/A</v>
      </c>
      <c r="F3187" s="20"/>
      <c r="G3187" s="20"/>
      <c r="H3187" s="20"/>
      <c r="I3187" s="20"/>
      <c r="J3187" s="20"/>
      <c r="K3187" s="20"/>
      <c r="L3187" s="20"/>
      <c r="M3187" s="20"/>
      <c r="N3187" s="20"/>
      <c r="O3187" s="20"/>
      <c r="P3187" s="20"/>
      <c r="Q3187" s="20"/>
      <c r="R3187" s="20"/>
      <c r="S3187" s="20"/>
      <c r="T3187" s="20"/>
      <c r="U3187" s="20"/>
      <c r="V3187" s="20"/>
      <c r="W3187" s="20"/>
      <c r="X3187" s="20"/>
      <c r="Y3187" s="20"/>
      <c r="Z3187" s="20"/>
      <c r="AA3187" s="20"/>
      <c r="AB3187" s="20"/>
      <c r="AC3187" s="20"/>
      <c r="AD3187" s="20"/>
      <c r="AE3187" s="20"/>
      <c r="AF3187" s="20"/>
      <c r="AG3187" s="20"/>
      <c r="AH3187" s="20"/>
      <c r="AI3187" s="20"/>
      <c r="AJ3187" s="20"/>
      <c r="AK3187" s="20"/>
      <c r="AL3187" s="20"/>
      <c r="AM3187" s="20"/>
      <c r="AN3187" s="20"/>
    </row>
    <row r="3188" s="18" customFormat="1" ht="14.100000000000001" customHeight="1">
      <c r="A3188" s="20"/>
      <c r="B3188" s="20" t="s">
        <v>6520</v>
      </c>
      <c r="C3188" s="20" t="s">
        <v>6521</v>
      </c>
      <c r="D3188" s="20" t="s">
        <v>6520</v>
      </c>
      <c r="E3188" s="20" t="e">
        <f t="array" ref="E3188">INDEX(C:C,SMALL(IF(ISNUMBER(FIND(CELL("contents"),$C$2:$C$4852)),ROW($C$2:$C$4852),4^8),ROW(C3188)))&amp;""</f>
        <v>#N/A</v>
      </c>
      <c r="F3188" s="20"/>
      <c r="G3188" s="20"/>
      <c r="H3188" s="20"/>
      <c r="I3188" s="20"/>
      <c r="J3188" s="20"/>
      <c r="K3188" s="20"/>
      <c r="L3188" s="20"/>
      <c r="M3188" s="20"/>
      <c r="N3188" s="20"/>
      <c r="O3188" s="20"/>
      <c r="P3188" s="20"/>
      <c r="Q3188" s="20"/>
      <c r="R3188" s="20"/>
      <c r="S3188" s="20"/>
      <c r="T3188" s="20"/>
      <c r="U3188" s="20"/>
      <c r="V3188" s="20"/>
      <c r="W3188" s="20"/>
      <c r="X3188" s="20"/>
      <c r="Y3188" s="20"/>
      <c r="Z3188" s="20"/>
      <c r="AA3188" s="20"/>
      <c r="AB3188" s="20"/>
      <c r="AC3188" s="20"/>
      <c r="AD3188" s="20"/>
      <c r="AE3188" s="20"/>
      <c r="AF3188" s="20"/>
      <c r="AG3188" s="20"/>
      <c r="AH3188" s="20"/>
      <c r="AI3188" s="20"/>
      <c r="AJ3188" s="20"/>
      <c r="AK3188" s="20"/>
      <c r="AL3188" s="20"/>
      <c r="AM3188" s="20"/>
      <c r="AN3188" s="20"/>
    </row>
    <row r="3189" s="18" customFormat="1" ht="14.100000000000001" customHeight="1">
      <c r="A3189" s="20"/>
      <c r="B3189" s="20" t="s">
        <v>6522</v>
      </c>
      <c r="C3189" s="20" t="s">
        <v>6523</v>
      </c>
      <c r="D3189" s="20" t="s">
        <v>6522</v>
      </c>
      <c r="E3189" s="20" t="e">
        <f t="array" ref="E3189">INDEX(C:C,SMALL(IF(ISNUMBER(FIND(CELL("contents"),$C$2:$C$4852)),ROW($C$2:$C$4852),4^8),ROW(C3189)))&amp;""</f>
        <v>#N/A</v>
      </c>
      <c r="F3189" s="20"/>
      <c r="G3189" s="20"/>
      <c r="H3189" s="20"/>
      <c r="I3189" s="20"/>
      <c r="J3189" s="20"/>
      <c r="K3189" s="20"/>
      <c r="L3189" s="20"/>
      <c r="M3189" s="20"/>
      <c r="N3189" s="20"/>
      <c r="O3189" s="20"/>
      <c r="P3189" s="20"/>
      <c r="Q3189" s="20"/>
      <c r="R3189" s="20"/>
      <c r="S3189" s="20"/>
      <c r="T3189" s="20"/>
      <c r="U3189" s="20"/>
      <c r="V3189" s="20"/>
      <c r="W3189" s="20"/>
      <c r="X3189" s="20"/>
      <c r="Y3189" s="20"/>
      <c r="Z3189" s="20"/>
      <c r="AA3189" s="20"/>
      <c r="AB3189" s="20"/>
      <c r="AC3189" s="20"/>
      <c r="AD3189" s="20"/>
      <c r="AE3189" s="20"/>
      <c r="AF3189" s="20"/>
      <c r="AG3189" s="20"/>
      <c r="AH3189" s="20"/>
      <c r="AI3189" s="20"/>
      <c r="AJ3189" s="20"/>
      <c r="AK3189" s="20"/>
      <c r="AL3189" s="20"/>
      <c r="AM3189" s="20"/>
      <c r="AN3189" s="20"/>
    </row>
    <row r="3190" s="18" customFormat="1" ht="14.100000000000001" customHeight="1">
      <c r="A3190" s="20"/>
      <c r="B3190" s="20" t="s">
        <v>6524</v>
      </c>
      <c r="C3190" s="20" t="s">
        <v>6525</v>
      </c>
      <c r="D3190" s="20" t="s">
        <v>6524</v>
      </c>
      <c r="E3190" s="20" t="e">
        <f t="array" ref="E3190">INDEX(C:C,SMALL(IF(ISNUMBER(FIND(CELL("contents"),$C$2:$C$4852)),ROW($C$2:$C$4852),4^8),ROW(C3190)))&amp;""</f>
        <v>#N/A</v>
      </c>
      <c r="F3190" s="20"/>
      <c r="G3190" s="20"/>
      <c r="H3190" s="20"/>
      <c r="I3190" s="20"/>
      <c r="J3190" s="20"/>
      <c r="K3190" s="20"/>
      <c r="L3190" s="20"/>
      <c r="M3190" s="20"/>
      <c r="N3190" s="20"/>
      <c r="O3190" s="20"/>
      <c r="P3190" s="20"/>
      <c r="Q3190" s="20"/>
      <c r="R3190" s="20"/>
      <c r="S3190" s="20"/>
      <c r="T3190" s="20"/>
      <c r="U3190" s="20"/>
      <c r="V3190" s="20"/>
      <c r="W3190" s="20"/>
      <c r="X3190" s="20"/>
      <c r="Y3190" s="20"/>
      <c r="Z3190" s="20"/>
      <c r="AA3190" s="20"/>
      <c r="AB3190" s="20"/>
      <c r="AC3190" s="20"/>
      <c r="AD3190" s="20"/>
      <c r="AE3190" s="20"/>
      <c r="AF3190" s="20"/>
      <c r="AG3190" s="20"/>
      <c r="AH3190" s="20"/>
      <c r="AI3190" s="20"/>
      <c r="AJ3190" s="20"/>
      <c r="AK3190" s="20"/>
      <c r="AL3190" s="20"/>
      <c r="AM3190" s="20"/>
      <c r="AN3190" s="20"/>
    </row>
    <row r="3191" s="18" customFormat="1" ht="14.100000000000001" customHeight="1">
      <c r="A3191" s="20"/>
      <c r="B3191" s="20" t="s">
        <v>6526</v>
      </c>
      <c r="C3191" s="20" t="s">
        <v>6527</v>
      </c>
      <c r="D3191" s="20" t="s">
        <v>6526</v>
      </c>
      <c r="E3191" s="20" t="e">
        <f t="array" ref="E3191">INDEX(C:C,SMALL(IF(ISNUMBER(FIND(CELL("contents"),$C$2:$C$4852)),ROW($C$2:$C$4852),4^8),ROW(C3191)))&amp;""</f>
        <v>#N/A</v>
      </c>
      <c r="F3191" s="20"/>
      <c r="G3191" s="20"/>
      <c r="H3191" s="20"/>
      <c r="I3191" s="20"/>
      <c r="J3191" s="20"/>
      <c r="K3191" s="20"/>
      <c r="L3191" s="20"/>
      <c r="M3191" s="20"/>
      <c r="N3191" s="20"/>
      <c r="O3191" s="20"/>
      <c r="P3191" s="20"/>
      <c r="Q3191" s="20"/>
      <c r="R3191" s="20"/>
      <c r="S3191" s="20"/>
      <c r="T3191" s="20"/>
      <c r="U3191" s="20"/>
      <c r="V3191" s="20"/>
      <c r="W3191" s="20"/>
      <c r="X3191" s="20"/>
      <c r="Y3191" s="20"/>
      <c r="Z3191" s="20"/>
      <c r="AA3191" s="20"/>
      <c r="AB3191" s="20"/>
      <c r="AC3191" s="20"/>
      <c r="AD3191" s="20"/>
      <c r="AE3191" s="20"/>
      <c r="AF3191" s="20"/>
      <c r="AG3191" s="20"/>
      <c r="AH3191" s="20"/>
      <c r="AI3191" s="20"/>
      <c r="AJ3191" s="20"/>
      <c r="AK3191" s="20"/>
      <c r="AL3191" s="20"/>
      <c r="AM3191" s="20"/>
      <c r="AN3191" s="20"/>
    </row>
    <row r="3192" s="18" customFormat="1" ht="14.100000000000001" customHeight="1">
      <c r="A3192" s="20"/>
      <c r="B3192" s="20" t="s">
        <v>6528</v>
      </c>
      <c r="C3192" s="20" t="s">
        <v>6529</v>
      </c>
      <c r="D3192" s="20" t="s">
        <v>6528</v>
      </c>
      <c r="E3192" s="20" t="e">
        <f t="array" ref="E3192">INDEX(C:C,SMALL(IF(ISNUMBER(FIND(CELL("contents"),$C$2:$C$4852)),ROW($C$2:$C$4852),4^8),ROW(C3192)))&amp;""</f>
        <v>#N/A</v>
      </c>
      <c r="F3192" s="20"/>
      <c r="G3192" s="20"/>
      <c r="H3192" s="20"/>
      <c r="I3192" s="20"/>
      <c r="J3192" s="20"/>
      <c r="K3192" s="20"/>
      <c r="L3192" s="20"/>
      <c r="M3192" s="20"/>
      <c r="N3192" s="20"/>
      <c r="O3192" s="20"/>
      <c r="P3192" s="20"/>
      <c r="Q3192" s="20"/>
      <c r="R3192" s="20"/>
      <c r="S3192" s="20"/>
      <c r="T3192" s="20"/>
      <c r="U3192" s="20"/>
      <c r="V3192" s="20"/>
      <c r="W3192" s="20"/>
      <c r="X3192" s="20"/>
      <c r="Y3192" s="20"/>
      <c r="Z3192" s="20"/>
      <c r="AA3192" s="20"/>
      <c r="AB3192" s="20"/>
      <c r="AC3192" s="20"/>
      <c r="AD3192" s="20"/>
      <c r="AE3192" s="20"/>
      <c r="AF3192" s="20"/>
      <c r="AG3192" s="20"/>
      <c r="AH3192" s="20"/>
      <c r="AI3192" s="20"/>
      <c r="AJ3192" s="20"/>
      <c r="AK3192" s="20"/>
      <c r="AL3192" s="20"/>
      <c r="AM3192" s="20"/>
      <c r="AN3192" s="20"/>
    </row>
    <row r="3193" s="18" customFormat="1" ht="14.100000000000001" customHeight="1">
      <c r="A3193" s="20"/>
      <c r="B3193" s="20" t="s">
        <v>6530</v>
      </c>
      <c r="C3193" s="20" t="s">
        <v>6531</v>
      </c>
      <c r="D3193" s="20" t="s">
        <v>6530</v>
      </c>
      <c r="E3193" s="20" t="e">
        <f t="array" ref="E3193">INDEX(C:C,SMALL(IF(ISNUMBER(FIND(CELL("contents"),$C$2:$C$4852)),ROW($C$2:$C$4852),4^8),ROW(C3193)))&amp;""</f>
        <v>#N/A</v>
      </c>
      <c r="F3193" s="20"/>
      <c r="G3193" s="20"/>
      <c r="H3193" s="20"/>
      <c r="I3193" s="20"/>
      <c r="J3193" s="20"/>
      <c r="K3193" s="20"/>
      <c r="L3193" s="20"/>
      <c r="M3193" s="20"/>
      <c r="N3193" s="20"/>
      <c r="O3193" s="20"/>
      <c r="P3193" s="20"/>
      <c r="Q3193" s="20"/>
      <c r="R3193" s="20"/>
      <c r="S3193" s="20"/>
      <c r="T3193" s="20"/>
      <c r="U3193" s="20"/>
      <c r="V3193" s="20"/>
      <c r="W3193" s="20"/>
      <c r="X3193" s="20"/>
      <c r="Y3193" s="20"/>
      <c r="Z3193" s="20"/>
      <c r="AA3193" s="20"/>
      <c r="AB3193" s="20"/>
      <c r="AC3193" s="20"/>
      <c r="AD3193" s="20"/>
      <c r="AE3193" s="20"/>
      <c r="AF3193" s="20"/>
      <c r="AG3193" s="20"/>
      <c r="AH3193" s="20"/>
      <c r="AI3193" s="20"/>
      <c r="AJ3193" s="20"/>
      <c r="AK3193" s="20"/>
      <c r="AL3193" s="20"/>
      <c r="AM3193" s="20"/>
      <c r="AN3193" s="20"/>
    </row>
    <row r="3194" s="18" customFormat="1" ht="14.100000000000001" customHeight="1">
      <c r="A3194" s="20"/>
      <c r="B3194" s="20" t="s">
        <v>6532</v>
      </c>
      <c r="C3194" s="20" t="s">
        <v>6533</v>
      </c>
      <c r="D3194" s="20" t="s">
        <v>6532</v>
      </c>
      <c r="E3194" s="20" t="e">
        <f t="array" ref="E3194">INDEX(C:C,SMALL(IF(ISNUMBER(FIND(CELL("contents"),$C$2:$C$4852)),ROW($C$2:$C$4852),4^8),ROW(C3194)))&amp;""</f>
        <v>#N/A</v>
      </c>
      <c r="F3194" s="20"/>
      <c r="G3194" s="20"/>
      <c r="H3194" s="20"/>
      <c r="I3194" s="20"/>
      <c r="J3194" s="20"/>
      <c r="K3194" s="20"/>
      <c r="L3194" s="20"/>
      <c r="M3194" s="20"/>
      <c r="N3194" s="20"/>
      <c r="O3194" s="20"/>
      <c r="P3194" s="20"/>
      <c r="Q3194" s="20"/>
      <c r="R3194" s="20"/>
      <c r="S3194" s="20"/>
      <c r="T3194" s="20"/>
      <c r="U3194" s="20"/>
      <c r="V3194" s="20"/>
      <c r="W3194" s="20"/>
      <c r="X3194" s="20"/>
      <c r="Y3194" s="20"/>
      <c r="Z3194" s="20"/>
      <c r="AA3194" s="20"/>
      <c r="AB3194" s="20"/>
      <c r="AC3194" s="20"/>
      <c r="AD3194" s="20"/>
      <c r="AE3194" s="20"/>
      <c r="AF3194" s="20"/>
      <c r="AG3194" s="20"/>
      <c r="AH3194" s="20"/>
      <c r="AI3194" s="20"/>
      <c r="AJ3194" s="20"/>
      <c r="AK3194" s="20"/>
      <c r="AL3194" s="20"/>
      <c r="AM3194" s="20"/>
      <c r="AN3194" s="20"/>
    </row>
    <row r="3195" s="18" customFormat="1" ht="14.100000000000001" customHeight="1">
      <c r="A3195" s="20"/>
      <c r="B3195" s="20" t="s">
        <v>6534</v>
      </c>
      <c r="C3195" s="20" t="s">
        <v>6535</v>
      </c>
      <c r="D3195" s="20" t="s">
        <v>6534</v>
      </c>
      <c r="E3195" s="20" t="e">
        <f t="array" ref="E3195">INDEX(C:C,SMALL(IF(ISNUMBER(FIND(CELL("contents"),$C$2:$C$4852)),ROW($C$2:$C$4852),4^8),ROW(C3195)))&amp;""</f>
        <v>#N/A</v>
      </c>
      <c r="F3195" s="20"/>
      <c r="G3195" s="20"/>
      <c r="H3195" s="20"/>
      <c r="I3195" s="20"/>
      <c r="J3195" s="20"/>
      <c r="K3195" s="20"/>
      <c r="L3195" s="20"/>
      <c r="M3195" s="20"/>
      <c r="N3195" s="20"/>
      <c r="O3195" s="20"/>
      <c r="P3195" s="20"/>
      <c r="Q3195" s="20"/>
      <c r="R3195" s="20"/>
      <c r="S3195" s="20"/>
      <c r="T3195" s="20"/>
      <c r="U3195" s="20"/>
      <c r="V3195" s="20"/>
      <c r="W3195" s="20"/>
      <c r="X3195" s="20"/>
      <c r="Y3195" s="20"/>
      <c r="Z3195" s="20"/>
      <c r="AA3195" s="20"/>
      <c r="AB3195" s="20"/>
      <c r="AC3195" s="20"/>
      <c r="AD3195" s="20"/>
      <c r="AE3195" s="20"/>
      <c r="AF3195" s="20"/>
      <c r="AG3195" s="20"/>
      <c r="AH3195" s="20"/>
      <c r="AI3195" s="20"/>
      <c r="AJ3195" s="20"/>
      <c r="AK3195" s="20"/>
      <c r="AL3195" s="20"/>
      <c r="AM3195" s="20"/>
      <c r="AN3195" s="20"/>
    </row>
    <row r="3196" s="18" customFormat="1" ht="14.100000000000001" customHeight="1">
      <c r="A3196" s="20"/>
      <c r="B3196" s="20" t="s">
        <v>6536</v>
      </c>
      <c r="C3196" s="20" t="s">
        <v>6537</v>
      </c>
      <c r="D3196" s="20" t="s">
        <v>6536</v>
      </c>
      <c r="E3196" s="20" t="e">
        <f t="array" ref="E3196">INDEX(C:C,SMALL(IF(ISNUMBER(FIND(CELL("contents"),$C$2:$C$4852)),ROW($C$2:$C$4852),4^8),ROW(C3196)))&amp;""</f>
        <v>#N/A</v>
      </c>
      <c r="F3196" s="20"/>
      <c r="G3196" s="20"/>
      <c r="H3196" s="20"/>
      <c r="I3196" s="20"/>
      <c r="J3196" s="20"/>
      <c r="K3196" s="20"/>
      <c r="L3196" s="20"/>
      <c r="M3196" s="20"/>
      <c r="N3196" s="20"/>
      <c r="O3196" s="20"/>
      <c r="P3196" s="20"/>
      <c r="Q3196" s="20"/>
      <c r="R3196" s="20"/>
      <c r="S3196" s="20"/>
      <c r="T3196" s="20"/>
      <c r="U3196" s="20"/>
      <c r="V3196" s="20"/>
      <c r="W3196" s="20"/>
      <c r="X3196" s="20"/>
      <c r="Y3196" s="20"/>
      <c r="Z3196" s="20"/>
      <c r="AA3196" s="20"/>
      <c r="AB3196" s="20"/>
      <c r="AC3196" s="20"/>
      <c r="AD3196" s="20"/>
      <c r="AE3196" s="20"/>
      <c r="AF3196" s="20"/>
      <c r="AG3196" s="20"/>
      <c r="AH3196" s="20"/>
      <c r="AI3196" s="20"/>
      <c r="AJ3196" s="20"/>
      <c r="AK3196" s="20"/>
      <c r="AL3196" s="20"/>
      <c r="AM3196" s="20"/>
      <c r="AN3196" s="20"/>
    </row>
    <row r="3197" s="18" customFormat="1" ht="14.100000000000001" customHeight="1">
      <c r="A3197" s="20"/>
      <c r="B3197" s="20" t="s">
        <v>6538</v>
      </c>
      <c r="C3197" s="20" t="s">
        <v>6539</v>
      </c>
      <c r="D3197" s="20" t="s">
        <v>6538</v>
      </c>
      <c r="E3197" s="20" t="e">
        <f t="array" ref="E3197">INDEX(C:C,SMALL(IF(ISNUMBER(FIND(CELL("contents"),$C$2:$C$4852)),ROW($C$2:$C$4852),4^8),ROW(C3197)))&amp;""</f>
        <v>#N/A</v>
      </c>
      <c r="F3197" s="20"/>
      <c r="G3197" s="20"/>
      <c r="H3197" s="20"/>
      <c r="I3197" s="20"/>
      <c r="J3197" s="20"/>
      <c r="K3197" s="20"/>
      <c r="L3197" s="20"/>
      <c r="M3197" s="20"/>
      <c r="N3197" s="20"/>
      <c r="O3197" s="20"/>
      <c r="P3197" s="20"/>
      <c r="Q3197" s="20"/>
      <c r="R3197" s="20"/>
      <c r="S3197" s="20"/>
      <c r="T3197" s="20"/>
      <c r="U3197" s="20"/>
      <c r="V3197" s="20"/>
      <c r="W3197" s="20"/>
      <c r="X3197" s="20"/>
      <c r="Y3197" s="20"/>
      <c r="Z3197" s="20"/>
      <c r="AA3197" s="20"/>
      <c r="AB3197" s="20"/>
      <c r="AC3197" s="20"/>
      <c r="AD3197" s="20"/>
      <c r="AE3197" s="20"/>
      <c r="AF3197" s="20"/>
      <c r="AG3197" s="20"/>
      <c r="AH3197" s="20"/>
      <c r="AI3197" s="20"/>
      <c r="AJ3197" s="20"/>
      <c r="AK3197" s="20"/>
      <c r="AL3197" s="20"/>
      <c r="AM3197" s="20"/>
      <c r="AN3197" s="20"/>
    </row>
    <row r="3198" s="18" customFormat="1" ht="14.100000000000001" customHeight="1">
      <c r="A3198" s="20"/>
      <c r="B3198" s="20" t="s">
        <v>6540</v>
      </c>
      <c r="C3198" s="20" t="s">
        <v>6541</v>
      </c>
      <c r="D3198" s="20" t="s">
        <v>6540</v>
      </c>
      <c r="E3198" s="20" t="e">
        <f t="array" ref="E3198">INDEX(C:C,SMALL(IF(ISNUMBER(FIND(CELL("contents"),$C$2:$C$4852)),ROW($C$2:$C$4852),4^8),ROW(C3198)))&amp;""</f>
        <v>#N/A</v>
      </c>
      <c r="F3198" s="20"/>
      <c r="G3198" s="20"/>
      <c r="H3198" s="20"/>
      <c r="I3198" s="20"/>
      <c r="J3198" s="20"/>
      <c r="K3198" s="20"/>
      <c r="L3198" s="20"/>
      <c r="M3198" s="20"/>
      <c r="N3198" s="20"/>
      <c r="O3198" s="20"/>
      <c r="P3198" s="20"/>
      <c r="Q3198" s="20"/>
      <c r="R3198" s="20"/>
      <c r="S3198" s="20"/>
      <c r="T3198" s="20"/>
      <c r="U3198" s="20"/>
      <c r="V3198" s="20"/>
      <c r="W3198" s="20"/>
      <c r="X3198" s="20"/>
      <c r="Y3198" s="20"/>
      <c r="Z3198" s="20"/>
      <c r="AA3198" s="20"/>
      <c r="AB3198" s="20"/>
      <c r="AC3198" s="20"/>
      <c r="AD3198" s="20"/>
      <c r="AE3198" s="20"/>
      <c r="AF3198" s="20"/>
      <c r="AG3198" s="20"/>
      <c r="AH3198" s="20"/>
      <c r="AI3198" s="20"/>
      <c r="AJ3198" s="20"/>
      <c r="AK3198" s="20"/>
      <c r="AL3198" s="20"/>
      <c r="AM3198" s="20"/>
      <c r="AN3198" s="20"/>
    </row>
    <row r="3199" s="18" customFormat="1" ht="14.100000000000001" customHeight="1">
      <c r="A3199" s="20"/>
      <c r="B3199" s="20" t="s">
        <v>6542</v>
      </c>
      <c r="C3199" s="20" t="s">
        <v>6543</v>
      </c>
      <c r="D3199" s="20" t="s">
        <v>6542</v>
      </c>
      <c r="E3199" s="20" t="e">
        <f t="array" ref="E3199">INDEX(C:C,SMALL(IF(ISNUMBER(FIND(CELL("contents"),$C$2:$C$4852)),ROW($C$2:$C$4852),4^8),ROW(C3199)))&amp;""</f>
        <v>#N/A</v>
      </c>
      <c r="F3199" s="20"/>
      <c r="G3199" s="20"/>
      <c r="H3199" s="20"/>
      <c r="I3199" s="20"/>
      <c r="J3199" s="20"/>
      <c r="K3199" s="20"/>
      <c r="L3199" s="20"/>
      <c r="M3199" s="20"/>
      <c r="N3199" s="20"/>
      <c r="O3199" s="20"/>
      <c r="P3199" s="20"/>
      <c r="Q3199" s="20"/>
      <c r="R3199" s="20"/>
      <c r="S3199" s="20"/>
      <c r="T3199" s="20"/>
      <c r="U3199" s="20"/>
      <c r="V3199" s="20"/>
      <c r="W3199" s="20"/>
      <c r="X3199" s="20"/>
      <c r="Y3199" s="20"/>
      <c r="Z3199" s="20"/>
      <c r="AA3199" s="20"/>
      <c r="AB3199" s="20"/>
      <c r="AC3199" s="20"/>
      <c r="AD3199" s="20"/>
      <c r="AE3199" s="20"/>
      <c r="AF3199" s="20"/>
      <c r="AG3199" s="20"/>
      <c r="AH3199" s="20"/>
      <c r="AI3199" s="20"/>
      <c r="AJ3199" s="20"/>
      <c r="AK3199" s="20"/>
      <c r="AL3199" s="20"/>
      <c r="AM3199" s="20"/>
      <c r="AN3199" s="20"/>
    </row>
    <row r="3200" s="18" customFormat="1" ht="14.100000000000001" customHeight="1">
      <c r="A3200" s="20"/>
      <c r="B3200" s="20" t="s">
        <v>6544</v>
      </c>
      <c r="C3200" s="20" t="s">
        <v>6545</v>
      </c>
      <c r="D3200" s="20" t="s">
        <v>6544</v>
      </c>
      <c r="E3200" s="20" t="e">
        <f t="array" ref="E3200">INDEX(C:C,SMALL(IF(ISNUMBER(FIND(CELL("contents"),$C$2:$C$4852)),ROW($C$2:$C$4852),4^8),ROW(C3200)))&amp;""</f>
        <v>#N/A</v>
      </c>
      <c r="F3200" s="20"/>
      <c r="G3200" s="20"/>
      <c r="H3200" s="20"/>
      <c r="I3200" s="20"/>
      <c r="J3200" s="20"/>
      <c r="K3200" s="20"/>
      <c r="L3200" s="20"/>
      <c r="M3200" s="20"/>
      <c r="N3200" s="20"/>
      <c r="O3200" s="20"/>
      <c r="P3200" s="20"/>
      <c r="Q3200" s="20"/>
      <c r="R3200" s="20"/>
      <c r="S3200" s="20"/>
      <c r="T3200" s="20"/>
      <c r="U3200" s="20"/>
      <c r="V3200" s="20"/>
      <c r="W3200" s="20"/>
      <c r="X3200" s="20"/>
      <c r="Y3200" s="20"/>
      <c r="Z3200" s="20"/>
      <c r="AA3200" s="20"/>
      <c r="AB3200" s="20"/>
      <c r="AC3200" s="20"/>
      <c r="AD3200" s="20"/>
      <c r="AE3200" s="20"/>
      <c r="AF3200" s="20"/>
      <c r="AG3200" s="20"/>
      <c r="AH3200" s="20"/>
      <c r="AI3200" s="20"/>
      <c r="AJ3200" s="20"/>
      <c r="AK3200" s="20"/>
      <c r="AL3200" s="20"/>
      <c r="AM3200" s="20"/>
      <c r="AN3200" s="20"/>
    </row>
    <row r="3201" s="18" customFormat="1" ht="14.100000000000001" customHeight="1">
      <c r="A3201" s="20"/>
      <c r="B3201" s="20" t="s">
        <v>6546</v>
      </c>
      <c r="C3201" s="20" t="s">
        <v>6547</v>
      </c>
      <c r="D3201" s="20" t="s">
        <v>6546</v>
      </c>
      <c r="E3201" s="20" t="e">
        <f t="array" ref="E3201">INDEX(C:C,SMALL(IF(ISNUMBER(FIND(CELL("contents"),$C$2:$C$4852)),ROW($C$2:$C$4852),4^8),ROW(C3201)))&amp;""</f>
        <v>#N/A</v>
      </c>
      <c r="F3201" s="20"/>
      <c r="G3201" s="20"/>
      <c r="H3201" s="20"/>
      <c r="I3201" s="20"/>
      <c r="J3201" s="20"/>
      <c r="K3201" s="20"/>
      <c r="L3201" s="20"/>
      <c r="M3201" s="20"/>
      <c r="N3201" s="20"/>
      <c r="O3201" s="20"/>
      <c r="P3201" s="20"/>
      <c r="Q3201" s="20"/>
      <c r="R3201" s="20"/>
      <c r="S3201" s="20"/>
      <c r="T3201" s="20"/>
      <c r="U3201" s="20"/>
      <c r="V3201" s="20"/>
      <c r="W3201" s="20"/>
      <c r="X3201" s="20"/>
      <c r="Y3201" s="20"/>
      <c r="Z3201" s="20"/>
      <c r="AA3201" s="20"/>
      <c r="AB3201" s="20"/>
      <c r="AC3201" s="20"/>
      <c r="AD3201" s="20"/>
      <c r="AE3201" s="20"/>
      <c r="AF3201" s="20"/>
      <c r="AG3201" s="20"/>
      <c r="AH3201" s="20"/>
      <c r="AI3201" s="20"/>
      <c r="AJ3201" s="20"/>
      <c r="AK3201" s="20"/>
      <c r="AL3201" s="20"/>
      <c r="AM3201" s="20"/>
      <c r="AN3201" s="20"/>
    </row>
    <row r="3202" s="18" customFormat="1" ht="14.100000000000001" customHeight="1">
      <c r="A3202" s="20"/>
      <c r="B3202" s="20" t="s">
        <v>6548</v>
      </c>
      <c r="C3202" s="20" t="s">
        <v>6549</v>
      </c>
      <c r="D3202" s="20" t="s">
        <v>6548</v>
      </c>
      <c r="E3202" s="20" t="e">
        <f t="array" ref="E3202">INDEX(C:C,SMALL(IF(ISNUMBER(FIND(CELL("contents"),$C$2:$C$4852)),ROW($C$2:$C$4852),4^8),ROW(C3202)))&amp;""</f>
        <v>#N/A</v>
      </c>
      <c r="F3202" s="20"/>
      <c r="G3202" s="20"/>
      <c r="H3202" s="20"/>
      <c r="I3202" s="20"/>
      <c r="J3202" s="20"/>
      <c r="K3202" s="20"/>
      <c r="L3202" s="20"/>
      <c r="M3202" s="20"/>
      <c r="N3202" s="20"/>
      <c r="O3202" s="20"/>
      <c r="P3202" s="20"/>
      <c r="Q3202" s="20"/>
      <c r="R3202" s="20"/>
      <c r="S3202" s="20"/>
      <c r="T3202" s="20"/>
      <c r="U3202" s="20"/>
      <c r="V3202" s="20"/>
      <c r="W3202" s="20"/>
      <c r="X3202" s="20"/>
      <c r="Y3202" s="20"/>
      <c r="Z3202" s="20"/>
      <c r="AA3202" s="20"/>
      <c r="AB3202" s="20"/>
      <c r="AC3202" s="20"/>
      <c r="AD3202" s="20"/>
      <c r="AE3202" s="20"/>
      <c r="AF3202" s="20"/>
      <c r="AG3202" s="20"/>
      <c r="AH3202" s="20"/>
      <c r="AI3202" s="20"/>
      <c r="AJ3202" s="20"/>
      <c r="AK3202" s="20"/>
      <c r="AL3202" s="20"/>
      <c r="AM3202" s="20"/>
      <c r="AN3202" s="20"/>
    </row>
    <row r="3203" s="18" customFormat="1" ht="14.100000000000001" customHeight="1">
      <c r="A3203" s="20"/>
      <c r="B3203" s="20" t="s">
        <v>6550</v>
      </c>
      <c r="C3203" s="20" t="s">
        <v>6551</v>
      </c>
      <c r="D3203" s="20" t="s">
        <v>6550</v>
      </c>
      <c r="E3203" s="20" t="e">
        <f t="array" ref="E3203">INDEX(C:C,SMALL(IF(ISNUMBER(FIND(CELL("contents"),$C$2:$C$4852)),ROW($C$2:$C$4852),4^8),ROW(C3203)))&amp;""</f>
        <v>#N/A</v>
      </c>
      <c r="F3203" s="20"/>
      <c r="G3203" s="20"/>
      <c r="H3203" s="20"/>
      <c r="I3203" s="20"/>
      <c r="J3203" s="20"/>
      <c r="K3203" s="20"/>
      <c r="L3203" s="20"/>
      <c r="M3203" s="20"/>
      <c r="N3203" s="20"/>
      <c r="O3203" s="20"/>
      <c r="P3203" s="20"/>
      <c r="Q3203" s="20"/>
      <c r="R3203" s="20"/>
      <c r="S3203" s="20"/>
      <c r="T3203" s="20"/>
      <c r="U3203" s="20"/>
      <c r="V3203" s="20"/>
      <c r="W3203" s="20"/>
      <c r="X3203" s="20"/>
      <c r="Y3203" s="20"/>
      <c r="Z3203" s="20"/>
      <c r="AA3203" s="20"/>
      <c r="AB3203" s="20"/>
      <c r="AC3203" s="20"/>
      <c r="AD3203" s="20"/>
      <c r="AE3203" s="20"/>
      <c r="AF3203" s="20"/>
      <c r="AG3203" s="20"/>
      <c r="AH3203" s="20"/>
      <c r="AI3203" s="20"/>
      <c r="AJ3203" s="20"/>
      <c r="AK3203" s="20"/>
      <c r="AL3203" s="20"/>
      <c r="AM3203" s="20"/>
      <c r="AN3203" s="20"/>
    </row>
    <row r="3204" s="18" customFormat="1" ht="14.100000000000001" customHeight="1">
      <c r="A3204" s="20"/>
      <c r="B3204" s="20" t="s">
        <v>6552</v>
      </c>
      <c r="C3204" s="20" t="s">
        <v>6553</v>
      </c>
      <c r="D3204" s="20" t="s">
        <v>6552</v>
      </c>
      <c r="E3204" s="20" t="e">
        <f t="array" ref="E3204">INDEX(C:C,SMALL(IF(ISNUMBER(FIND(CELL("contents"),$C$2:$C$4852)),ROW($C$2:$C$4852),4^8),ROW(C3204)))&amp;""</f>
        <v>#N/A</v>
      </c>
      <c r="F3204" s="20"/>
      <c r="G3204" s="20"/>
      <c r="H3204" s="20"/>
      <c r="I3204" s="20"/>
      <c r="J3204" s="20"/>
      <c r="K3204" s="20"/>
      <c r="L3204" s="20"/>
      <c r="M3204" s="20"/>
      <c r="N3204" s="20"/>
      <c r="O3204" s="20"/>
      <c r="P3204" s="20"/>
      <c r="Q3204" s="20"/>
      <c r="R3204" s="20"/>
      <c r="S3204" s="20"/>
      <c r="T3204" s="20"/>
      <c r="U3204" s="20"/>
      <c r="V3204" s="20"/>
      <c r="W3204" s="20"/>
      <c r="X3204" s="20"/>
      <c r="Y3204" s="20"/>
      <c r="Z3204" s="20"/>
      <c r="AA3204" s="20"/>
      <c r="AB3204" s="20"/>
      <c r="AC3204" s="20"/>
      <c r="AD3204" s="20"/>
      <c r="AE3204" s="20"/>
      <c r="AF3204" s="20"/>
      <c r="AG3204" s="20"/>
      <c r="AH3204" s="20"/>
      <c r="AI3204" s="20"/>
      <c r="AJ3204" s="20"/>
      <c r="AK3204" s="20"/>
      <c r="AL3204" s="20"/>
      <c r="AM3204" s="20"/>
      <c r="AN3204" s="20"/>
    </row>
    <row r="3205" s="18" customFormat="1" ht="14.100000000000001" customHeight="1">
      <c r="A3205" s="20"/>
      <c r="B3205" s="20" t="s">
        <v>6554</v>
      </c>
      <c r="C3205" s="20" t="s">
        <v>6555</v>
      </c>
      <c r="D3205" s="20" t="s">
        <v>6554</v>
      </c>
      <c r="E3205" s="20" t="e">
        <f t="array" ref="E3205">INDEX(C:C,SMALL(IF(ISNUMBER(FIND(CELL("contents"),$C$2:$C$4852)),ROW($C$2:$C$4852),4^8),ROW(C3205)))&amp;""</f>
        <v>#N/A</v>
      </c>
      <c r="F3205" s="20"/>
      <c r="G3205" s="20"/>
      <c r="H3205" s="20"/>
      <c r="I3205" s="20"/>
      <c r="J3205" s="20"/>
      <c r="K3205" s="20"/>
      <c r="L3205" s="20"/>
      <c r="M3205" s="20"/>
      <c r="N3205" s="20"/>
      <c r="O3205" s="20"/>
      <c r="P3205" s="20"/>
      <c r="Q3205" s="20"/>
      <c r="R3205" s="20"/>
      <c r="S3205" s="20"/>
      <c r="T3205" s="20"/>
      <c r="U3205" s="20"/>
      <c r="V3205" s="20"/>
      <c r="W3205" s="20"/>
      <c r="X3205" s="20"/>
      <c r="Y3205" s="20"/>
      <c r="Z3205" s="20"/>
      <c r="AA3205" s="20"/>
      <c r="AB3205" s="20"/>
      <c r="AC3205" s="20"/>
      <c r="AD3205" s="20"/>
      <c r="AE3205" s="20"/>
      <c r="AF3205" s="20"/>
      <c r="AG3205" s="20"/>
      <c r="AH3205" s="20"/>
      <c r="AI3205" s="20"/>
      <c r="AJ3205" s="20"/>
      <c r="AK3205" s="20"/>
      <c r="AL3205" s="20"/>
      <c r="AM3205" s="20"/>
      <c r="AN3205" s="20"/>
    </row>
    <row r="3206" s="18" customFormat="1" ht="14.100000000000001" customHeight="1">
      <c r="A3206" s="20"/>
      <c r="B3206" s="20" t="s">
        <v>6556</v>
      </c>
      <c r="C3206" s="20" t="s">
        <v>6557</v>
      </c>
      <c r="D3206" s="20" t="s">
        <v>6556</v>
      </c>
      <c r="E3206" s="20" t="e">
        <f t="array" ref="E3206">INDEX(C:C,SMALL(IF(ISNUMBER(FIND(CELL("contents"),$C$2:$C$4852)),ROW($C$2:$C$4852),4^8),ROW(C3206)))&amp;""</f>
        <v>#N/A</v>
      </c>
      <c r="F3206" s="20"/>
      <c r="G3206" s="20"/>
      <c r="H3206" s="20"/>
      <c r="I3206" s="20"/>
      <c r="J3206" s="20"/>
      <c r="K3206" s="20"/>
      <c r="L3206" s="20"/>
      <c r="M3206" s="20"/>
      <c r="N3206" s="20"/>
      <c r="O3206" s="20"/>
      <c r="P3206" s="20"/>
      <c r="Q3206" s="20"/>
      <c r="R3206" s="20"/>
      <c r="S3206" s="20"/>
      <c r="T3206" s="20"/>
      <c r="U3206" s="20"/>
      <c r="V3206" s="20"/>
      <c r="W3206" s="20"/>
      <c r="X3206" s="20"/>
      <c r="Y3206" s="20"/>
      <c r="Z3206" s="20"/>
      <c r="AA3206" s="20"/>
      <c r="AB3206" s="20"/>
      <c r="AC3206" s="20"/>
      <c r="AD3206" s="20"/>
      <c r="AE3206" s="20"/>
      <c r="AF3206" s="20"/>
      <c r="AG3206" s="20"/>
      <c r="AH3206" s="20"/>
      <c r="AI3206" s="20"/>
      <c r="AJ3206" s="20"/>
      <c r="AK3206" s="20"/>
      <c r="AL3206" s="20"/>
      <c r="AM3206" s="20"/>
      <c r="AN3206" s="20"/>
    </row>
    <row r="3207" s="18" customFormat="1" ht="14.100000000000001" customHeight="1">
      <c r="A3207" s="20"/>
      <c r="B3207" s="20" t="s">
        <v>6558</v>
      </c>
      <c r="C3207" s="20" t="s">
        <v>6559</v>
      </c>
      <c r="D3207" s="20" t="s">
        <v>6558</v>
      </c>
      <c r="E3207" s="20" t="e">
        <f t="array" ref="E3207">INDEX(C:C,SMALL(IF(ISNUMBER(FIND(CELL("contents"),$C$2:$C$4852)),ROW($C$2:$C$4852),4^8),ROW(C3207)))&amp;""</f>
        <v>#N/A</v>
      </c>
      <c r="F3207" s="20"/>
      <c r="G3207" s="20"/>
      <c r="H3207" s="20"/>
      <c r="I3207" s="20"/>
      <c r="J3207" s="20"/>
      <c r="K3207" s="20"/>
      <c r="L3207" s="20"/>
      <c r="M3207" s="20"/>
      <c r="N3207" s="20"/>
      <c r="O3207" s="20"/>
      <c r="P3207" s="20"/>
      <c r="Q3207" s="20"/>
      <c r="R3207" s="20"/>
      <c r="S3207" s="20"/>
      <c r="T3207" s="20"/>
      <c r="U3207" s="20"/>
      <c r="V3207" s="20"/>
      <c r="W3207" s="20"/>
      <c r="X3207" s="20"/>
      <c r="Y3207" s="20"/>
      <c r="Z3207" s="20"/>
      <c r="AA3207" s="20"/>
      <c r="AB3207" s="20"/>
      <c r="AC3207" s="20"/>
      <c r="AD3207" s="20"/>
      <c r="AE3207" s="20"/>
      <c r="AF3207" s="20"/>
      <c r="AG3207" s="20"/>
      <c r="AH3207" s="20"/>
      <c r="AI3207" s="20"/>
      <c r="AJ3207" s="20"/>
      <c r="AK3207" s="20"/>
      <c r="AL3207" s="20"/>
      <c r="AM3207" s="20"/>
      <c r="AN3207" s="20"/>
    </row>
    <row r="3208" s="18" customFormat="1" ht="14.100000000000001" customHeight="1">
      <c r="A3208" s="20"/>
      <c r="B3208" s="20" t="s">
        <v>6560</v>
      </c>
      <c r="C3208" s="20" t="s">
        <v>6561</v>
      </c>
      <c r="D3208" s="20" t="s">
        <v>6560</v>
      </c>
      <c r="E3208" s="20" t="e">
        <f t="array" ref="E3208">INDEX(C:C,SMALL(IF(ISNUMBER(FIND(CELL("contents"),$C$2:$C$4852)),ROW($C$2:$C$4852),4^8),ROW(C3208)))&amp;""</f>
        <v>#N/A</v>
      </c>
      <c r="F3208" s="20"/>
      <c r="G3208" s="20"/>
      <c r="H3208" s="20"/>
      <c r="I3208" s="20"/>
      <c r="J3208" s="20"/>
      <c r="K3208" s="20"/>
      <c r="L3208" s="20"/>
      <c r="M3208" s="20"/>
      <c r="N3208" s="20"/>
      <c r="O3208" s="20"/>
      <c r="P3208" s="20"/>
      <c r="Q3208" s="20"/>
      <c r="R3208" s="20"/>
      <c r="S3208" s="20"/>
      <c r="T3208" s="20"/>
      <c r="U3208" s="20"/>
      <c r="V3208" s="20"/>
      <c r="W3208" s="20"/>
      <c r="X3208" s="20"/>
      <c r="Y3208" s="20"/>
      <c r="Z3208" s="20"/>
      <c r="AA3208" s="20"/>
      <c r="AB3208" s="20"/>
      <c r="AC3208" s="20"/>
      <c r="AD3208" s="20"/>
      <c r="AE3208" s="20"/>
      <c r="AF3208" s="20"/>
      <c r="AG3208" s="20"/>
      <c r="AH3208" s="20"/>
      <c r="AI3208" s="20"/>
      <c r="AJ3208" s="20"/>
      <c r="AK3208" s="20"/>
      <c r="AL3208" s="20"/>
      <c r="AM3208" s="20"/>
      <c r="AN3208" s="20"/>
    </row>
    <row r="3209" s="18" customFormat="1" ht="14.100000000000001" customHeight="1">
      <c r="A3209" s="20"/>
      <c r="B3209" s="20" t="s">
        <v>6562</v>
      </c>
      <c r="C3209" s="20" t="s">
        <v>6563</v>
      </c>
      <c r="D3209" s="20" t="s">
        <v>6562</v>
      </c>
      <c r="E3209" s="20" t="e">
        <f t="array" ref="E3209">INDEX(C:C,SMALL(IF(ISNUMBER(FIND(CELL("contents"),$C$2:$C$4852)),ROW($C$2:$C$4852),4^8),ROW(C3209)))&amp;""</f>
        <v>#N/A</v>
      </c>
      <c r="F3209" s="20"/>
      <c r="G3209" s="20"/>
      <c r="H3209" s="20"/>
      <c r="I3209" s="20"/>
      <c r="J3209" s="20"/>
      <c r="K3209" s="20"/>
      <c r="L3209" s="20"/>
      <c r="M3209" s="20"/>
      <c r="N3209" s="20"/>
      <c r="O3209" s="20"/>
      <c r="P3209" s="20"/>
      <c r="Q3209" s="20"/>
      <c r="R3209" s="20"/>
      <c r="S3209" s="20"/>
      <c r="T3209" s="20"/>
      <c r="U3209" s="20"/>
      <c r="V3209" s="20"/>
      <c r="W3209" s="20"/>
      <c r="X3209" s="20"/>
      <c r="Y3209" s="20"/>
      <c r="Z3209" s="20"/>
      <c r="AA3209" s="20"/>
      <c r="AB3209" s="20"/>
      <c r="AC3209" s="20"/>
      <c r="AD3209" s="20"/>
      <c r="AE3209" s="20"/>
      <c r="AF3209" s="20"/>
      <c r="AG3209" s="20"/>
      <c r="AH3209" s="20"/>
      <c r="AI3209" s="20"/>
      <c r="AJ3209" s="20"/>
      <c r="AK3209" s="20"/>
      <c r="AL3209" s="20"/>
      <c r="AM3209" s="20"/>
      <c r="AN3209" s="20"/>
    </row>
    <row r="3210" s="18" customFormat="1" ht="14.100000000000001" customHeight="1">
      <c r="A3210" s="20"/>
      <c r="B3210" s="20" t="s">
        <v>6564</v>
      </c>
      <c r="C3210" s="20" t="s">
        <v>6565</v>
      </c>
      <c r="D3210" s="20" t="s">
        <v>6564</v>
      </c>
      <c r="E3210" s="20" t="e">
        <f t="array" ref="E3210">INDEX(C:C,SMALL(IF(ISNUMBER(FIND(CELL("contents"),$C$2:$C$4852)),ROW($C$2:$C$4852),4^8),ROW(C3210)))&amp;""</f>
        <v>#N/A</v>
      </c>
      <c r="F3210" s="20"/>
      <c r="G3210" s="20"/>
      <c r="H3210" s="20"/>
      <c r="I3210" s="20"/>
      <c r="J3210" s="20"/>
      <c r="K3210" s="20"/>
      <c r="L3210" s="20"/>
      <c r="M3210" s="20"/>
      <c r="N3210" s="20"/>
      <c r="O3210" s="20"/>
      <c r="P3210" s="20"/>
      <c r="Q3210" s="20"/>
      <c r="R3210" s="20"/>
      <c r="S3210" s="20"/>
      <c r="T3210" s="20"/>
      <c r="U3210" s="20"/>
      <c r="V3210" s="20"/>
      <c r="W3210" s="20"/>
      <c r="X3210" s="20"/>
      <c r="Y3210" s="20"/>
      <c r="Z3210" s="20"/>
      <c r="AA3210" s="20"/>
      <c r="AB3210" s="20"/>
      <c r="AC3210" s="20"/>
      <c r="AD3210" s="20"/>
      <c r="AE3210" s="20"/>
      <c r="AF3210" s="20"/>
      <c r="AG3210" s="20"/>
      <c r="AH3210" s="20"/>
      <c r="AI3210" s="20"/>
      <c r="AJ3210" s="20"/>
      <c r="AK3210" s="20"/>
      <c r="AL3210" s="20"/>
      <c r="AM3210" s="20"/>
      <c r="AN3210" s="20"/>
    </row>
    <row r="3211" s="18" customFormat="1" ht="14.100000000000001" customHeight="1">
      <c r="A3211" s="20"/>
      <c r="B3211" s="20" t="s">
        <v>6566</v>
      </c>
      <c r="C3211" s="20" t="s">
        <v>6567</v>
      </c>
      <c r="D3211" s="20" t="s">
        <v>6566</v>
      </c>
      <c r="E3211" s="20" t="e">
        <f t="array" ref="E3211">INDEX(C:C,SMALL(IF(ISNUMBER(FIND(CELL("contents"),$C$2:$C$4852)),ROW($C$2:$C$4852),4^8),ROW(C3211)))&amp;""</f>
        <v>#N/A</v>
      </c>
      <c r="F3211" s="20"/>
      <c r="G3211" s="20"/>
      <c r="H3211" s="20"/>
      <c r="I3211" s="20"/>
      <c r="J3211" s="20"/>
      <c r="K3211" s="20"/>
      <c r="L3211" s="20"/>
      <c r="M3211" s="20"/>
      <c r="N3211" s="20"/>
      <c r="O3211" s="20"/>
      <c r="P3211" s="20"/>
      <c r="Q3211" s="20"/>
      <c r="R3211" s="20"/>
      <c r="S3211" s="20"/>
      <c r="T3211" s="20"/>
      <c r="U3211" s="20"/>
      <c r="V3211" s="20"/>
      <c r="W3211" s="20"/>
      <c r="X3211" s="20"/>
      <c r="Y3211" s="20"/>
      <c r="Z3211" s="20"/>
      <c r="AA3211" s="20"/>
      <c r="AB3211" s="20"/>
      <c r="AC3211" s="20"/>
      <c r="AD3211" s="20"/>
      <c r="AE3211" s="20"/>
      <c r="AF3211" s="20"/>
      <c r="AG3211" s="20"/>
      <c r="AH3211" s="20"/>
      <c r="AI3211" s="20"/>
      <c r="AJ3211" s="20"/>
      <c r="AK3211" s="20"/>
      <c r="AL3211" s="20"/>
      <c r="AM3211" s="20"/>
      <c r="AN3211" s="20"/>
    </row>
    <row r="3212" s="18" customFormat="1" ht="14.100000000000001" customHeight="1">
      <c r="A3212" s="20"/>
      <c r="B3212" s="20" t="s">
        <v>6568</v>
      </c>
      <c r="C3212" s="20" t="s">
        <v>6569</v>
      </c>
      <c r="D3212" s="20" t="s">
        <v>6568</v>
      </c>
      <c r="E3212" s="20" t="e">
        <f t="array" ref="E3212">INDEX(C:C,SMALL(IF(ISNUMBER(FIND(CELL("contents"),$C$2:$C$4852)),ROW($C$2:$C$4852),4^8),ROW(C3212)))&amp;""</f>
        <v>#N/A</v>
      </c>
      <c r="F3212" s="20"/>
      <c r="G3212" s="20"/>
      <c r="H3212" s="20"/>
      <c r="I3212" s="20"/>
      <c r="J3212" s="20"/>
      <c r="K3212" s="20"/>
      <c r="L3212" s="20"/>
      <c r="M3212" s="20"/>
      <c r="N3212" s="20"/>
      <c r="O3212" s="20"/>
      <c r="P3212" s="20"/>
      <c r="Q3212" s="20"/>
      <c r="R3212" s="20"/>
      <c r="S3212" s="20"/>
      <c r="T3212" s="20"/>
      <c r="U3212" s="20"/>
      <c r="V3212" s="20"/>
      <c r="W3212" s="20"/>
      <c r="X3212" s="20"/>
      <c r="Y3212" s="20"/>
      <c r="Z3212" s="20"/>
      <c r="AA3212" s="20"/>
      <c r="AB3212" s="20"/>
      <c r="AC3212" s="20"/>
      <c r="AD3212" s="20"/>
      <c r="AE3212" s="20"/>
      <c r="AF3212" s="20"/>
      <c r="AG3212" s="20"/>
      <c r="AH3212" s="20"/>
      <c r="AI3212" s="20"/>
      <c r="AJ3212" s="20"/>
      <c r="AK3212" s="20"/>
      <c r="AL3212" s="20"/>
      <c r="AM3212" s="20"/>
      <c r="AN3212" s="20"/>
    </row>
    <row r="3213" s="18" customFormat="1" ht="14.100000000000001" customHeight="1">
      <c r="A3213" s="20"/>
      <c r="B3213" s="20" t="s">
        <v>6570</v>
      </c>
      <c r="C3213" s="20" t="s">
        <v>6571</v>
      </c>
      <c r="D3213" s="20" t="s">
        <v>6570</v>
      </c>
      <c r="E3213" s="20" t="e">
        <f t="array" ref="E3213">INDEX(C:C,SMALL(IF(ISNUMBER(FIND(CELL("contents"),$C$2:$C$4852)),ROW($C$2:$C$4852),4^8),ROW(C3213)))&amp;""</f>
        <v>#N/A</v>
      </c>
      <c r="F3213" s="20"/>
      <c r="G3213" s="20"/>
      <c r="H3213" s="20"/>
      <c r="I3213" s="20"/>
      <c r="J3213" s="20"/>
      <c r="K3213" s="20"/>
      <c r="L3213" s="20"/>
      <c r="M3213" s="20"/>
      <c r="N3213" s="20"/>
      <c r="O3213" s="20"/>
      <c r="P3213" s="20"/>
      <c r="Q3213" s="20"/>
      <c r="R3213" s="20"/>
      <c r="S3213" s="20"/>
      <c r="T3213" s="20"/>
      <c r="U3213" s="20"/>
      <c r="V3213" s="20"/>
      <c r="W3213" s="20"/>
      <c r="X3213" s="20"/>
      <c r="Y3213" s="20"/>
      <c r="Z3213" s="20"/>
      <c r="AA3213" s="20"/>
      <c r="AB3213" s="20"/>
      <c r="AC3213" s="20"/>
      <c r="AD3213" s="20"/>
      <c r="AE3213" s="20"/>
      <c r="AF3213" s="20"/>
      <c r="AG3213" s="20"/>
      <c r="AH3213" s="20"/>
      <c r="AI3213" s="20"/>
      <c r="AJ3213" s="20"/>
      <c r="AK3213" s="20"/>
      <c r="AL3213" s="20"/>
      <c r="AM3213" s="20"/>
      <c r="AN3213" s="20"/>
    </row>
    <row r="3214" s="18" customFormat="1" ht="14.100000000000001" customHeight="1">
      <c r="A3214" s="20"/>
      <c r="B3214" s="20" t="s">
        <v>6572</v>
      </c>
      <c r="C3214" s="20" t="s">
        <v>6573</v>
      </c>
      <c r="D3214" s="20" t="s">
        <v>6572</v>
      </c>
      <c r="E3214" s="20" t="e">
        <f t="array" ref="E3214">INDEX(C:C,SMALL(IF(ISNUMBER(FIND(CELL("contents"),$C$2:$C$4852)),ROW($C$2:$C$4852),4^8),ROW(C3214)))&amp;""</f>
        <v>#N/A</v>
      </c>
      <c r="F3214" s="20"/>
      <c r="G3214" s="20"/>
      <c r="H3214" s="20"/>
      <c r="I3214" s="20"/>
      <c r="J3214" s="20"/>
      <c r="K3214" s="20"/>
      <c r="L3214" s="20"/>
      <c r="M3214" s="20"/>
      <c r="N3214" s="20"/>
      <c r="O3214" s="20"/>
      <c r="P3214" s="20"/>
      <c r="Q3214" s="20"/>
      <c r="R3214" s="20"/>
      <c r="S3214" s="20"/>
      <c r="T3214" s="20"/>
      <c r="U3214" s="20"/>
      <c r="V3214" s="20"/>
      <c r="W3214" s="20"/>
      <c r="X3214" s="20"/>
      <c r="Y3214" s="20"/>
      <c r="Z3214" s="20"/>
      <c r="AA3214" s="20"/>
      <c r="AB3214" s="20"/>
      <c r="AC3214" s="20"/>
      <c r="AD3214" s="20"/>
      <c r="AE3214" s="20"/>
      <c r="AF3214" s="20"/>
      <c r="AG3214" s="20"/>
      <c r="AH3214" s="20"/>
      <c r="AI3214" s="20"/>
      <c r="AJ3214" s="20"/>
      <c r="AK3214" s="20"/>
      <c r="AL3214" s="20"/>
      <c r="AM3214" s="20"/>
      <c r="AN3214" s="20"/>
    </row>
    <row r="3215" s="18" customFormat="1" ht="14.100000000000001" customHeight="1">
      <c r="A3215" s="20"/>
      <c r="B3215" s="20" t="s">
        <v>6574</v>
      </c>
      <c r="C3215" s="20" t="s">
        <v>6575</v>
      </c>
      <c r="D3215" s="20" t="s">
        <v>6574</v>
      </c>
      <c r="E3215" s="20" t="e">
        <f t="array" ref="E3215">INDEX(C:C,SMALL(IF(ISNUMBER(FIND(CELL("contents"),$C$2:$C$4852)),ROW($C$2:$C$4852),4^8),ROW(C3215)))&amp;""</f>
        <v>#N/A</v>
      </c>
      <c r="F3215" s="20"/>
      <c r="G3215" s="20"/>
      <c r="H3215" s="20"/>
      <c r="I3215" s="20"/>
      <c r="J3215" s="20"/>
      <c r="K3215" s="20"/>
      <c r="L3215" s="20"/>
      <c r="M3215" s="20"/>
      <c r="N3215" s="20"/>
      <c r="O3215" s="20"/>
      <c r="P3215" s="20"/>
      <c r="Q3215" s="20"/>
      <c r="R3215" s="20"/>
      <c r="S3215" s="20"/>
      <c r="T3215" s="20"/>
      <c r="U3215" s="20"/>
      <c r="V3215" s="20"/>
      <c r="W3215" s="20"/>
      <c r="X3215" s="20"/>
      <c r="Y3215" s="20"/>
      <c r="Z3215" s="20"/>
      <c r="AA3215" s="20"/>
      <c r="AB3215" s="20"/>
      <c r="AC3215" s="20"/>
      <c r="AD3215" s="20"/>
      <c r="AE3215" s="20"/>
      <c r="AF3215" s="20"/>
      <c r="AG3215" s="20"/>
      <c r="AH3215" s="20"/>
      <c r="AI3215" s="20"/>
      <c r="AJ3215" s="20"/>
      <c r="AK3215" s="20"/>
      <c r="AL3215" s="20"/>
      <c r="AM3215" s="20"/>
      <c r="AN3215" s="20"/>
    </row>
    <row r="3216" s="18" customFormat="1" ht="14.100000000000001" customHeight="1">
      <c r="A3216" s="20"/>
      <c r="B3216" s="20" t="s">
        <v>6576</v>
      </c>
      <c r="C3216" s="20" t="s">
        <v>6577</v>
      </c>
      <c r="D3216" s="20" t="s">
        <v>6576</v>
      </c>
      <c r="E3216" s="20" t="e">
        <f t="array" ref="E3216">INDEX(C:C,SMALL(IF(ISNUMBER(FIND(CELL("contents"),$C$2:$C$4852)),ROW($C$2:$C$4852),4^8),ROW(C3216)))&amp;""</f>
        <v>#N/A</v>
      </c>
      <c r="F3216" s="20"/>
      <c r="G3216" s="20"/>
      <c r="H3216" s="20"/>
      <c r="I3216" s="20"/>
      <c r="J3216" s="20"/>
      <c r="K3216" s="20"/>
      <c r="L3216" s="20"/>
      <c r="M3216" s="20"/>
      <c r="N3216" s="20"/>
      <c r="O3216" s="20"/>
      <c r="P3216" s="20"/>
      <c r="Q3216" s="20"/>
      <c r="R3216" s="20"/>
      <c r="S3216" s="20"/>
      <c r="T3216" s="20"/>
      <c r="U3216" s="20"/>
      <c r="V3216" s="20"/>
      <c r="W3216" s="20"/>
      <c r="X3216" s="20"/>
      <c r="Y3216" s="20"/>
      <c r="Z3216" s="20"/>
      <c r="AA3216" s="20"/>
      <c r="AB3216" s="20"/>
      <c r="AC3216" s="20"/>
      <c r="AD3216" s="20"/>
      <c r="AE3216" s="20"/>
      <c r="AF3216" s="20"/>
      <c r="AG3216" s="20"/>
      <c r="AH3216" s="20"/>
      <c r="AI3216" s="20"/>
      <c r="AJ3216" s="20"/>
      <c r="AK3216" s="20"/>
      <c r="AL3216" s="20"/>
      <c r="AM3216" s="20"/>
      <c r="AN3216" s="20"/>
    </row>
    <row r="3217" s="18" customFormat="1" ht="14.100000000000001" customHeight="1">
      <c r="A3217" s="20"/>
      <c r="B3217" s="20" t="s">
        <v>6578</v>
      </c>
      <c r="C3217" s="20" t="s">
        <v>6579</v>
      </c>
      <c r="D3217" s="20" t="s">
        <v>6578</v>
      </c>
      <c r="E3217" s="20" t="e">
        <f t="array" ref="E3217">INDEX(C:C,SMALL(IF(ISNUMBER(FIND(CELL("contents"),$C$2:$C$4852)),ROW($C$2:$C$4852),4^8),ROW(C3217)))&amp;""</f>
        <v>#N/A</v>
      </c>
      <c r="F3217" s="20"/>
      <c r="G3217" s="20"/>
      <c r="H3217" s="20"/>
      <c r="I3217" s="20"/>
      <c r="J3217" s="20"/>
      <c r="K3217" s="20"/>
      <c r="L3217" s="20"/>
      <c r="M3217" s="20"/>
      <c r="N3217" s="20"/>
      <c r="O3217" s="20"/>
      <c r="P3217" s="20"/>
      <c r="Q3217" s="20"/>
      <c r="R3217" s="20"/>
      <c r="S3217" s="20"/>
      <c r="T3217" s="20"/>
      <c r="U3217" s="20"/>
      <c r="V3217" s="20"/>
      <c r="W3217" s="20"/>
      <c r="X3217" s="20"/>
      <c r="Y3217" s="20"/>
      <c r="Z3217" s="20"/>
      <c r="AA3217" s="20"/>
      <c r="AB3217" s="20"/>
      <c r="AC3217" s="20"/>
      <c r="AD3217" s="20"/>
      <c r="AE3217" s="20"/>
      <c r="AF3217" s="20"/>
      <c r="AG3217" s="20"/>
      <c r="AH3217" s="20"/>
      <c r="AI3217" s="20"/>
      <c r="AJ3217" s="20"/>
      <c r="AK3217" s="20"/>
      <c r="AL3217" s="20"/>
      <c r="AM3217" s="20"/>
      <c r="AN3217" s="20"/>
    </row>
    <row r="3218" s="18" customFormat="1" ht="14.100000000000001" customHeight="1">
      <c r="A3218" s="20"/>
      <c r="B3218" s="20" t="s">
        <v>6580</v>
      </c>
      <c r="C3218" s="20" t="s">
        <v>6581</v>
      </c>
      <c r="D3218" s="20" t="s">
        <v>6580</v>
      </c>
      <c r="E3218" s="20" t="e">
        <f t="array" ref="E3218">INDEX(C:C,SMALL(IF(ISNUMBER(FIND(CELL("contents"),$C$2:$C$4852)),ROW($C$2:$C$4852),4^8),ROW(C3218)))&amp;""</f>
        <v>#N/A</v>
      </c>
      <c r="F3218" s="20"/>
      <c r="G3218" s="20"/>
      <c r="H3218" s="20"/>
      <c r="I3218" s="20"/>
      <c r="J3218" s="20"/>
      <c r="K3218" s="20"/>
      <c r="L3218" s="20"/>
      <c r="M3218" s="20"/>
      <c r="N3218" s="20"/>
      <c r="O3218" s="20"/>
      <c r="P3218" s="20"/>
      <c r="Q3218" s="20"/>
      <c r="R3218" s="20"/>
      <c r="S3218" s="20"/>
      <c r="T3218" s="20"/>
      <c r="U3218" s="20"/>
      <c r="V3218" s="20"/>
      <c r="W3218" s="20"/>
      <c r="X3218" s="20"/>
      <c r="Y3218" s="20"/>
      <c r="Z3218" s="20"/>
      <c r="AA3218" s="20"/>
      <c r="AB3218" s="20"/>
      <c r="AC3218" s="20"/>
      <c r="AD3218" s="20"/>
      <c r="AE3218" s="20"/>
      <c r="AF3218" s="20"/>
      <c r="AG3218" s="20"/>
      <c r="AH3218" s="20"/>
      <c r="AI3218" s="20"/>
      <c r="AJ3218" s="20"/>
      <c r="AK3218" s="20"/>
      <c r="AL3218" s="20"/>
      <c r="AM3218" s="20"/>
      <c r="AN3218" s="20"/>
    </row>
    <row r="3219" s="18" customFormat="1" ht="14.100000000000001" customHeight="1">
      <c r="A3219" s="20"/>
      <c r="B3219" s="20" t="s">
        <v>6582</v>
      </c>
      <c r="C3219" s="20" t="s">
        <v>6583</v>
      </c>
      <c r="D3219" s="20" t="s">
        <v>6582</v>
      </c>
      <c r="E3219" s="20" t="e">
        <f t="array" ref="E3219">INDEX(C:C,SMALL(IF(ISNUMBER(FIND(CELL("contents"),$C$2:$C$4852)),ROW($C$2:$C$4852),4^8),ROW(C3219)))&amp;""</f>
        <v>#N/A</v>
      </c>
      <c r="F3219" s="20"/>
      <c r="G3219" s="20"/>
      <c r="H3219" s="20"/>
      <c r="I3219" s="20"/>
      <c r="J3219" s="20"/>
      <c r="K3219" s="20"/>
      <c r="L3219" s="20"/>
      <c r="M3219" s="20"/>
      <c r="N3219" s="20"/>
      <c r="O3219" s="20"/>
      <c r="P3219" s="20"/>
      <c r="Q3219" s="20"/>
      <c r="R3219" s="20"/>
      <c r="S3219" s="20"/>
      <c r="T3219" s="20"/>
      <c r="U3219" s="20"/>
      <c r="V3219" s="20"/>
      <c r="W3219" s="20"/>
      <c r="X3219" s="20"/>
      <c r="Y3219" s="20"/>
      <c r="Z3219" s="20"/>
      <c r="AA3219" s="20"/>
      <c r="AB3219" s="20"/>
      <c r="AC3219" s="20"/>
      <c r="AD3219" s="20"/>
      <c r="AE3219" s="20"/>
      <c r="AF3219" s="20"/>
      <c r="AG3219" s="20"/>
      <c r="AH3219" s="20"/>
      <c r="AI3219" s="20"/>
      <c r="AJ3219" s="20"/>
      <c r="AK3219" s="20"/>
      <c r="AL3219" s="20"/>
      <c r="AM3219" s="20"/>
      <c r="AN3219" s="20"/>
    </row>
    <row r="3220" s="18" customFormat="1" ht="14.100000000000001" customHeight="1">
      <c r="A3220" s="20"/>
      <c r="B3220" s="20" t="s">
        <v>6584</v>
      </c>
      <c r="C3220" s="20" t="s">
        <v>6585</v>
      </c>
      <c r="D3220" s="20" t="s">
        <v>6584</v>
      </c>
      <c r="E3220" s="20" t="e">
        <f t="array" ref="E3220">INDEX(C:C,SMALL(IF(ISNUMBER(FIND(CELL("contents"),$C$2:$C$4852)),ROW($C$2:$C$4852),4^8),ROW(C3220)))&amp;""</f>
        <v>#N/A</v>
      </c>
      <c r="F3220" s="20"/>
      <c r="G3220" s="20"/>
      <c r="H3220" s="20"/>
      <c r="I3220" s="20"/>
      <c r="J3220" s="20"/>
      <c r="K3220" s="20"/>
      <c r="L3220" s="20"/>
      <c r="M3220" s="20"/>
      <c r="N3220" s="20"/>
      <c r="O3220" s="20"/>
      <c r="P3220" s="20"/>
      <c r="Q3220" s="20"/>
      <c r="R3220" s="20"/>
      <c r="S3220" s="20"/>
      <c r="T3220" s="20"/>
      <c r="U3220" s="20"/>
      <c r="V3220" s="20"/>
      <c r="W3220" s="20"/>
      <c r="X3220" s="20"/>
      <c r="Y3220" s="20"/>
      <c r="Z3220" s="20"/>
      <c r="AA3220" s="20"/>
      <c r="AB3220" s="20"/>
      <c r="AC3220" s="20"/>
      <c r="AD3220" s="20"/>
      <c r="AE3220" s="20"/>
      <c r="AF3220" s="20"/>
      <c r="AG3220" s="20"/>
      <c r="AH3220" s="20"/>
      <c r="AI3220" s="20"/>
      <c r="AJ3220" s="20"/>
      <c r="AK3220" s="20"/>
      <c r="AL3220" s="20"/>
      <c r="AM3220" s="20"/>
      <c r="AN3220" s="20"/>
    </row>
    <row r="3221" s="18" customFormat="1" ht="14.100000000000001" customHeight="1">
      <c r="A3221" s="20"/>
      <c r="B3221" s="20" t="s">
        <v>6586</v>
      </c>
      <c r="C3221" s="20" t="s">
        <v>6587</v>
      </c>
      <c r="D3221" s="20" t="s">
        <v>6586</v>
      </c>
      <c r="E3221" s="20" t="e">
        <f t="array" ref="E3221">INDEX(C:C,SMALL(IF(ISNUMBER(FIND(CELL("contents"),$C$2:$C$4852)),ROW($C$2:$C$4852),4^8),ROW(C3221)))&amp;""</f>
        <v>#N/A</v>
      </c>
      <c r="F3221" s="20"/>
      <c r="G3221" s="20"/>
      <c r="H3221" s="20"/>
      <c r="I3221" s="20"/>
      <c r="J3221" s="20"/>
      <c r="K3221" s="20"/>
      <c r="L3221" s="20"/>
      <c r="M3221" s="20"/>
      <c r="N3221" s="20"/>
      <c r="O3221" s="20"/>
      <c r="P3221" s="20"/>
      <c r="Q3221" s="20"/>
      <c r="R3221" s="20"/>
      <c r="S3221" s="20"/>
      <c r="T3221" s="20"/>
      <c r="U3221" s="20"/>
      <c r="V3221" s="20"/>
      <c r="W3221" s="20"/>
      <c r="X3221" s="20"/>
      <c r="Y3221" s="20"/>
      <c r="Z3221" s="20"/>
      <c r="AA3221" s="20"/>
      <c r="AB3221" s="20"/>
      <c r="AC3221" s="20"/>
      <c r="AD3221" s="20"/>
      <c r="AE3221" s="20"/>
      <c r="AF3221" s="20"/>
      <c r="AG3221" s="20"/>
      <c r="AH3221" s="20"/>
      <c r="AI3221" s="20"/>
      <c r="AJ3221" s="20"/>
      <c r="AK3221" s="20"/>
      <c r="AL3221" s="20"/>
      <c r="AM3221" s="20"/>
      <c r="AN3221" s="20"/>
    </row>
    <row r="3222" s="18" customFormat="1" ht="14.100000000000001" customHeight="1">
      <c r="A3222" s="20"/>
      <c r="B3222" s="20" t="s">
        <v>6588</v>
      </c>
      <c r="C3222" s="20" t="s">
        <v>6589</v>
      </c>
      <c r="D3222" s="20" t="s">
        <v>6588</v>
      </c>
      <c r="E3222" s="20" t="e">
        <f t="array" ref="E3222">INDEX(C:C,SMALL(IF(ISNUMBER(FIND(CELL("contents"),$C$2:$C$4852)),ROW($C$2:$C$4852),4^8),ROW(C3222)))&amp;""</f>
        <v>#N/A</v>
      </c>
      <c r="F3222" s="20"/>
      <c r="G3222" s="20"/>
      <c r="H3222" s="20"/>
      <c r="I3222" s="20"/>
      <c r="J3222" s="20"/>
      <c r="K3222" s="20"/>
      <c r="L3222" s="20"/>
      <c r="M3222" s="20"/>
      <c r="N3222" s="20"/>
      <c r="O3222" s="20"/>
      <c r="P3222" s="20"/>
      <c r="Q3222" s="20"/>
      <c r="R3222" s="20"/>
      <c r="S3222" s="20"/>
      <c r="T3222" s="20"/>
      <c r="U3222" s="20"/>
      <c r="V3222" s="20"/>
      <c r="W3222" s="20"/>
      <c r="X3222" s="20"/>
      <c r="Y3222" s="20"/>
      <c r="Z3222" s="20"/>
      <c r="AA3222" s="20"/>
      <c r="AB3222" s="20"/>
      <c r="AC3222" s="20"/>
      <c r="AD3222" s="20"/>
      <c r="AE3222" s="20"/>
      <c r="AF3222" s="20"/>
      <c r="AG3222" s="20"/>
      <c r="AH3222" s="20"/>
      <c r="AI3222" s="20"/>
      <c r="AJ3222" s="20"/>
      <c r="AK3222" s="20"/>
      <c r="AL3222" s="20"/>
      <c r="AM3222" s="20"/>
      <c r="AN3222" s="20"/>
    </row>
    <row r="3223" s="18" customFormat="1" ht="14.100000000000001" customHeight="1">
      <c r="A3223" s="20"/>
      <c r="B3223" s="20" t="s">
        <v>6590</v>
      </c>
      <c r="C3223" s="20" t="s">
        <v>6591</v>
      </c>
      <c r="D3223" s="20" t="s">
        <v>6590</v>
      </c>
      <c r="E3223" s="20" t="e">
        <f t="array" ref="E3223">INDEX(C:C,SMALL(IF(ISNUMBER(FIND(CELL("contents"),$C$2:$C$4852)),ROW($C$2:$C$4852),4^8),ROW(C3223)))&amp;""</f>
        <v>#N/A</v>
      </c>
      <c r="F3223" s="20"/>
      <c r="G3223" s="20"/>
      <c r="H3223" s="20"/>
      <c r="I3223" s="20"/>
      <c r="J3223" s="20"/>
      <c r="K3223" s="20"/>
      <c r="L3223" s="20"/>
      <c r="M3223" s="20"/>
      <c r="N3223" s="20"/>
      <c r="O3223" s="20"/>
      <c r="P3223" s="20"/>
      <c r="Q3223" s="20"/>
      <c r="R3223" s="20"/>
      <c r="S3223" s="20"/>
      <c r="T3223" s="20"/>
      <c r="U3223" s="20"/>
      <c r="V3223" s="20"/>
      <c r="W3223" s="20"/>
      <c r="X3223" s="20"/>
      <c r="Y3223" s="20"/>
      <c r="Z3223" s="20"/>
      <c r="AA3223" s="20"/>
      <c r="AB3223" s="20"/>
      <c r="AC3223" s="20"/>
      <c r="AD3223" s="20"/>
      <c r="AE3223" s="20"/>
      <c r="AF3223" s="20"/>
      <c r="AG3223" s="20"/>
      <c r="AH3223" s="20"/>
      <c r="AI3223" s="20"/>
      <c r="AJ3223" s="20"/>
      <c r="AK3223" s="20"/>
      <c r="AL3223" s="20"/>
      <c r="AM3223" s="20"/>
      <c r="AN3223" s="20"/>
    </row>
    <row r="3224" s="18" customFormat="1" ht="14.100000000000001" customHeight="1">
      <c r="A3224" s="20"/>
      <c r="B3224" s="20" t="s">
        <v>6592</v>
      </c>
      <c r="C3224" s="20" t="s">
        <v>6593</v>
      </c>
      <c r="D3224" s="20" t="s">
        <v>6592</v>
      </c>
      <c r="E3224" s="20" t="e">
        <f t="array" ref="E3224">INDEX(C:C,SMALL(IF(ISNUMBER(FIND(CELL("contents"),$C$2:$C$4852)),ROW($C$2:$C$4852),4^8),ROW(C3224)))&amp;""</f>
        <v>#N/A</v>
      </c>
      <c r="F3224" s="20"/>
      <c r="G3224" s="20"/>
      <c r="H3224" s="20"/>
      <c r="I3224" s="20"/>
      <c r="J3224" s="20"/>
      <c r="K3224" s="20"/>
      <c r="L3224" s="20"/>
      <c r="M3224" s="20"/>
      <c r="N3224" s="20"/>
      <c r="O3224" s="20"/>
      <c r="P3224" s="20"/>
      <c r="Q3224" s="20"/>
      <c r="R3224" s="20"/>
      <c r="S3224" s="20"/>
      <c r="T3224" s="20"/>
      <c r="U3224" s="20"/>
      <c r="V3224" s="20"/>
      <c r="W3224" s="20"/>
      <c r="X3224" s="20"/>
      <c r="Y3224" s="20"/>
      <c r="Z3224" s="20"/>
      <c r="AA3224" s="20"/>
      <c r="AB3224" s="20"/>
      <c r="AC3224" s="20"/>
      <c r="AD3224" s="20"/>
      <c r="AE3224" s="20"/>
      <c r="AF3224" s="20"/>
      <c r="AG3224" s="20"/>
      <c r="AH3224" s="20"/>
      <c r="AI3224" s="20"/>
      <c r="AJ3224" s="20"/>
      <c r="AK3224" s="20"/>
      <c r="AL3224" s="20"/>
      <c r="AM3224" s="20"/>
      <c r="AN3224" s="20"/>
    </row>
    <row r="3225" s="18" customFormat="1" ht="14.100000000000001" customHeight="1">
      <c r="A3225" s="20"/>
      <c r="B3225" s="20" t="s">
        <v>6594</v>
      </c>
      <c r="C3225" s="20" t="s">
        <v>6595</v>
      </c>
      <c r="D3225" s="20" t="s">
        <v>6594</v>
      </c>
      <c r="E3225" s="20" t="e">
        <f t="array" ref="E3225">INDEX(C:C,SMALL(IF(ISNUMBER(FIND(CELL("contents"),$C$2:$C$4852)),ROW($C$2:$C$4852),4^8),ROW(C3225)))&amp;""</f>
        <v>#N/A</v>
      </c>
      <c r="F3225" s="20"/>
      <c r="G3225" s="20"/>
      <c r="H3225" s="20"/>
      <c r="I3225" s="20"/>
      <c r="J3225" s="20"/>
      <c r="K3225" s="20"/>
      <c r="L3225" s="20"/>
      <c r="M3225" s="20"/>
      <c r="N3225" s="20"/>
      <c r="O3225" s="20"/>
      <c r="P3225" s="20"/>
      <c r="Q3225" s="20"/>
      <c r="R3225" s="20"/>
      <c r="S3225" s="20"/>
      <c r="T3225" s="20"/>
      <c r="U3225" s="20"/>
      <c r="V3225" s="20"/>
      <c r="W3225" s="20"/>
      <c r="X3225" s="20"/>
      <c r="Y3225" s="20"/>
      <c r="Z3225" s="20"/>
      <c r="AA3225" s="20"/>
      <c r="AB3225" s="20"/>
      <c r="AC3225" s="20"/>
      <c r="AD3225" s="20"/>
      <c r="AE3225" s="20"/>
      <c r="AF3225" s="20"/>
      <c r="AG3225" s="20"/>
      <c r="AH3225" s="20"/>
      <c r="AI3225" s="20"/>
      <c r="AJ3225" s="20"/>
      <c r="AK3225" s="20"/>
      <c r="AL3225" s="20"/>
      <c r="AM3225" s="20"/>
      <c r="AN3225" s="20"/>
    </row>
    <row r="3226" s="18" customFormat="1" ht="14.100000000000001" customHeight="1">
      <c r="A3226" s="20"/>
      <c r="B3226" s="20" t="s">
        <v>6596</v>
      </c>
      <c r="C3226" s="20" t="s">
        <v>6597</v>
      </c>
      <c r="D3226" s="20" t="s">
        <v>6596</v>
      </c>
      <c r="E3226" s="20" t="e">
        <f t="array" ref="E3226">INDEX(C:C,SMALL(IF(ISNUMBER(FIND(CELL("contents"),$C$2:$C$4852)),ROW($C$2:$C$4852),4^8),ROW(C3226)))&amp;""</f>
        <v>#N/A</v>
      </c>
      <c r="F3226" s="20"/>
      <c r="G3226" s="20"/>
      <c r="H3226" s="20"/>
      <c r="I3226" s="20"/>
      <c r="J3226" s="20"/>
      <c r="K3226" s="20"/>
      <c r="L3226" s="20"/>
      <c r="M3226" s="20"/>
      <c r="N3226" s="20"/>
      <c r="O3226" s="20"/>
      <c r="P3226" s="20"/>
      <c r="Q3226" s="20"/>
      <c r="R3226" s="20"/>
      <c r="S3226" s="20"/>
      <c r="T3226" s="20"/>
      <c r="U3226" s="20"/>
      <c r="V3226" s="20"/>
      <c r="W3226" s="20"/>
      <c r="X3226" s="20"/>
      <c r="Y3226" s="20"/>
      <c r="Z3226" s="20"/>
      <c r="AA3226" s="20"/>
      <c r="AB3226" s="20"/>
      <c r="AC3226" s="20"/>
      <c r="AD3226" s="20"/>
      <c r="AE3226" s="20"/>
      <c r="AF3226" s="20"/>
      <c r="AG3226" s="20"/>
      <c r="AH3226" s="20"/>
      <c r="AI3226" s="20"/>
      <c r="AJ3226" s="20"/>
      <c r="AK3226" s="20"/>
      <c r="AL3226" s="20"/>
      <c r="AM3226" s="20"/>
      <c r="AN3226" s="20"/>
    </row>
    <row r="3227" s="18" customFormat="1" ht="14.100000000000001" customHeight="1">
      <c r="A3227" s="20"/>
      <c r="B3227" s="20" t="s">
        <v>6598</v>
      </c>
      <c r="C3227" s="20" t="s">
        <v>6599</v>
      </c>
      <c r="D3227" s="20" t="s">
        <v>6598</v>
      </c>
      <c r="E3227" s="20" t="e">
        <f t="array" ref="E3227">INDEX(C:C,SMALL(IF(ISNUMBER(FIND(CELL("contents"),$C$2:$C$4852)),ROW($C$2:$C$4852),4^8),ROW(C3227)))&amp;""</f>
        <v>#N/A</v>
      </c>
      <c r="F3227" s="20"/>
      <c r="G3227" s="20"/>
      <c r="H3227" s="20"/>
      <c r="I3227" s="20"/>
      <c r="J3227" s="20"/>
      <c r="K3227" s="20"/>
      <c r="L3227" s="20"/>
      <c r="M3227" s="20"/>
      <c r="N3227" s="20"/>
      <c r="O3227" s="20"/>
      <c r="P3227" s="20"/>
      <c r="Q3227" s="20"/>
      <c r="R3227" s="20"/>
      <c r="S3227" s="20"/>
      <c r="T3227" s="20"/>
      <c r="U3227" s="20"/>
      <c r="V3227" s="20"/>
      <c r="W3227" s="20"/>
      <c r="X3227" s="20"/>
      <c r="Y3227" s="20"/>
      <c r="Z3227" s="20"/>
      <c r="AA3227" s="20"/>
      <c r="AB3227" s="20"/>
      <c r="AC3227" s="20"/>
      <c r="AD3227" s="20"/>
      <c r="AE3227" s="20"/>
      <c r="AF3227" s="20"/>
      <c r="AG3227" s="20"/>
      <c r="AH3227" s="20"/>
      <c r="AI3227" s="20"/>
      <c r="AJ3227" s="20"/>
      <c r="AK3227" s="20"/>
      <c r="AL3227" s="20"/>
      <c r="AM3227" s="20"/>
      <c r="AN3227" s="20"/>
    </row>
    <row r="3228" s="18" customFormat="1" ht="14.100000000000001" customHeight="1">
      <c r="A3228" s="20"/>
      <c r="B3228" s="20" t="s">
        <v>6600</v>
      </c>
      <c r="C3228" s="20" t="s">
        <v>6601</v>
      </c>
      <c r="D3228" s="20" t="s">
        <v>6600</v>
      </c>
      <c r="E3228" s="20" t="e">
        <f t="array" ref="E3228">INDEX(C:C,SMALL(IF(ISNUMBER(FIND(CELL("contents"),$C$2:$C$4852)),ROW($C$2:$C$4852),4^8),ROW(C3228)))&amp;""</f>
        <v>#N/A</v>
      </c>
      <c r="F3228" s="20"/>
      <c r="G3228" s="20"/>
      <c r="H3228" s="20"/>
      <c r="I3228" s="20"/>
      <c r="J3228" s="20"/>
      <c r="K3228" s="20"/>
      <c r="L3228" s="20"/>
      <c r="M3228" s="20"/>
      <c r="N3228" s="20"/>
      <c r="O3228" s="20"/>
      <c r="P3228" s="20"/>
      <c r="Q3228" s="20"/>
      <c r="R3228" s="20"/>
      <c r="S3228" s="20"/>
      <c r="T3228" s="20"/>
      <c r="U3228" s="20"/>
      <c r="V3228" s="20"/>
      <c r="W3228" s="20"/>
      <c r="X3228" s="20"/>
      <c r="Y3228" s="20"/>
      <c r="Z3228" s="20"/>
      <c r="AA3228" s="20"/>
      <c r="AB3228" s="20"/>
      <c r="AC3228" s="20"/>
      <c r="AD3228" s="20"/>
      <c r="AE3228" s="20"/>
      <c r="AF3228" s="20"/>
      <c r="AG3228" s="20"/>
      <c r="AH3228" s="20"/>
      <c r="AI3228" s="20"/>
      <c r="AJ3228" s="20"/>
      <c r="AK3228" s="20"/>
      <c r="AL3228" s="20"/>
      <c r="AM3228" s="20"/>
      <c r="AN3228" s="20"/>
    </row>
    <row r="3229" s="18" customFormat="1" ht="14.100000000000001" customHeight="1">
      <c r="A3229" s="20"/>
      <c r="B3229" s="20" t="s">
        <v>6602</v>
      </c>
      <c r="C3229" s="20" t="s">
        <v>6603</v>
      </c>
      <c r="D3229" s="20" t="s">
        <v>6602</v>
      </c>
      <c r="E3229" s="20" t="e">
        <f t="array" ref="E3229">INDEX(C:C,SMALL(IF(ISNUMBER(FIND(CELL("contents"),$C$2:$C$4852)),ROW($C$2:$C$4852),4^8),ROW(C3229)))&amp;""</f>
        <v>#N/A</v>
      </c>
      <c r="F3229" s="20"/>
      <c r="G3229" s="20"/>
      <c r="H3229" s="20"/>
      <c r="I3229" s="20"/>
      <c r="J3229" s="20"/>
      <c r="K3229" s="20"/>
      <c r="L3229" s="20"/>
      <c r="M3229" s="20"/>
      <c r="N3229" s="20"/>
      <c r="O3229" s="20"/>
      <c r="P3229" s="20"/>
      <c r="Q3229" s="20"/>
      <c r="R3229" s="20"/>
      <c r="S3229" s="20"/>
      <c r="T3229" s="20"/>
      <c r="U3229" s="20"/>
      <c r="V3229" s="20"/>
      <c r="W3229" s="20"/>
      <c r="X3229" s="20"/>
      <c r="Y3229" s="20"/>
      <c r="Z3229" s="20"/>
      <c r="AA3229" s="20"/>
      <c r="AB3229" s="20"/>
      <c r="AC3229" s="20"/>
      <c r="AD3229" s="20"/>
      <c r="AE3229" s="20"/>
      <c r="AF3229" s="20"/>
      <c r="AG3229" s="20"/>
      <c r="AH3229" s="20"/>
      <c r="AI3229" s="20"/>
      <c r="AJ3229" s="20"/>
      <c r="AK3229" s="20"/>
      <c r="AL3229" s="20"/>
      <c r="AM3229" s="20"/>
      <c r="AN3229" s="20"/>
    </row>
    <row r="3230" s="18" customFormat="1" ht="14.100000000000001" customHeight="1">
      <c r="A3230" s="20"/>
      <c r="B3230" s="20" t="s">
        <v>6604</v>
      </c>
      <c r="C3230" s="20" t="s">
        <v>6605</v>
      </c>
      <c r="D3230" s="20" t="s">
        <v>6604</v>
      </c>
      <c r="E3230" s="20" t="e">
        <f t="array" ref="E3230">INDEX(C:C,SMALL(IF(ISNUMBER(FIND(CELL("contents"),$C$2:$C$4852)),ROW($C$2:$C$4852),4^8),ROW(C3230)))&amp;""</f>
        <v>#N/A</v>
      </c>
      <c r="F3230" s="20"/>
      <c r="G3230" s="20"/>
      <c r="H3230" s="20"/>
      <c r="I3230" s="20"/>
      <c r="J3230" s="20"/>
      <c r="K3230" s="20"/>
      <c r="L3230" s="20"/>
      <c r="M3230" s="20"/>
      <c r="N3230" s="20"/>
      <c r="O3230" s="20"/>
      <c r="P3230" s="20"/>
      <c r="Q3230" s="20"/>
      <c r="R3230" s="20"/>
      <c r="S3230" s="20"/>
      <c r="T3230" s="20"/>
      <c r="U3230" s="20"/>
      <c r="V3230" s="20"/>
      <c r="W3230" s="20"/>
      <c r="X3230" s="20"/>
      <c r="Y3230" s="20"/>
      <c r="Z3230" s="20"/>
      <c r="AA3230" s="20"/>
      <c r="AB3230" s="20"/>
      <c r="AC3230" s="20"/>
      <c r="AD3230" s="20"/>
      <c r="AE3230" s="20"/>
      <c r="AF3230" s="20"/>
      <c r="AG3230" s="20"/>
      <c r="AH3230" s="20"/>
      <c r="AI3230" s="20"/>
      <c r="AJ3230" s="20"/>
      <c r="AK3230" s="20"/>
      <c r="AL3230" s="20"/>
      <c r="AM3230" s="20"/>
      <c r="AN3230" s="20"/>
    </row>
    <row r="3231" s="18" customFormat="1" ht="14.100000000000001" customHeight="1">
      <c r="A3231" s="20"/>
      <c r="B3231" s="20" t="s">
        <v>6606</v>
      </c>
      <c r="C3231" s="20" t="s">
        <v>6607</v>
      </c>
      <c r="D3231" s="20" t="s">
        <v>6606</v>
      </c>
      <c r="E3231" s="20" t="e">
        <f t="array" ref="E3231">INDEX(C:C,SMALL(IF(ISNUMBER(FIND(CELL("contents"),$C$2:$C$4852)),ROW($C$2:$C$4852),4^8),ROW(C3231)))&amp;""</f>
        <v>#N/A</v>
      </c>
      <c r="F3231" s="20"/>
      <c r="G3231" s="20"/>
      <c r="H3231" s="20"/>
      <c r="I3231" s="20"/>
      <c r="J3231" s="20"/>
      <c r="K3231" s="20"/>
      <c r="L3231" s="20"/>
      <c r="M3231" s="20"/>
      <c r="N3231" s="20"/>
      <c r="O3231" s="20"/>
      <c r="P3231" s="20"/>
      <c r="Q3231" s="20"/>
      <c r="R3231" s="20"/>
      <c r="S3231" s="20"/>
      <c r="T3231" s="20"/>
      <c r="U3231" s="20"/>
      <c r="V3231" s="20"/>
      <c r="W3231" s="20"/>
      <c r="X3231" s="20"/>
      <c r="Y3231" s="20"/>
      <c r="Z3231" s="20"/>
      <c r="AA3231" s="20"/>
      <c r="AB3231" s="20"/>
      <c r="AC3231" s="20"/>
      <c r="AD3231" s="20"/>
      <c r="AE3231" s="20"/>
      <c r="AF3231" s="20"/>
      <c r="AG3231" s="20"/>
      <c r="AH3231" s="20"/>
      <c r="AI3231" s="20"/>
      <c r="AJ3231" s="20"/>
      <c r="AK3231" s="20"/>
      <c r="AL3231" s="20"/>
      <c r="AM3231" s="20"/>
      <c r="AN3231" s="20"/>
    </row>
    <row r="3232" s="18" customFormat="1" ht="14.100000000000001" customHeight="1">
      <c r="A3232" s="20"/>
      <c r="B3232" s="20" t="s">
        <v>6608</v>
      </c>
      <c r="C3232" s="20" t="s">
        <v>6609</v>
      </c>
      <c r="D3232" s="20" t="s">
        <v>6608</v>
      </c>
      <c r="E3232" s="20" t="e">
        <f t="array" ref="E3232">INDEX(C:C,SMALL(IF(ISNUMBER(FIND(CELL("contents"),$C$2:$C$4852)),ROW($C$2:$C$4852),4^8),ROW(C3232)))&amp;""</f>
        <v>#N/A</v>
      </c>
      <c r="F3232" s="20"/>
      <c r="G3232" s="20"/>
      <c r="H3232" s="20"/>
      <c r="I3232" s="20"/>
      <c r="J3232" s="20"/>
      <c r="K3232" s="20"/>
      <c r="L3232" s="20"/>
      <c r="M3232" s="20"/>
      <c r="N3232" s="20"/>
      <c r="O3232" s="20"/>
      <c r="P3232" s="20"/>
      <c r="Q3232" s="20"/>
      <c r="R3232" s="20"/>
      <c r="S3232" s="20"/>
      <c r="T3232" s="20"/>
      <c r="U3232" s="20"/>
      <c r="V3232" s="20"/>
      <c r="W3232" s="20"/>
      <c r="X3232" s="20"/>
      <c r="Y3232" s="20"/>
      <c r="Z3232" s="20"/>
      <c r="AA3232" s="20"/>
      <c r="AB3232" s="20"/>
      <c r="AC3232" s="20"/>
      <c r="AD3232" s="20"/>
      <c r="AE3232" s="20"/>
      <c r="AF3232" s="20"/>
      <c r="AG3232" s="20"/>
      <c r="AH3232" s="20"/>
      <c r="AI3232" s="20"/>
      <c r="AJ3232" s="20"/>
      <c r="AK3232" s="20"/>
      <c r="AL3232" s="20"/>
      <c r="AM3232" s="20"/>
      <c r="AN3232" s="20"/>
    </row>
    <row r="3233" s="18" customFormat="1" ht="14.100000000000001" customHeight="1">
      <c r="A3233" s="20"/>
      <c r="B3233" s="20" t="s">
        <v>6610</v>
      </c>
      <c r="C3233" s="20" t="s">
        <v>6611</v>
      </c>
      <c r="D3233" s="20" t="s">
        <v>6610</v>
      </c>
      <c r="E3233" s="20" t="e">
        <f t="array" ref="E3233">INDEX(C:C,SMALL(IF(ISNUMBER(FIND(CELL("contents"),$C$2:$C$4852)),ROW($C$2:$C$4852),4^8),ROW(C3233)))&amp;""</f>
        <v>#N/A</v>
      </c>
      <c r="F3233" s="20"/>
      <c r="G3233" s="20"/>
      <c r="H3233" s="20"/>
      <c r="I3233" s="20"/>
      <c r="J3233" s="20"/>
      <c r="K3233" s="20"/>
      <c r="L3233" s="20"/>
      <c r="M3233" s="20"/>
      <c r="N3233" s="20"/>
      <c r="O3233" s="20"/>
      <c r="P3233" s="20"/>
      <c r="Q3233" s="20"/>
      <c r="R3233" s="20"/>
      <c r="S3233" s="20"/>
      <c r="T3233" s="20"/>
      <c r="U3233" s="20"/>
      <c r="V3233" s="20"/>
      <c r="W3233" s="20"/>
      <c r="X3233" s="20"/>
      <c r="Y3233" s="20"/>
      <c r="Z3233" s="20"/>
      <c r="AA3233" s="20"/>
      <c r="AB3233" s="20"/>
      <c r="AC3233" s="20"/>
      <c r="AD3233" s="20"/>
      <c r="AE3233" s="20"/>
      <c r="AF3233" s="20"/>
      <c r="AG3233" s="20"/>
      <c r="AH3233" s="20"/>
      <c r="AI3233" s="20"/>
      <c r="AJ3233" s="20"/>
      <c r="AK3233" s="20"/>
      <c r="AL3233" s="20"/>
      <c r="AM3233" s="20"/>
      <c r="AN3233" s="20"/>
    </row>
    <row r="3234" s="18" customFormat="1" ht="14.100000000000001" customHeight="1">
      <c r="A3234" s="20"/>
      <c r="B3234" s="20" t="s">
        <v>6612</v>
      </c>
      <c r="C3234" s="20" t="s">
        <v>6613</v>
      </c>
      <c r="D3234" s="20" t="s">
        <v>6612</v>
      </c>
      <c r="E3234" s="20" t="e">
        <f t="array" ref="E3234">INDEX(C:C,SMALL(IF(ISNUMBER(FIND(CELL("contents"),$C$2:$C$4852)),ROW($C$2:$C$4852),4^8),ROW(C3234)))&amp;""</f>
        <v>#N/A</v>
      </c>
      <c r="F3234" s="20"/>
      <c r="G3234" s="20"/>
      <c r="H3234" s="20"/>
      <c r="I3234" s="20"/>
      <c r="J3234" s="20"/>
      <c r="K3234" s="20"/>
      <c r="L3234" s="20"/>
      <c r="M3234" s="20"/>
      <c r="N3234" s="20"/>
      <c r="O3234" s="20"/>
      <c r="P3234" s="20"/>
      <c r="Q3234" s="20"/>
      <c r="R3234" s="20"/>
      <c r="S3234" s="20"/>
      <c r="T3234" s="20"/>
      <c r="U3234" s="20"/>
      <c r="V3234" s="20"/>
      <c r="W3234" s="20"/>
      <c r="X3234" s="20"/>
      <c r="Y3234" s="20"/>
      <c r="Z3234" s="20"/>
      <c r="AA3234" s="20"/>
      <c r="AB3234" s="20"/>
      <c r="AC3234" s="20"/>
      <c r="AD3234" s="20"/>
      <c r="AE3234" s="20"/>
      <c r="AF3234" s="20"/>
      <c r="AG3234" s="20"/>
      <c r="AH3234" s="20"/>
      <c r="AI3234" s="20"/>
      <c r="AJ3234" s="20"/>
      <c r="AK3234" s="20"/>
      <c r="AL3234" s="20"/>
      <c r="AM3234" s="20"/>
      <c r="AN3234" s="20"/>
    </row>
    <row r="3235" s="18" customFormat="1" ht="14.100000000000001" customHeight="1">
      <c r="A3235" s="20"/>
      <c r="B3235" s="20" t="s">
        <v>6614</v>
      </c>
      <c r="C3235" s="20" t="s">
        <v>6615</v>
      </c>
      <c r="D3235" s="20" t="s">
        <v>6614</v>
      </c>
      <c r="E3235" s="20" t="e">
        <f t="array" ref="E3235">INDEX(C:C,SMALL(IF(ISNUMBER(FIND(CELL("contents"),$C$2:$C$4852)),ROW($C$2:$C$4852),4^8),ROW(C3235)))&amp;""</f>
        <v>#N/A</v>
      </c>
      <c r="F3235" s="20"/>
      <c r="G3235" s="20"/>
      <c r="H3235" s="20"/>
      <c r="I3235" s="20"/>
      <c r="J3235" s="20"/>
      <c r="K3235" s="20"/>
      <c r="L3235" s="20"/>
      <c r="M3235" s="20"/>
      <c r="N3235" s="20"/>
      <c r="O3235" s="20"/>
      <c r="P3235" s="20"/>
      <c r="Q3235" s="20"/>
      <c r="R3235" s="20"/>
      <c r="S3235" s="20"/>
      <c r="T3235" s="20"/>
      <c r="U3235" s="20"/>
      <c r="V3235" s="20"/>
      <c r="W3235" s="20"/>
      <c r="X3235" s="20"/>
      <c r="Y3235" s="20"/>
      <c r="Z3235" s="20"/>
      <c r="AA3235" s="20"/>
      <c r="AB3235" s="20"/>
      <c r="AC3235" s="20"/>
      <c r="AD3235" s="20"/>
      <c r="AE3235" s="20"/>
      <c r="AF3235" s="20"/>
      <c r="AG3235" s="20"/>
      <c r="AH3235" s="20"/>
      <c r="AI3235" s="20"/>
      <c r="AJ3235" s="20"/>
      <c r="AK3235" s="20"/>
      <c r="AL3235" s="20"/>
      <c r="AM3235" s="20"/>
      <c r="AN3235" s="20"/>
    </row>
    <row r="3236" s="18" customFormat="1" ht="14.100000000000001" customHeight="1">
      <c r="A3236" s="20"/>
      <c r="B3236" s="20" t="s">
        <v>6616</v>
      </c>
      <c r="C3236" s="20" t="s">
        <v>6617</v>
      </c>
      <c r="D3236" s="20" t="s">
        <v>6616</v>
      </c>
      <c r="E3236" s="20" t="e">
        <f t="array" ref="E3236">INDEX(C:C,SMALL(IF(ISNUMBER(FIND(CELL("contents"),$C$2:$C$4852)),ROW($C$2:$C$4852),4^8),ROW(C3236)))&amp;""</f>
        <v>#N/A</v>
      </c>
      <c r="F3236" s="20"/>
      <c r="G3236" s="20"/>
      <c r="H3236" s="20"/>
      <c r="I3236" s="20"/>
      <c r="J3236" s="20"/>
      <c r="K3236" s="20"/>
      <c r="L3236" s="20"/>
      <c r="M3236" s="20"/>
      <c r="N3236" s="20"/>
      <c r="O3236" s="20"/>
      <c r="P3236" s="20"/>
      <c r="Q3236" s="20"/>
      <c r="R3236" s="20"/>
      <c r="S3236" s="20"/>
      <c r="T3236" s="20"/>
      <c r="U3236" s="20"/>
      <c r="V3236" s="20"/>
      <c r="W3236" s="20"/>
      <c r="X3236" s="20"/>
      <c r="Y3236" s="20"/>
      <c r="Z3236" s="20"/>
      <c r="AA3236" s="20"/>
      <c r="AB3236" s="20"/>
      <c r="AC3236" s="20"/>
      <c r="AD3236" s="20"/>
      <c r="AE3236" s="20"/>
      <c r="AF3236" s="20"/>
      <c r="AG3236" s="20"/>
      <c r="AH3236" s="20"/>
      <c r="AI3236" s="20"/>
      <c r="AJ3236" s="20"/>
      <c r="AK3236" s="20"/>
      <c r="AL3236" s="20"/>
      <c r="AM3236" s="20"/>
      <c r="AN3236" s="20"/>
    </row>
    <row r="3237" s="18" customFormat="1" ht="14.100000000000001" customHeight="1">
      <c r="A3237" s="20"/>
      <c r="B3237" s="20" t="s">
        <v>6618</v>
      </c>
      <c r="C3237" s="20" t="s">
        <v>6619</v>
      </c>
      <c r="D3237" s="20" t="s">
        <v>6618</v>
      </c>
      <c r="E3237" s="20" t="e">
        <f t="array" ref="E3237">INDEX(C:C,SMALL(IF(ISNUMBER(FIND(CELL("contents"),$C$2:$C$4852)),ROW($C$2:$C$4852),4^8),ROW(C3237)))&amp;""</f>
        <v>#N/A</v>
      </c>
      <c r="F3237" s="20"/>
      <c r="G3237" s="20"/>
      <c r="H3237" s="20"/>
      <c r="I3237" s="20"/>
      <c r="J3237" s="20"/>
      <c r="K3237" s="20"/>
      <c r="L3237" s="20"/>
      <c r="M3237" s="20"/>
      <c r="N3237" s="20"/>
      <c r="O3237" s="20"/>
      <c r="P3237" s="20"/>
      <c r="Q3237" s="20"/>
      <c r="R3237" s="20"/>
      <c r="S3237" s="20"/>
      <c r="T3237" s="20"/>
      <c r="U3237" s="20"/>
      <c r="V3237" s="20"/>
      <c r="W3237" s="20"/>
      <c r="X3237" s="20"/>
      <c r="Y3237" s="20"/>
      <c r="Z3237" s="20"/>
      <c r="AA3237" s="20"/>
      <c r="AB3237" s="20"/>
      <c r="AC3237" s="20"/>
      <c r="AD3237" s="20"/>
      <c r="AE3237" s="20"/>
      <c r="AF3237" s="20"/>
      <c r="AG3237" s="20"/>
      <c r="AH3237" s="20"/>
      <c r="AI3237" s="20"/>
      <c r="AJ3237" s="20"/>
      <c r="AK3237" s="20"/>
      <c r="AL3237" s="20"/>
      <c r="AM3237" s="20"/>
      <c r="AN3237" s="20"/>
    </row>
    <row r="3238" s="18" customFormat="1" ht="14.100000000000001" customHeight="1">
      <c r="A3238" s="20"/>
      <c r="B3238" s="20" t="s">
        <v>6620</v>
      </c>
      <c r="C3238" s="20" t="s">
        <v>6621</v>
      </c>
      <c r="D3238" s="20" t="s">
        <v>6620</v>
      </c>
      <c r="E3238" s="20" t="e">
        <f t="array" ref="E3238">INDEX(C:C,SMALL(IF(ISNUMBER(FIND(CELL("contents"),$C$2:$C$4852)),ROW($C$2:$C$4852),4^8),ROW(C3238)))&amp;""</f>
        <v>#N/A</v>
      </c>
      <c r="F3238" s="20"/>
      <c r="G3238" s="20"/>
      <c r="H3238" s="20"/>
      <c r="I3238" s="20"/>
      <c r="J3238" s="20"/>
      <c r="K3238" s="20"/>
      <c r="L3238" s="20"/>
      <c r="M3238" s="20"/>
      <c r="N3238" s="20"/>
      <c r="O3238" s="20"/>
      <c r="P3238" s="20"/>
      <c r="Q3238" s="20"/>
      <c r="R3238" s="20"/>
      <c r="S3238" s="20"/>
      <c r="T3238" s="20"/>
      <c r="U3238" s="20"/>
      <c r="V3238" s="20"/>
      <c r="W3238" s="20"/>
      <c r="X3238" s="20"/>
      <c r="Y3238" s="20"/>
      <c r="Z3238" s="20"/>
      <c r="AA3238" s="20"/>
      <c r="AB3238" s="20"/>
      <c r="AC3238" s="20"/>
      <c r="AD3238" s="20"/>
      <c r="AE3238" s="20"/>
      <c r="AF3238" s="20"/>
      <c r="AG3238" s="20"/>
      <c r="AH3238" s="20"/>
      <c r="AI3238" s="20"/>
      <c r="AJ3238" s="20"/>
      <c r="AK3238" s="20"/>
      <c r="AL3238" s="20"/>
      <c r="AM3238" s="20"/>
      <c r="AN3238" s="20"/>
    </row>
    <row r="3239" s="18" customFormat="1" ht="14.100000000000001" customHeight="1">
      <c r="A3239" s="20"/>
      <c r="B3239" s="20" t="s">
        <v>6622</v>
      </c>
      <c r="C3239" s="20" t="s">
        <v>6623</v>
      </c>
      <c r="D3239" s="20" t="s">
        <v>6622</v>
      </c>
      <c r="E3239" s="20" t="e">
        <f t="array" ref="E3239">INDEX(C:C,SMALL(IF(ISNUMBER(FIND(CELL("contents"),$C$2:$C$4852)),ROW($C$2:$C$4852),4^8),ROW(C3239)))&amp;""</f>
        <v>#N/A</v>
      </c>
      <c r="F3239" s="20"/>
      <c r="G3239" s="20"/>
      <c r="H3239" s="20"/>
      <c r="I3239" s="20"/>
      <c r="J3239" s="20"/>
      <c r="K3239" s="20"/>
      <c r="L3239" s="20"/>
      <c r="M3239" s="20"/>
      <c r="N3239" s="20"/>
      <c r="O3239" s="20"/>
      <c r="P3239" s="20"/>
      <c r="Q3239" s="20"/>
      <c r="R3239" s="20"/>
      <c r="S3239" s="20"/>
      <c r="T3239" s="20"/>
      <c r="U3239" s="20"/>
      <c r="V3239" s="20"/>
      <c r="W3239" s="20"/>
      <c r="X3239" s="20"/>
      <c r="Y3239" s="20"/>
      <c r="Z3239" s="20"/>
      <c r="AA3239" s="20"/>
      <c r="AB3239" s="20"/>
      <c r="AC3239" s="20"/>
      <c r="AD3239" s="20"/>
      <c r="AE3239" s="20"/>
      <c r="AF3239" s="20"/>
      <c r="AG3239" s="20"/>
      <c r="AH3239" s="20"/>
      <c r="AI3239" s="20"/>
      <c r="AJ3239" s="20"/>
      <c r="AK3239" s="20"/>
      <c r="AL3239" s="20"/>
      <c r="AM3239" s="20"/>
      <c r="AN3239" s="20"/>
    </row>
    <row r="3240" s="18" customFormat="1" ht="14.100000000000001" customHeight="1">
      <c r="A3240" s="20"/>
      <c r="B3240" s="20" t="s">
        <v>6624</v>
      </c>
      <c r="C3240" s="20" t="s">
        <v>6625</v>
      </c>
      <c r="D3240" s="20" t="s">
        <v>6624</v>
      </c>
      <c r="E3240" s="20" t="e">
        <f t="array" ref="E3240">INDEX(C:C,SMALL(IF(ISNUMBER(FIND(CELL("contents"),$C$2:$C$4852)),ROW($C$2:$C$4852),4^8),ROW(C3240)))&amp;""</f>
        <v>#N/A</v>
      </c>
      <c r="F3240" s="20"/>
      <c r="G3240" s="20"/>
      <c r="H3240" s="20"/>
      <c r="I3240" s="20"/>
      <c r="J3240" s="20"/>
      <c r="K3240" s="20"/>
      <c r="L3240" s="20"/>
      <c r="M3240" s="20"/>
      <c r="N3240" s="20"/>
      <c r="O3240" s="20"/>
      <c r="P3240" s="20"/>
      <c r="Q3240" s="20"/>
      <c r="R3240" s="20"/>
      <c r="S3240" s="20"/>
      <c r="T3240" s="20"/>
      <c r="U3240" s="20"/>
      <c r="V3240" s="20"/>
      <c r="W3240" s="20"/>
      <c r="X3240" s="20"/>
      <c r="Y3240" s="20"/>
      <c r="Z3240" s="20"/>
      <c r="AA3240" s="20"/>
      <c r="AB3240" s="20"/>
      <c r="AC3240" s="20"/>
      <c r="AD3240" s="20"/>
      <c r="AE3240" s="20"/>
      <c r="AF3240" s="20"/>
      <c r="AG3240" s="20"/>
      <c r="AH3240" s="20"/>
      <c r="AI3240" s="20"/>
      <c r="AJ3240" s="20"/>
      <c r="AK3240" s="20"/>
      <c r="AL3240" s="20"/>
      <c r="AM3240" s="20"/>
      <c r="AN3240" s="20"/>
    </row>
    <row r="3241" s="18" customFormat="1" ht="14.100000000000001" customHeight="1">
      <c r="A3241" s="20"/>
      <c r="B3241" s="20" t="s">
        <v>6626</v>
      </c>
      <c r="C3241" s="20" t="s">
        <v>6627</v>
      </c>
      <c r="D3241" s="20" t="s">
        <v>6626</v>
      </c>
      <c r="E3241" s="20" t="e">
        <f t="array" ref="E3241">INDEX(C:C,SMALL(IF(ISNUMBER(FIND(CELL("contents"),$C$2:$C$4852)),ROW($C$2:$C$4852),4^8),ROW(C3241)))&amp;""</f>
        <v>#N/A</v>
      </c>
      <c r="F3241" s="20"/>
      <c r="G3241" s="20"/>
      <c r="H3241" s="20"/>
      <c r="I3241" s="20"/>
      <c r="J3241" s="20"/>
      <c r="K3241" s="20"/>
      <c r="L3241" s="20"/>
      <c r="M3241" s="20"/>
      <c r="N3241" s="20"/>
      <c r="O3241" s="20"/>
      <c r="P3241" s="20"/>
      <c r="Q3241" s="20"/>
      <c r="R3241" s="20"/>
      <c r="S3241" s="20"/>
      <c r="T3241" s="20"/>
      <c r="U3241" s="20"/>
      <c r="V3241" s="20"/>
      <c r="W3241" s="20"/>
      <c r="X3241" s="20"/>
      <c r="Y3241" s="20"/>
      <c r="Z3241" s="20"/>
      <c r="AA3241" s="20"/>
      <c r="AB3241" s="20"/>
      <c r="AC3241" s="20"/>
      <c r="AD3241" s="20"/>
      <c r="AE3241" s="20"/>
      <c r="AF3241" s="20"/>
      <c r="AG3241" s="20"/>
      <c r="AH3241" s="20"/>
      <c r="AI3241" s="20"/>
      <c r="AJ3241" s="20"/>
      <c r="AK3241" s="20"/>
      <c r="AL3241" s="20"/>
      <c r="AM3241" s="20"/>
      <c r="AN3241" s="20"/>
    </row>
    <row r="3242" s="18" customFormat="1" ht="14.100000000000001" customHeight="1">
      <c r="A3242" s="20"/>
      <c r="B3242" s="20" t="s">
        <v>6628</v>
      </c>
      <c r="C3242" s="20" t="s">
        <v>6629</v>
      </c>
      <c r="D3242" s="20" t="s">
        <v>6628</v>
      </c>
      <c r="E3242" s="20" t="e">
        <f t="array" ref="E3242">INDEX(C:C,SMALL(IF(ISNUMBER(FIND(CELL("contents"),$C$2:$C$4852)),ROW($C$2:$C$4852),4^8),ROW(C3242)))&amp;""</f>
        <v>#N/A</v>
      </c>
      <c r="F3242" s="20"/>
      <c r="G3242" s="20"/>
      <c r="H3242" s="20"/>
      <c r="I3242" s="20"/>
      <c r="J3242" s="20"/>
      <c r="K3242" s="20"/>
      <c r="L3242" s="20"/>
      <c r="M3242" s="20"/>
      <c r="N3242" s="20"/>
      <c r="O3242" s="20"/>
      <c r="P3242" s="20"/>
      <c r="Q3242" s="20"/>
      <c r="R3242" s="20"/>
      <c r="S3242" s="20"/>
      <c r="T3242" s="20"/>
      <c r="U3242" s="20"/>
      <c r="V3242" s="20"/>
      <c r="W3242" s="20"/>
      <c r="X3242" s="20"/>
      <c r="Y3242" s="20"/>
      <c r="Z3242" s="20"/>
      <c r="AA3242" s="20"/>
      <c r="AB3242" s="20"/>
      <c r="AC3242" s="20"/>
      <c r="AD3242" s="20"/>
      <c r="AE3242" s="20"/>
      <c r="AF3242" s="20"/>
      <c r="AG3242" s="20"/>
      <c r="AH3242" s="20"/>
      <c r="AI3242" s="20"/>
      <c r="AJ3242" s="20"/>
      <c r="AK3242" s="20"/>
      <c r="AL3242" s="20"/>
      <c r="AM3242" s="20"/>
      <c r="AN3242" s="20"/>
    </row>
    <row r="3243" s="18" customFormat="1" ht="14.100000000000001" customHeight="1">
      <c r="A3243" s="20"/>
      <c r="B3243" s="20" t="s">
        <v>6630</v>
      </c>
      <c r="C3243" s="20" t="s">
        <v>6631</v>
      </c>
      <c r="D3243" s="20" t="s">
        <v>6630</v>
      </c>
      <c r="E3243" s="20" t="e">
        <f t="array" ref="E3243">INDEX(C:C,SMALL(IF(ISNUMBER(FIND(CELL("contents"),$C$2:$C$4852)),ROW($C$2:$C$4852),4^8),ROW(C3243)))&amp;""</f>
        <v>#N/A</v>
      </c>
      <c r="F3243" s="20"/>
      <c r="G3243" s="20"/>
      <c r="H3243" s="20"/>
      <c r="I3243" s="20"/>
      <c r="J3243" s="20"/>
      <c r="K3243" s="20"/>
      <c r="L3243" s="20"/>
      <c r="M3243" s="20"/>
      <c r="N3243" s="20"/>
      <c r="O3243" s="20"/>
      <c r="P3243" s="20"/>
      <c r="Q3243" s="20"/>
      <c r="R3243" s="20"/>
      <c r="S3243" s="20"/>
      <c r="T3243" s="20"/>
      <c r="U3243" s="20"/>
      <c r="V3243" s="20"/>
      <c r="W3243" s="20"/>
      <c r="X3243" s="20"/>
      <c r="Y3243" s="20"/>
      <c r="Z3243" s="20"/>
      <c r="AA3243" s="20"/>
      <c r="AB3243" s="20"/>
      <c r="AC3243" s="20"/>
      <c r="AD3243" s="20"/>
      <c r="AE3243" s="20"/>
      <c r="AF3243" s="20"/>
      <c r="AG3243" s="20"/>
      <c r="AH3243" s="20"/>
      <c r="AI3243" s="20"/>
      <c r="AJ3243" s="20"/>
      <c r="AK3243" s="20"/>
      <c r="AL3243" s="20"/>
      <c r="AM3243" s="20"/>
      <c r="AN3243" s="20"/>
    </row>
    <row r="3244" s="18" customFormat="1" ht="14.100000000000001" customHeight="1">
      <c r="A3244" s="20"/>
      <c r="B3244" s="20" t="s">
        <v>6632</v>
      </c>
      <c r="C3244" s="20" t="s">
        <v>6633</v>
      </c>
      <c r="D3244" s="20" t="s">
        <v>6632</v>
      </c>
      <c r="E3244" s="20" t="e">
        <f t="array" ref="E3244">INDEX(C:C,SMALL(IF(ISNUMBER(FIND(CELL("contents"),$C$2:$C$4852)),ROW($C$2:$C$4852),4^8),ROW(C3244)))&amp;""</f>
        <v>#N/A</v>
      </c>
      <c r="F3244" s="20"/>
      <c r="G3244" s="20"/>
      <c r="H3244" s="20"/>
      <c r="I3244" s="20"/>
      <c r="J3244" s="20"/>
      <c r="K3244" s="20"/>
      <c r="L3244" s="20"/>
      <c r="M3244" s="20"/>
      <c r="N3244" s="20"/>
      <c r="O3244" s="20"/>
      <c r="P3244" s="20"/>
      <c r="Q3244" s="20"/>
      <c r="R3244" s="20"/>
      <c r="S3244" s="20"/>
      <c r="T3244" s="20"/>
      <c r="U3244" s="20"/>
      <c r="V3244" s="20"/>
      <c r="W3244" s="20"/>
      <c r="X3244" s="20"/>
      <c r="Y3244" s="20"/>
      <c r="Z3244" s="20"/>
      <c r="AA3244" s="20"/>
      <c r="AB3244" s="20"/>
      <c r="AC3244" s="20"/>
      <c r="AD3244" s="20"/>
      <c r="AE3244" s="20"/>
      <c r="AF3244" s="20"/>
      <c r="AG3244" s="20"/>
      <c r="AH3244" s="20"/>
      <c r="AI3244" s="20"/>
      <c r="AJ3244" s="20"/>
      <c r="AK3244" s="20"/>
      <c r="AL3244" s="20"/>
      <c r="AM3244" s="20"/>
      <c r="AN3244" s="20"/>
    </row>
    <row r="3245" s="18" customFormat="1" ht="14.100000000000001" customHeight="1">
      <c r="A3245" s="20"/>
      <c r="B3245" s="20" t="s">
        <v>6634</v>
      </c>
      <c r="C3245" s="20" t="s">
        <v>6635</v>
      </c>
      <c r="D3245" s="20" t="s">
        <v>6634</v>
      </c>
      <c r="E3245" s="20" t="e">
        <f t="array" ref="E3245">INDEX(C:C,SMALL(IF(ISNUMBER(FIND(CELL("contents"),$C$2:$C$4852)),ROW($C$2:$C$4852),4^8),ROW(C3245)))&amp;""</f>
        <v>#N/A</v>
      </c>
      <c r="F3245" s="20"/>
      <c r="G3245" s="20"/>
      <c r="H3245" s="20"/>
      <c r="I3245" s="20"/>
      <c r="J3245" s="20"/>
      <c r="K3245" s="20"/>
      <c r="L3245" s="20"/>
      <c r="M3245" s="20"/>
      <c r="N3245" s="20"/>
      <c r="O3245" s="20"/>
      <c r="P3245" s="20"/>
      <c r="Q3245" s="20"/>
      <c r="R3245" s="20"/>
      <c r="S3245" s="20"/>
      <c r="T3245" s="20"/>
      <c r="U3245" s="20"/>
      <c r="V3245" s="20"/>
      <c r="W3245" s="20"/>
      <c r="X3245" s="20"/>
      <c r="Y3245" s="20"/>
      <c r="Z3245" s="20"/>
      <c r="AA3245" s="20"/>
      <c r="AB3245" s="20"/>
      <c r="AC3245" s="20"/>
      <c r="AD3245" s="20"/>
      <c r="AE3245" s="20"/>
      <c r="AF3245" s="20"/>
      <c r="AG3245" s="20"/>
      <c r="AH3245" s="20"/>
      <c r="AI3245" s="20"/>
      <c r="AJ3245" s="20"/>
      <c r="AK3245" s="20"/>
      <c r="AL3245" s="20"/>
      <c r="AM3245" s="20"/>
      <c r="AN3245" s="20"/>
    </row>
    <row r="3246" s="18" customFormat="1" ht="14.100000000000001" customHeight="1">
      <c r="A3246" s="20"/>
      <c r="B3246" s="20" t="s">
        <v>6636</v>
      </c>
      <c r="C3246" s="20" t="s">
        <v>6637</v>
      </c>
      <c r="D3246" s="20" t="s">
        <v>6636</v>
      </c>
      <c r="E3246" s="20" t="e">
        <f t="array" ref="E3246">INDEX(C:C,SMALL(IF(ISNUMBER(FIND(CELL("contents"),$C$2:$C$4852)),ROW($C$2:$C$4852),4^8),ROW(C3246)))&amp;""</f>
        <v>#N/A</v>
      </c>
      <c r="F3246" s="20"/>
      <c r="G3246" s="20"/>
      <c r="H3246" s="20"/>
      <c r="I3246" s="20"/>
      <c r="J3246" s="20"/>
      <c r="K3246" s="20"/>
      <c r="L3246" s="20"/>
      <c r="M3246" s="20"/>
      <c r="N3246" s="20"/>
      <c r="O3246" s="20"/>
      <c r="P3246" s="20"/>
      <c r="Q3246" s="20"/>
      <c r="R3246" s="20"/>
      <c r="S3246" s="20"/>
      <c r="T3246" s="20"/>
      <c r="U3246" s="20"/>
      <c r="V3246" s="20"/>
      <c r="W3246" s="20"/>
      <c r="X3246" s="20"/>
      <c r="Y3246" s="20"/>
      <c r="Z3246" s="20"/>
      <c r="AA3246" s="20"/>
      <c r="AB3246" s="20"/>
      <c r="AC3246" s="20"/>
      <c r="AD3246" s="20"/>
      <c r="AE3246" s="20"/>
      <c r="AF3246" s="20"/>
      <c r="AG3246" s="20"/>
      <c r="AH3246" s="20"/>
      <c r="AI3246" s="20"/>
      <c r="AJ3246" s="20"/>
      <c r="AK3246" s="20"/>
      <c r="AL3246" s="20"/>
      <c r="AM3246" s="20"/>
      <c r="AN3246" s="20"/>
    </row>
    <row r="3247" s="18" customFormat="1" ht="14.100000000000001" customHeight="1">
      <c r="A3247" s="20"/>
      <c r="B3247" s="20" t="s">
        <v>6638</v>
      </c>
      <c r="C3247" s="20" t="s">
        <v>6639</v>
      </c>
      <c r="D3247" s="20" t="s">
        <v>6638</v>
      </c>
      <c r="E3247" s="20" t="e">
        <f t="array" ref="E3247">INDEX(C:C,SMALL(IF(ISNUMBER(FIND(CELL("contents"),$C$2:$C$4852)),ROW($C$2:$C$4852),4^8),ROW(C3247)))&amp;""</f>
        <v>#N/A</v>
      </c>
      <c r="F3247" s="20"/>
      <c r="G3247" s="20"/>
      <c r="H3247" s="20"/>
      <c r="I3247" s="20"/>
      <c r="J3247" s="20"/>
      <c r="K3247" s="20"/>
      <c r="L3247" s="20"/>
      <c r="M3247" s="20"/>
      <c r="N3247" s="20"/>
      <c r="O3247" s="20"/>
      <c r="P3247" s="20"/>
      <c r="Q3247" s="20"/>
      <c r="R3247" s="20"/>
      <c r="S3247" s="20"/>
      <c r="T3247" s="20"/>
      <c r="U3247" s="20"/>
      <c r="V3247" s="20"/>
      <c r="W3247" s="20"/>
      <c r="X3247" s="20"/>
      <c r="Y3247" s="20"/>
      <c r="Z3247" s="20"/>
      <c r="AA3247" s="20"/>
      <c r="AB3247" s="20"/>
      <c r="AC3247" s="20"/>
      <c r="AD3247" s="20"/>
      <c r="AE3247" s="20"/>
      <c r="AF3247" s="20"/>
      <c r="AG3247" s="20"/>
      <c r="AH3247" s="20"/>
      <c r="AI3247" s="20"/>
      <c r="AJ3247" s="20"/>
      <c r="AK3247" s="20"/>
      <c r="AL3247" s="20"/>
      <c r="AM3247" s="20"/>
      <c r="AN3247" s="20"/>
    </row>
    <row r="3248" s="18" customFormat="1" ht="14.100000000000001" customHeight="1">
      <c r="A3248" s="20"/>
      <c r="B3248" s="20" t="s">
        <v>6640</v>
      </c>
      <c r="C3248" s="20" t="s">
        <v>6641</v>
      </c>
      <c r="D3248" s="20" t="s">
        <v>6640</v>
      </c>
      <c r="E3248" s="20" t="e">
        <f t="array" ref="E3248">INDEX(C:C,SMALL(IF(ISNUMBER(FIND(CELL("contents"),$C$2:$C$4852)),ROW($C$2:$C$4852),4^8),ROW(C3248)))&amp;""</f>
        <v>#N/A</v>
      </c>
      <c r="F3248" s="20"/>
      <c r="G3248" s="20"/>
      <c r="H3248" s="20"/>
      <c r="I3248" s="20"/>
      <c r="J3248" s="20"/>
      <c r="K3248" s="20"/>
      <c r="L3248" s="20"/>
      <c r="M3248" s="20"/>
      <c r="N3248" s="20"/>
      <c r="O3248" s="20"/>
      <c r="P3248" s="20"/>
      <c r="Q3248" s="20"/>
      <c r="R3248" s="20"/>
      <c r="S3248" s="20"/>
      <c r="T3248" s="20"/>
      <c r="U3248" s="20"/>
      <c r="V3248" s="20"/>
      <c r="W3248" s="20"/>
      <c r="X3248" s="20"/>
      <c r="Y3248" s="20"/>
      <c r="Z3248" s="20"/>
      <c r="AA3248" s="20"/>
      <c r="AB3248" s="20"/>
      <c r="AC3248" s="20"/>
      <c r="AD3248" s="20"/>
      <c r="AE3248" s="20"/>
      <c r="AF3248" s="20"/>
      <c r="AG3248" s="20"/>
      <c r="AH3248" s="20"/>
      <c r="AI3248" s="20"/>
      <c r="AJ3248" s="20"/>
      <c r="AK3248" s="20"/>
      <c r="AL3248" s="20"/>
      <c r="AM3248" s="20"/>
      <c r="AN3248" s="20"/>
    </row>
    <row r="3249" s="18" customFormat="1" ht="14.100000000000001" customHeight="1">
      <c r="A3249" s="20"/>
      <c r="B3249" s="20" t="s">
        <v>6642</v>
      </c>
      <c r="C3249" s="20" t="s">
        <v>6643</v>
      </c>
      <c r="D3249" s="20" t="s">
        <v>6642</v>
      </c>
      <c r="E3249" s="20" t="e">
        <f t="array" ref="E3249">INDEX(C:C,SMALL(IF(ISNUMBER(FIND(CELL("contents"),$C$2:$C$4852)),ROW($C$2:$C$4852),4^8),ROW(C3249)))&amp;""</f>
        <v>#N/A</v>
      </c>
      <c r="F3249" s="20"/>
      <c r="G3249" s="20"/>
      <c r="H3249" s="20"/>
      <c r="I3249" s="20"/>
      <c r="J3249" s="20"/>
      <c r="K3249" s="20"/>
      <c r="L3249" s="20"/>
      <c r="M3249" s="20"/>
      <c r="N3249" s="20"/>
      <c r="O3249" s="20"/>
      <c r="P3249" s="20"/>
      <c r="Q3249" s="20"/>
      <c r="R3249" s="20"/>
      <c r="S3249" s="20"/>
      <c r="T3249" s="20"/>
      <c r="U3249" s="20"/>
      <c r="V3249" s="20"/>
      <c r="W3249" s="20"/>
      <c r="X3249" s="20"/>
      <c r="Y3249" s="20"/>
      <c r="Z3249" s="20"/>
      <c r="AA3249" s="20"/>
      <c r="AB3249" s="20"/>
      <c r="AC3249" s="20"/>
      <c r="AD3249" s="20"/>
      <c r="AE3249" s="20"/>
      <c r="AF3249" s="20"/>
      <c r="AG3249" s="20"/>
      <c r="AH3249" s="20"/>
      <c r="AI3249" s="20"/>
      <c r="AJ3249" s="20"/>
      <c r="AK3249" s="20"/>
      <c r="AL3249" s="20"/>
      <c r="AM3249" s="20"/>
      <c r="AN3249" s="20"/>
    </row>
    <row r="3250" s="18" customFormat="1" ht="14.100000000000001" customHeight="1">
      <c r="A3250" s="20"/>
      <c r="B3250" s="20" t="s">
        <v>6644</v>
      </c>
      <c r="C3250" s="20" t="s">
        <v>6645</v>
      </c>
      <c r="D3250" s="20" t="s">
        <v>6644</v>
      </c>
      <c r="E3250" s="20" t="e">
        <f t="array" ref="E3250">INDEX(C:C,SMALL(IF(ISNUMBER(FIND(CELL("contents"),$C$2:$C$4852)),ROW($C$2:$C$4852),4^8),ROW(C3250)))&amp;""</f>
        <v>#N/A</v>
      </c>
      <c r="F3250" s="20"/>
      <c r="G3250" s="20"/>
      <c r="H3250" s="20"/>
      <c r="I3250" s="20"/>
      <c r="J3250" s="20"/>
      <c r="K3250" s="20"/>
      <c r="L3250" s="20"/>
      <c r="M3250" s="20"/>
      <c r="N3250" s="20"/>
      <c r="O3250" s="20"/>
      <c r="P3250" s="20"/>
      <c r="Q3250" s="20"/>
      <c r="R3250" s="20"/>
      <c r="S3250" s="20"/>
      <c r="T3250" s="20"/>
      <c r="U3250" s="20"/>
      <c r="V3250" s="20"/>
      <c r="W3250" s="20"/>
      <c r="X3250" s="20"/>
      <c r="Y3250" s="20"/>
      <c r="Z3250" s="20"/>
      <c r="AA3250" s="20"/>
      <c r="AB3250" s="20"/>
      <c r="AC3250" s="20"/>
      <c r="AD3250" s="20"/>
      <c r="AE3250" s="20"/>
      <c r="AF3250" s="20"/>
      <c r="AG3250" s="20"/>
      <c r="AH3250" s="20"/>
      <c r="AI3250" s="20"/>
      <c r="AJ3250" s="20"/>
      <c r="AK3250" s="20"/>
      <c r="AL3250" s="20"/>
      <c r="AM3250" s="20"/>
      <c r="AN3250" s="20"/>
    </row>
    <row r="3251" s="18" customFormat="1" ht="14.100000000000001" customHeight="1">
      <c r="A3251" s="20"/>
      <c r="B3251" s="20" t="s">
        <v>6646</v>
      </c>
      <c r="C3251" s="20" t="s">
        <v>6647</v>
      </c>
      <c r="D3251" s="20" t="s">
        <v>6646</v>
      </c>
      <c r="E3251" s="20" t="e">
        <f t="array" ref="E3251">INDEX(C:C,SMALL(IF(ISNUMBER(FIND(CELL("contents"),$C$2:$C$4852)),ROW($C$2:$C$4852),4^8),ROW(C3251)))&amp;""</f>
        <v>#N/A</v>
      </c>
      <c r="F3251" s="20"/>
      <c r="G3251" s="20"/>
      <c r="H3251" s="20"/>
      <c r="I3251" s="20"/>
      <c r="J3251" s="20"/>
      <c r="K3251" s="20"/>
      <c r="L3251" s="20"/>
      <c r="M3251" s="20"/>
      <c r="N3251" s="20"/>
      <c r="O3251" s="20"/>
      <c r="P3251" s="20"/>
      <c r="Q3251" s="20"/>
      <c r="R3251" s="20"/>
      <c r="S3251" s="20"/>
      <c r="T3251" s="20"/>
      <c r="U3251" s="20"/>
      <c r="V3251" s="20"/>
      <c r="W3251" s="20"/>
      <c r="X3251" s="20"/>
      <c r="Y3251" s="20"/>
      <c r="Z3251" s="20"/>
      <c r="AA3251" s="20"/>
      <c r="AB3251" s="20"/>
      <c r="AC3251" s="20"/>
      <c r="AD3251" s="20"/>
      <c r="AE3251" s="20"/>
      <c r="AF3251" s="20"/>
      <c r="AG3251" s="20"/>
      <c r="AH3251" s="20"/>
      <c r="AI3251" s="20"/>
      <c r="AJ3251" s="20"/>
      <c r="AK3251" s="20"/>
      <c r="AL3251" s="20"/>
      <c r="AM3251" s="20"/>
      <c r="AN3251" s="20"/>
    </row>
    <row r="3252" s="18" customFormat="1" ht="14.100000000000001" customHeight="1">
      <c r="A3252" s="20"/>
      <c r="B3252" s="20" t="s">
        <v>6648</v>
      </c>
      <c r="C3252" s="20" t="s">
        <v>6649</v>
      </c>
      <c r="D3252" s="20" t="s">
        <v>6648</v>
      </c>
      <c r="E3252" s="20" t="e">
        <f t="array" ref="E3252">INDEX(C:C,SMALL(IF(ISNUMBER(FIND(CELL("contents"),$C$2:$C$4852)),ROW($C$2:$C$4852),4^8),ROW(C3252)))&amp;""</f>
        <v>#N/A</v>
      </c>
      <c r="F3252" s="20"/>
      <c r="G3252" s="20"/>
      <c r="H3252" s="20"/>
      <c r="I3252" s="20"/>
      <c r="J3252" s="20"/>
      <c r="K3252" s="20"/>
      <c r="L3252" s="20"/>
      <c r="M3252" s="20"/>
      <c r="N3252" s="20"/>
      <c r="O3252" s="20"/>
      <c r="P3252" s="20"/>
      <c r="Q3252" s="20"/>
      <c r="R3252" s="20"/>
      <c r="S3252" s="20"/>
      <c r="T3252" s="20"/>
      <c r="U3252" s="20"/>
      <c r="V3252" s="20"/>
      <c r="W3252" s="20"/>
      <c r="X3252" s="20"/>
      <c r="Y3252" s="20"/>
      <c r="Z3252" s="20"/>
      <c r="AA3252" s="20"/>
      <c r="AB3252" s="20"/>
      <c r="AC3252" s="20"/>
      <c r="AD3252" s="20"/>
      <c r="AE3252" s="20"/>
      <c r="AF3252" s="20"/>
      <c r="AG3252" s="20"/>
      <c r="AH3252" s="20"/>
      <c r="AI3252" s="20"/>
      <c r="AJ3252" s="20"/>
      <c r="AK3252" s="20"/>
      <c r="AL3252" s="20"/>
      <c r="AM3252" s="20"/>
      <c r="AN3252" s="20"/>
    </row>
    <row r="3253" s="18" customFormat="1" ht="14.100000000000001" customHeight="1">
      <c r="A3253" s="20"/>
      <c r="B3253" s="20" t="s">
        <v>6650</v>
      </c>
      <c r="C3253" s="20" t="s">
        <v>6651</v>
      </c>
      <c r="D3253" s="20" t="s">
        <v>6650</v>
      </c>
      <c r="E3253" s="20" t="e">
        <f t="array" ref="E3253">INDEX(C:C,SMALL(IF(ISNUMBER(FIND(CELL("contents"),$C$2:$C$4852)),ROW($C$2:$C$4852),4^8),ROW(C3253)))&amp;""</f>
        <v>#N/A</v>
      </c>
      <c r="F3253" s="20"/>
      <c r="G3253" s="20"/>
      <c r="H3253" s="20"/>
      <c r="I3253" s="20"/>
      <c r="J3253" s="20"/>
      <c r="K3253" s="20"/>
      <c r="L3253" s="20"/>
      <c r="M3253" s="20"/>
      <c r="N3253" s="20"/>
      <c r="O3253" s="20"/>
      <c r="P3253" s="20"/>
      <c r="Q3253" s="20"/>
      <c r="R3253" s="20"/>
      <c r="S3253" s="20"/>
      <c r="T3253" s="20"/>
      <c r="U3253" s="20"/>
      <c r="V3253" s="20"/>
      <c r="W3253" s="20"/>
      <c r="X3253" s="20"/>
      <c r="Y3253" s="20"/>
      <c r="Z3253" s="20"/>
      <c r="AA3253" s="20"/>
      <c r="AB3253" s="20"/>
      <c r="AC3253" s="20"/>
      <c r="AD3253" s="20"/>
      <c r="AE3253" s="20"/>
      <c r="AF3253" s="20"/>
      <c r="AG3253" s="20"/>
      <c r="AH3253" s="20"/>
      <c r="AI3253" s="20"/>
      <c r="AJ3253" s="20"/>
      <c r="AK3253" s="20"/>
      <c r="AL3253" s="20"/>
      <c r="AM3253" s="20"/>
      <c r="AN3253" s="20"/>
    </row>
    <row r="3254" s="18" customFormat="1" ht="14.100000000000001" customHeight="1">
      <c r="A3254" s="20"/>
      <c r="B3254" s="20" t="s">
        <v>6652</v>
      </c>
      <c r="C3254" s="20" t="s">
        <v>6653</v>
      </c>
      <c r="D3254" s="20" t="s">
        <v>6652</v>
      </c>
      <c r="E3254" s="20" t="e">
        <f t="array" ref="E3254">INDEX(C:C,SMALL(IF(ISNUMBER(FIND(CELL("contents"),$C$2:$C$4852)),ROW($C$2:$C$4852),4^8),ROW(C3254)))&amp;""</f>
        <v>#N/A</v>
      </c>
      <c r="F3254" s="20"/>
      <c r="G3254" s="20"/>
      <c r="H3254" s="20"/>
      <c r="I3254" s="20"/>
      <c r="J3254" s="20"/>
      <c r="K3254" s="20"/>
      <c r="L3254" s="20"/>
      <c r="M3254" s="20"/>
      <c r="N3254" s="20"/>
      <c r="O3254" s="20"/>
      <c r="P3254" s="20"/>
      <c r="Q3254" s="20"/>
      <c r="R3254" s="20"/>
      <c r="S3254" s="20"/>
      <c r="T3254" s="20"/>
      <c r="U3254" s="20"/>
      <c r="V3254" s="20"/>
      <c r="W3254" s="20"/>
      <c r="X3254" s="20"/>
      <c r="Y3254" s="20"/>
      <c r="Z3254" s="20"/>
      <c r="AA3254" s="20"/>
      <c r="AB3254" s="20"/>
      <c r="AC3254" s="20"/>
      <c r="AD3254" s="20"/>
      <c r="AE3254" s="20"/>
      <c r="AF3254" s="20"/>
      <c r="AG3254" s="20"/>
      <c r="AH3254" s="20"/>
      <c r="AI3254" s="20"/>
      <c r="AJ3254" s="20"/>
      <c r="AK3254" s="20"/>
      <c r="AL3254" s="20"/>
      <c r="AM3254" s="20"/>
      <c r="AN3254" s="20"/>
    </row>
    <row r="3255" s="18" customFormat="1" ht="14.100000000000001" customHeight="1">
      <c r="A3255" s="20"/>
      <c r="B3255" s="20" t="s">
        <v>6654</v>
      </c>
      <c r="C3255" s="20" t="s">
        <v>6655</v>
      </c>
      <c r="D3255" s="20" t="s">
        <v>6654</v>
      </c>
      <c r="E3255" s="20" t="e">
        <f t="array" ref="E3255">INDEX(C:C,SMALL(IF(ISNUMBER(FIND(CELL("contents"),$C$2:$C$4852)),ROW($C$2:$C$4852),4^8),ROW(C3255)))&amp;""</f>
        <v>#N/A</v>
      </c>
      <c r="F3255" s="20"/>
      <c r="G3255" s="20"/>
      <c r="H3255" s="20"/>
      <c r="I3255" s="20"/>
      <c r="J3255" s="20"/>
      <c r="K3255" s="20"/>
      <c r="L3255" s="20"/>
      <c r="M3255" s="20"/>
      <c r="N3255" s="20"/>
      <c r="O3255" s="20"/>
      <c r="P3255" s="20"/>
      <c r="Q3255" s="20"/>
      <c r="R3255" s="20"/>
      <c r="S3255" s="20"/>
      <c r="T3255" s="20"/>
      <c r="U3255" s="20"/>
      <c r="V3255" s="20"/>
      <c r="W3255" s="20"/>
      <c r="X3255" s="20"/>
      <c r="Y3255" s="20"/>
      <c r="Z3255" s="20"/>
      <c r="AA3255" s="20"/>
      <c r="AB3255" s="20"/>
      <c r="AC3255" s="20"/>
      <c r="AD3255" s="20"/>
      <c r="AE3255" s="20"/>
      <c r="AF3255" s="20"/>
      <c r="AG3255" s="20"/>
      <c r="AH3255" s="20"/>
      <c r="AI3255" s="20"/>
      <c r="AJ3255" s="20"/>
      <c r="AK3255" s="20"/>
      <c r="AL3255" s="20"/>
      <c r="AM3255" s="20"/>
      <c r="AN3255" s="20"/>
    </row>
    <row r="3256" s="18" customFormat="1" ht="14.100000000000001" customHeight="1">
      <c r="A3256" s="20"/>
      <c r="B3256" s="20" t="s">
        <v>6656</v>
      </c>
      <c r="C3256" s="20" t="s">
        <v>6657</v>
      </c>
      <c r="D3256" s="20" t="s">
        <v>6656</v>
      </c>
      <c r="E3256" s="20" t="e">
        <f t="array" ref="E3256">INDEX(C:C,SMALL(IF(ISNUMBER(FIND(CELL("contents"),$C$2:$C$4852)),ROW($C$2:$C$4852),4^8),ROW(C3256)))&amp;""</f>
        <v>#N/A</v>
      </c>
      <c r="F3256" s="20"/>
      <c r="G3256" s="20"/>
      <c r="H3256" s="20"/>
      <c r="I3256" s="20"/>
      <c r="J3256" s="20"/>
      <c r="K3256" s="20"/>
      <c r="L3256" s="20"/>
      <c r="M3256" s="20"/>
      <c r="N3256" s="20"/>
      <c r="O3256" s="20"/>
      <c r="P3256" s="20"/>
      <c r="Q3256" s="20"/>
      <c r="R3256" s="20"/>
      <c r="S3256" s="20"/>
      <c r="T3256" s="20"/>
      <c r="U3256" s="20"/>
      <c r="V3256" s="20"/>
      <c r="W3256" s="20"/>
      <c r="X3256" s="20"/>
      <c r="Y3256" s="20"/>
      <c r="Z3256" s="20"/>
      <c r="AA3256" s="20"/>
      <c r="AB3256" s="20"/>
      <c r="AC3256" s="20"/>
      <c r="AD3256" s="20"/>
      <c r="AE3256" s="20"/>
      <c r="AF3256" s="20"/>
      <c r="AG3256" s="20"/>
      <c r="AH3256" s="20"/>
      <c r="AI3256" s="20"/>
      <c r="AJ3256" s="20"/>
      <c r="AK3256" s="20"/>
      <c r="AL3256" s="20"/>
      <c r="AM3256" s="20"/>
      <c r="AN3256" s="20"/>
    </row>
    <row r="3257" s="18" customFormat="1" ht="14.100000000000001" customHeight="1">
      <c r="A3257" s="20"/>
      <c r="B3257" s="20" t="s">
        <v>6658</v>
      </c>
      <c r="C3257" s="20" t="s">
        <v>6659</v>
      </c>
      <c r="D3257" s="20" t="s">
        <v>6658</v>
      </c>
      <c r="E3257" s="20" t="e">
        <f t="array" ref="E3257">INDEX(C:C,SMALL(IF(ISNUMBER(FIND(CELL("contents"),$C$2:$C$4852)),ROW($C$2:$C$4852),4^8),ROW(C3257)))&amp;""</f>
        <v>#N/A</v>
      </c>
      <c r="F3257" s="20"/>
      <c r="G3257" s="20"/>
      <c r="H3257" s="20"/>
      <c r="I3257" s="20"/>
      <c r="J3257" s="20"/>
      <c r="K3257" s="20"/>
      <c r="L3257" s="20"/>
      <c r="M3257" s="20"/>
      <c r="N3257" s="20"/>
      <c r="O3257" s="20"/>
      <c r="P3257" s="20"/>
      <c r="Q3257" s="20"/>
      <c r="R3257" s="20"/>
      <c r="S3257" s="20"/>
      <c r="T3257" s="20"/>
      <c r="U3257" s="20"/>
      <c r="V3257" s="20"/>
      <c r="W3257" s="20"/>
      <c r="X3257" s="20"/>
      <c r="Y3257" s="20"/>
      <c r="Z3257" s="20"/>
      <c r="AA3257" s="20"/>
      <c r="AB3257" s="20"/>
      <c r="AC3257" s="20"/>
      <c r="AD3257" s="20"/>
      <c r="AE3257" s="20"/>
      <c r="AF3257" s="20"/>
      <c r="AG3257" s="20"/>
      <c r="AH3257" s="20"/>
      <c r="AI3257" s="20"/>
      <c r="AJ3257" s="20"/>
      <c r="AK3257" s="20"/>
      <c r="AL3257" s="20"/>
      <c r="AM3257" s="20"/>
      <c r="AN3257" s="20"/>
    </row>
    <row r="3258" s="18" customFormat="1" ht="14.100000000000001" customHeight="1">
      <c r="A3258" s="20"/>
      <c r="B3258" s="20" t="s">
        <v>6660</v>
      </c>
      <c r="C3258" s="20" t="s">
        <v>6661</v>
      </c>
      <c r="D3258" s="20" t="s">
        <v>6660</v>
      </c>
      <c r="E3258" s="20" t="e">
        <f t="array" ref="E3258">INDEX(C:C,SMALL(IF(ISNUMBER(FIND(CELL("contents"),$C$2:$C$4852)),ROW($C$2:$C$4852),4^8),ROW(C3258)))&amp;""</f>
        <v>#N/A</v>
      </c>
      <c r="F3258" s="20"/>
      <c r="G3258" s="20"/>
      <c r="H3258" s="20"/>
      <c r="I3258" s="20"/>
      <c r="J3258" s="20"/>
      <c r="K3258" s="20"/>
      <c r="L3258" s="20"/>
      <c r="M3258" s="20"/>
      <c r="N3258" s="20"/>
      <c r="O3258" s="20"/>
      <c r="P3258" s="20"/>
      <c r="Q3258" s="20"/>
      <c r="R3258" s="20"/>
      <c r="S3258" s="20"/>
      <c r="T3258" s="20"/>
      <c r="U3258" s="20"/>
      <c r="V3258" s="20"/>
      <c r="W3258" s="20"/>
      <c r="X3258" s="20"/>
      <c r="Y3258" s="20"/>
      <c r="Z3258" s="20"/>
      <c r="AA3258" s="20"/>
      <c r="AB3258" s="20"/>
      <c r="AC3258" s="20"/>
      <c r="AD3258" s="20"/>
      <c r="AE3258" s="20"/>
      <c r="AF3258" s="20"/>
      <c r="AG3258" s="20"/>
      <c r="AH3258" s="20"/>
      <c r="AI3258" s="20"/>
      <c r="AJ3258" s="20"/>
      <c r="AK3258" s="20"/>
      <c r="AL3258" s="20"/>
      <c r="AM3258" s="20"/>
      <c r="AN3258" s="20"/>
    </row>
    <row r="3259" s="18" customFormat="1" ht="14.100000000000001" customHeight="1">
      <c r="A3259" s="20"/>
      <c r="B3259" s="20" t="s">
        <v>6662</v>
      </c>
      <c r="C3259" s="20" t="s">
        <v>6663</v>
      </c>
      <c r="D3259" s="20" t="s">
        <v>6662</v>
      </c>
      <c r="E3259" s="20" t="e">
        <f t="array" ref="E3259">INDEX(C:C,SMALL(IF(ISNUMBER(FIND(CELL("contents"),$C$2:$C$4852)),ROW($C$2:$C$4852),4^8),ROW(C3259)))&amp;""</f>
        <v>#N/A</v>
      </c>
      <c r="F3259" s="20"/>
      <c r="G3259" s="20"/>
      <c r="H3259" s="20"/>
      <c r="I3259" s="20"/>
      <c r="J3259" s="20"/>
      <c r="K3259" s="20"/>
      <c r="L3259" s="20"/>
      <c r="M3259" s="20"/>
      <c r="N3259" s="20"/>
      <c r="O3259" s="20"/>
      <c r="P3259" s="20"/>
      <c r="Q3259" s="20"/>
      <c r="R3259" s="20"/>
      <c r="S3259" s="20"/>
      <c r="T3259" s="20"/>
      <c r="U3259" s="20"/>
      <c r="V3259" s="20"/>
      <c r="W3259" s="20"/>
      <c r="X3259" s="20"/>
      <c r="Y3259" s="20"/>
      <c r="Z3259" s="20"/>
      <c r="AA3259" s="20"/>
      <c r="AB3259" s="20"/>
      <c r="AC3259" s="20"/>
      <c r="AD3259" s="20"/>
      <c r="AE3259" s="20"/>
      <c r="AF3259" s="20"/>
      <c r="AG3259" s="20"/>
      <c r="AH3259" s="20"/>
      <c r="AI3259" s="20"/>
      <c r="AJ3259" s="20"/>
      <c r="AK3259" s="20"/>
      <c r="AL3259" s="20"/>
      <c r="AM3259" s="20"/>
      <c r="AN3259" s="20"/>
    </row>
    <row r="3260" s="18" customFormat="1" ht="14.100000000000001" customHeight="1">
      <c r="A3260" s="20"/>
      <c r="B3260" s="20" t="s">
        <v>6664</v>
      </c>
      <c r="C3260" s="20" t="s">
        <v>6665</v>
      </c>
      <c r="D3260" s="20" t="s">
        <v>6664</v>
      </c>
      <c r="E3260" s="20" t="e">
        <f t="array" ref="E3260">INDEX(C:C,SMALL(IF(ISNUMBER(FIND(CELL("contents"),$C$2:$C$4852)),ROW($C$2:$C$4852),4^8),ROW(C3260)))&amp;""</f>
        <v>#N/A</v>
      </c>
      <c r="F3260" s="20"/>
      <c r="G3260" s="20"/>
      <c r="H3260" s="20"/>
      <c r="I3260" s="20"/>
      <c r="J3260" s="20"/>
      <c r="K3260" s="20"/>
      <c r="L3260" s="20"/>
      <c r="M3260" s="20"/>
      <c r="N3260" s="20"/>
      <c r="O3260" s="20"/>
      <c r="P3260" s="20"/>
      <c r="Q3260" s="20"/>
      <c r="R3260" s="20"/>
      <c r="S3260" s="20"/>
      <c r="T3260" s="20"/>
      <c r="U3260" s="20"/>
      <c r="V3260" s="20"/>
      <c r="W3260" s="20"/>
      <c r="X3260" s="20"/>
      <c r="Y3260" s="20"/>
      <c r="Z3260" s="20"/>
      <c r="AA3260" s="20"/>
      <c r="AB3260" s="20"/>
      <c r="AC3260" s="20"/>
      <c r="AD3260" s="20"/>
      <c r="AE3260" s="20"/>
      <c r="AF3260" s="20"/>
      <c r="AG3260" s="20"/>
      <c r="AH3260" s="20"/>
      <c r="AI3260" s="20"/>
      <c r="AJ3260" s="20"/>
      <c r="AK3260" s="20"/>
      <c r="AL3260" s="20"/>
      <c r="AM3260" s="20"/>
      <c r="AN3260" s="20"/>
    </row>
    <row r="3261" s="18" customFormat="1" ht="14.100000000000001" customHeight="1">
      <c r="A3261" s="20"/>
      <c r="B3261" s="20" t="s">
        <v>6666</v>
      </c>
      <c r="C3261" s="20" t="s">
        <v>6667</v>
      </c>
      <c r="D3261" s="20" t="s">
        <v>6666</v>
      </c>
      <c r="E3261" s="20" t="e">
        <f t="array" ref="E3261">INDEX(C:C,SMALL(IF(ISNUMBER(FIND(CELL("contents"),$C$2:$C$4852)),ROW($C$2:$C$4852),4^8),ROW(C3261)))&amp;""</f>
        <v>#N/A</v>
      </c>
      <c r="F3261" s="20"/>
      <c r="G3261" s="20"/>
      <c r="H3261" s="20"/>
      <c r="I3261" s="20"/>
      <c r="J3261" s="20"/>
      <c r="K3261" s="20"/>
      <c r="L3261" s="20"/>
      <c r="M3261" s="20"/>
      <c r="N3261" s="20"/>
      <c r="O3261" s="20"/>
      <c r="P3261" s="20"/>
      <c r="Q3261" s="20"/>
      <c r="R3261" s="20"/>
      <c r="S3261" s="20"/>
      <c r="T3261" s="20"/>
      <c r="U3261" s="20"/>
      <c r="V3261" s="20"/>
      <c r="W3261" s="20"/>
      <c r="X3261" s="20"/>
      <c r="Y3261" s="20"/>
      <c r="Z3261" s="20"/>
      <c r="AA3261" s="20"/>
      <c r="AB3261" s="20"/>
      <c r="AC3261" s="20"/>
      <c r="AD3261" s="20"/>
      <c r="AE3261" s="20"/>
      <c r="AF3261" s="20"/>
      <c r="AG3261" s="20"/>
      <c r="AH3261" s="20"/>
      <c r="AI3261" s="20"/>
      <c r="AJ3261" s="20"/>
      <c r="AK3261" s="20"/>
      <c r="AL3261" s="20"/>
      <c r="AM3261" s="20"/>
      <c r="AN3261" s="20"/>
    </row>
    <row r="3262" s="18" customFormat="1" ht="14.100000000000001" customHeight="1">
      <c r="A3262" s="20"/>
      <c r="B3262" s="20" t="s">
        <v>6668</v>
      </c>
      <c r="C3262" s="20" t="s">
        <v>6669</v>
      </c>
      <c r="D3262" s="20" t="s">
        <v>6668</v>
      </c>
      <c r="E3262" s="20" t="e">
        <f t="array" ref="E3262">INDEX(C:C,SMALL(IF(ISNUMBER(FIND(CELL("contents"),$C$2:$C$4852)),ROW($C$2:$C$4852),4^8),ROW(C3262)))&amp;""</f>
        <v>#N/A</v>
      </c>
      <c r="F3262" s="20"/>
      <c r="G3262" s="20"/>
      <c r="H3262" s="20"/>
      <c r="I3262" s="20"/>
      <c r="J3262" s="20"/>
      <c r="K3262" s="20"/>
      <c r="L3262" s="20"/>
      <c r="M3262" s="20"/>
      <c r="N3262" s="20"/>
      <c r="O3262" s="20"/>
      <c r="P3262" s="20"/>
      <c r="Q3262" s="20"/>
      <c r="R3262" s="20"/>
      <c r="S3262" s="20"/>
      <c r="T3262" s="20"/>
      <c r="U3262" s="20"/>
      <c r="V3262" s="20"/>
      <c r="W3262" s="20"/>
      <c r="X3262" s="20"/>
      <c r="Y3262" s="20"/>
      <c r="Z3262" s="20"/>
      <c r="AA3262" s="20"/>
      <c r="AB3262" s="20"/>
      <c r="AC3262" s="20"/>
      <c r="AD3262" s="20"/>
      <c r="AE3262" s="20"/>
      <c r="AF3262" s="20"/>
      <c r="AG3262" s="20"/>
      <c r="AH3262" s="20"/>
      <c r="AI3262" s="20"/>
      <c r="AJ3262" s="20"/>
      <c r="AK3262" s="20"/>
      <c r="AL3262" s="20"/>
      <c r="AM3262" s="20"/>
      <c r="AN3262" s="20"/>
    </row>
    <row r="3263" s="18" customFormat="1" ht="14.100000000000001" customHeight="1">
      <c r="A3263" s="20"/>
      <c r="B3263" s="20" t="s">
        <v>6670</v>
      </c>
      <c r="C3263" s="20" t="s">
        <v>6671</v>
      </c>
      <c r="D3263" s="20" t="s">
        <v>6670</v>
      </c>
      <c r="E3263" s="20" t="e">
        <f t="array" ref="E3263">INDEX(C:C,SMALL(IF(ISNUMBER(FIND(CELL("contents"),$C$2:$C$4852)),ROW($C$2:$C$4852),4^8),ROW(C3263)))&amp;""</f>
        <v>#N/A</v>
      </c>
      <c r="F3263" s="20"/>
      <c r="G3263" s="20"/>
      <c r="H3263" s="20"/>
      <c r="I3263" s="20"/>
      <c r="J3263" s="20"/>
      <c r="K3263" s="20"/>
      <c r="L3263" s="20"/>
      <c r="M3263" s="20"/>
      <c r="N3263" s="20"/>
      <c r="O3263" s="20"/>
      <c r="P3263" s="20"/>
      <c r="Q3263" s="20"/>
      <c r="R3263" s="20"/>
      <c r="S3263" s="20"/>
      <c r="T3263" s="20"/>
      <c r="U3263" s="20"/>
      <c r="V3263" s="20"/>
      <c r="W3263" s="20"/>
      <c r="X3263" s="20"/>
      <c r="Y3263" s="20"/>
      <c r="Z3263" s="20"/>
      <c r="AA3263" s="20"/>
      <c r="AB3263" s="20"/>
      <c r="AC3263" s="20"/>
      <c r="AD3263" s="20"/>
      <c r="AE3263" s="20"/>
      <c r="AF3263" s="20"/>
      <c r="AG3263" s="20"/>
      <c r="AH3263" s="20"/>
      <c r="AI3263" s="20"/>
      <c r="AJ3263" s="20"/>
      <c r="AK3263" s="20"/>
      <c r="AL3263" s="20"/>
      <c r="AM3263" s="20"/>
      <c r="AN3263" s="20"/>
    </row>
    <row r="3264" s="18" customFormat="1" ht="14.100000000000001" customHeight="1">
      <c r="A3264" s="20"/>
      <c r="B3264" s="20" t="s">
        <v>6672</v>
      </c>
      <c r="C3264" s="20" t="s">
        <v>6672</v>
      </c>
      <c r="D3264" s="20" t="s">
        <v>6672</v>
      </c>
      <c r="E3264" s="20" t="e">
        <f t="array" ref="E3264">INDEX(C:C,SMALL(IF(ISNUMBER(FIND(CELL("contents"),$C$2:$C$4852)),ROW($C$2:$C$4852),4^8),ROW(C3264)))&amp;""</f>
        <v>#N/A</v>
      </c>
      <c r="F3264" s="20"/>
      <c r="G3264" s="20"/>
      <c r="H3264" s="20"/>
      <c r="I3264" s="20"/>
      <c r="J3264" s="20"/>
      <c r="K3264" s="20"/>
      <c r="L3264" s="20"/>
      <c r="M3264" s="20"/>
      <c r="N3264" s="20"/>
      <c r="O3264" s="20"/>
      <c r="P3264" s="20"/>
      <c r="Q3264" s="20"/>
      <c r="R3264" s="20"/>
      <c r="S3264" s="20"/>
      <c r="T3264" s="20"/>
      <c r="U3264" s="20"/>
      <c r="V3264" s="20"/>
      <c r="W3264" s="20"/>
      <c r="X3264" s="20"/>
      <c r="Y3264" s="20"/>
      <c r="Z3264" s="20"/>
      <c r="AA3264" s="20"/>
      <c r="AB3264" s="20"/>
      <c r="AC3264" s="20"/>
      <c r="AD3264" s="20"/>
      <c r="AE3264" s="20"/>
      <c r="AF3264" s="20"/>
      <c r="AG3264" s="20"/>
      <c r="AH3264" s="20"/>
      <c r="AI3264" s="20"/>
      <c r="AJ3264" s="20"/>
      <c r="AK3264" s="20"/>
      <c r="AL3264" s="20"/>
      <c r="AM3264" s="20"/>
      <c r="AN3264" s="20"/>
    </row>
    <row r="3265" s="18" customFormat="1" ht="14.100000000000001" customHeight="1">
      <c r="A3265" s="20"/>
      <c r="B3265" s="20" t="s">
        <v>6673</v>
      </c>
      <c r="C3265" s="20" t="s">
        <v>6674</v>
      </c>
      <c r="D3265" s="20" t="s">
        <v>6673</v>
      </c>
      <c r="E3265" s="20" t="e">
        <f t="array" ref="E3265">INDEX(C:C,SMALL(IF(ISNUMBER(FIND(CELL("contents"),$C$2:$C$4852)),ROW($C$2:$C$4852),4^8),ROW(C3265)))&amp;""</f>
        <v>#N/A</v>
      </c>
      <c r="F3265" s="20"/>
      <c r="G3265" s="20"/>
      <c r="H3265" s="20"/>
      <c r="I3265" s="20"/>
      <c r="J3265" s="20"/>
      <c r="K3265" s="20"/>
      <c r="L3265" s="20"/>
      <c r="M3265" s="20"/>
      <c r="N3265" s="20"/>
      <c r="O3265" s="20"/>
      <c r="P3265" s="20"/>
      <c r="Q3265" s="20"/>
      <c r="R3265" s="20"/>
      <c r="S3265" s="20"/>
      <c r="T3265" s="20"/>
      <c r="U3265" s="20"/>
      <c r="V3265" s="20"/>
      <c r="W3265" s="20"/>
      <c r="X3265" s="20"/>
      <c r="Y3265" s="20"/>
      <c r="Z3265" s="20"/>
      <c r="AA3265" s="20"/>
      <c r="AB3265" s="20"/>
      <c r="AC3265" s="20"/>
      <c r="AD3265" s="20"/>
      <c r="AE3265" s="20"/>
      <c r="AF3265" s="20"/>
      <c r="AG3265" s="20"/>
      <c r="AH3265" s="20"/>
      <c r="AI3265" s="20"/>
      <c r="AJ3265" s="20"/>
      <c r="AK3265" s="20"/>
      <c r="AL3265" s="20"/>
      <c r="AM3265" s="20"/>
      <c r="AN3265" s="20"/>
    </row>
    <row r="3266" s="18" customFormat="1" ht="14.100000000000001" customHeight="1">
      <c r="A3266" s="20"/>
      <c r="B3266" s="20" t="s">
        <v>6675</v>
      </c>
      <c r="C3266" s="20" t="s">
        <v>6676</v>
      </c>
      <c r="D3266" s="20" t="s">
        <v>6675</v>
      </c>
      <c r="E3266" s="20" t="e">
        <f t="array" ref="E3266">INDEX(C:C,SMALL(IF(ISNUMBER(FIND(CELL("contents"),$C$2:$C$4852)),ROW($C$2:$C$4852),4^8),ROW(C3266)))&amp;""</f>
        <v>#N/A</v>
      </c>
      <c r="F3266" s="20"/>
      <c r="G3266" s="20"/>
      <c r="H3266" s="20"/>
      <c r="I3266" s="20"/>
      <c r="J3266" s="20"/>
      <c r="K3266" s="20"/>
      <c r="L3266" s="20"/>
      <c r="M3266" s="20"/>
      <c r="N3266" s="20"/>
      <c r="O3266" s="20"/>
      <c r="P3266" s="20"/>
      <c r="Q3266" s="20"/>
      <c r="R3266" s="20"/>
      <c r="S3266" s="20"/>
      <c r="T3266" s="20"/>
      <c r="U3266" s="20"/>
      <c r="V3266" s="20"/>
      <c r="W3266" s="20"/>
      <c r="X3266" s="20"/>
      <c r="Y3266" s="20"/>
      <c r="Z3266" s="20"/>
      <c r="AA3266" s="20"/>
      <c r="AB3266" s="20"/>
      <c r="AC3266" s="20"/>
      <c r="AD3266" s="20"/>
      <c r="AE3266" s="20"/>
      <c r="AF3266" s="20"/>
      <c r="AG3266" s="20"/>
      <c r="AH3266" s="20"/>
      <c r="AI3266" s="20"/>
      <c r="AJ3266" s="20"/>
      <c r="AK3266" s="20"/>
      <c r="AL3266" s="20"/>
      <c r="AM3266" s="20"/>
      <c r="AN3266" s="20"/>
    </row>
    <row r="3267" s="18" customFormat="1" ht="14.100000000000001" customHeight="1">
      <c r="A3267" s="20"/>
      <c r="B3267" s="20" t="s">
        <v>6677</v>
      </c>
      <c r="C3267" s="20" t="s">
        <v>6678</v>
      </c>
      <c r="D3267" s="20" t="s">
        <v>6677</v>
      </c>
      <c r="E3267" s="20" t="e">
        <f t="array" ref="E3267">INDEX(C:C,SMALL(IF(ISNUMBER(FIND(CELL("contents"),$C$2:$C$4852)),ROW($C$2:$C$4852),4^8),ROW(C3267)))&amp;""</f>
        <v>#N/A</v>
      </c>
      <c r="F3267" s="20"/>
      <c r="G3267" s="20"/>
      <c r="H3267" s="20"/>
      <c r="I3267" s="20"/>
      <c r="J3267" s="20"/>
      <c r="K3267" s="20"/>
      <c r="L3267" s="20"/>
      <c r="M3267" s="20"/>
      <c r="N3267" s="20"/>
      <c r="O3267" s="20"/>
      <c r="P3267" s="20"/>
      <c r="Q3267" s="20"/>
      <c r="R3267" s="20"/>
      <c r="S3267" s="20"/>
      <c r="T3267" s="20"/>
      <c r="U3267" s="20"/>
      <c r="V3267" s="20"/>
      <c r="W3267" s="20"/>
      <c r="X3267" s="20"/>
      <c r="Y3267" s="20"/>
      <c r="Z3267" s="20"/>
      <c r="AA3267" s="20"/>
      <c r="AB3267" s="20"/>
      <c r="AC3267" s="20"/>
      <c r="AD3267" s="20"/>
      <c r="AE3267" s="20"/>
      <c r="AF3267" s="20"/>
      <c r="AG3267" s="20"/>
      <c r="AH3267" s="20"/>
      <c r="AI3267" s="20"/>
      <c r="AJ3267" s="20"/>
      <c r="AK3267" s="20"/>
      <c r="AL3267" s="20"/>
      <c r="AM3267" s="20"/>
      <c r="AN3267" s="20"/>
    </row>
    <row r="3268" s="18" customFormat="1" ht="14.100000000000001" customHeight="1">
      <c r="A3268" s="20"/>
      <c r="B3268" s="20" t="s">
        <v>6679</v>
      </c>
      <c r="C3268" s="20" t="s">
        <v>6680</v>
      </c>
      <c r="D3268" s="20" t="s">
        <v>6679</v>
      </c>
      <c r="E3268" s="20" t="e">
        <f t="array" ref="E3268">INDEX(C:C,SMALL(IF(ISNUMBER(FIND(CELL("contents"),$C$2:$C$4852)),ROW($C$2:$C$4852),4^8),ROW(C3268)))&amp;""</f>
        <v>#N/A</v>
      </c>
      <c r="F3268" s="20"/>
      <c r="G3268" s="20"/>
      <c r="H3268" s="20"/>
      <c r="I3268" s="20"/>
      <c r="J3268" s="20"/>
      <c r="K3268" s="20"/>
      <c r="L3268" s="20"/>
      <c r="M3268" s="20"/>
      <c r="N3268" s="20"/>
      <c r="O3268" s="20"/>
      <c r="P3268" s="20"/>
      <c r="Q3268" s="20"/>
      <c r="R3268" s="20"/>
      <c r="S3268" s="20"/>
      <c r="T3268" s="20"/>
      <c r="U3268" s="20"/>
      <c r="V3268" s="20"/>
      <c r="W3268" s="20"/>
      <c r="X3268" s="20"/>
      <c r="Y3268" s="20"/>
      <c r="Z3268" s="20"/>
      <c r="AA3268" s="20"/>
      <c r="AB3268" s="20"/>
      <c r="AC3268" s="20"/>
      <c r="AD3268" s="20"/>
      <c r="AE3268" s="20"/>
      <c r="AF3268" s="20"/>
      <c r="AG3268" s="20"/>
      <c r="AH3268" s="20"/>
      <c r="AI3268" s="20"/>
      <c r="AJ3268" s="20"/>
      <c r="AK3268" s="20"/>
      <c r="AL3268" s="20"/>
      <c r="AM3268" s="20"/>
      <c r="AN3268" s="20"/>
    </row>
    <row r="3269" s="18" customFormat="1" ht="14.100000000000001" customHeight="1">
      <c r="A3269" s="20"/>
      <c r="B3269" s="20" t="s">
        <v>6681</v>
      </c>
      <c r="C3269" s="20" t="s">
        <v>6682</v>
      </c>
      <c r="D3269" s="20" t="s">
        <v>6681</v>
      </c>
      <c r="E3269" s="20" t="e">
        <f t="array" ref="E3269">INDEX(C:C,SMALL(IF(ISNUMBER(FIND(CELL("contents"),$C$2:$C$4852)),ROW($C$2:$C$4852),4^8),ROW(C3269)))&amp;""</f>
        <v>#N/A</v>
      </c>
      <c r="F3269" s="20"/>
      <c r="G3269" s="20"/>
      <c r="H3269" s="20"/>
      <c r="I3269" s="20"/>
      <c r="J3269" s="20"/>
      <c r="K3269" s="20"/>
      <c r="L3269" s="20"/>
      <c r="M3269" s="20"/>
      <c r="N3269" s="20"/>
      <c r="O3269" s="20"/>
      <c r="P3269" s="20"/>
      <c r="Q3269" s="20"/>
      <c r="R3269" s="20"/>
      <c r="S3269" s="20"/>
      <c r="T3269" s="20"/>
      <c r="U3269" s="20"/>
      <c r="V3269" s="20"/>
      <c r="W3269" s="20"/>
      <c r="X3269" s="20"/>
      <c r="Y3269" s="20"/>
      <c r="Z3269" s="20"/>
      <c r="AA3269" s="20"/>
      <c r="AB3269" s="20"/>
      <c r="AC3269" s="20"/>
      <c r="AD3269" s="20"/>
      <c r="AE3269" s="20"/>
      <c r="AF3269" s="20"/>
      <c r="AG3269" s="20"/>
      <c r="AH3269" s="20"/>
      <c r="AI3269" s="20"/>
      <c r="AJ3269" s="20"/>
      <c r="AK3269" s="20"/>
      <c r="AL3269" s="20"/>
      <c r="AM3269" s="20"/>
      <c r="AN3269" s="20"/>
    </row>
    <row r="3270" s="18" customFormat="1" ht="14.100000000000001" customHeight="1">
      <c r="A3270" s="20"/>
      <c r="B3270" s="20" t="s">
        <v>6683</v>
      </c>
      <c r="C3270" s="20" t="s">
        <v>6684</v>
      </c>
      <c r="D3270" s="20" t="s">
        <v>6683</v>
      </c>
      <c r="E3270" s="20" t="e">
        <f t="array" ref="E3270">INDEX(C:C,SMALL(IF(ISNUMBER(FIND(CELL("contents"),$C$2:$C$4852)),ROW($C$2:$C$4852),4^8),ROW(C3270)))&amp;""</f>
        <v>#N/A</v>
      </c>
      <c r="F3270" s="20"/>
      <c r="G3270" s="20"/>
      <c r="H3270" s="20"/>
      <c r="I3270" s="20"/>
      <c r="J3270" s="20"/>
      <c r="K3270" s="20"/>
      <c r="L3270" s="20"/>
      <c r="M3270" s="20"/>
      <c r="N3270" s="20"/>
      <c r="O3270" s="20"/>
      <c r="P3270" s="20"/>
      <c r="Q3270" s="20"/>
      <c r="R3270" s="20"/>
      <c r="S3270" s="20"/>
      <c r="T3270" s="20"/>
      <c r="U3270" s="20"/>
      <c r="V3270" s="20"/>
      <c r="W3270" s="20"/>
      <c r="X3270" s="20"/>
      <c r="Y3270" s="20"/>
      <c r="Z3270" s="20"/>
      <c r="AA3270" s="20"/>
      <c r="AB3270" s="20"/>
      <c r="AC3270" s="20"/>
      <c r="AD3270" s="20"/>
      <c r="AE3270" s="20"/>
      <c r="AF3270" s="20"/>
      <c r="AG3270" s="20"/>
      <c r="AH3270" s="20"/>
      <c r="AI3270" s="20"/>
      <c r="AJ3270" s="20"/>
      <c r="AK3270" s="20"/>
      <c r="AL3270" s="20"/>
      <c r="AM3270" s="20"/>
      <c r="AN3270" s="20"/>
    </row>
    <row r="3271" s="18" customFormat="1" ht="14.100000000000001" customHeight="1">
      <c r="A3271" s="20"/>
      <c r="B3271" s="20" t="s">
        <v>6685</v>
      </c>
      <c r="C3271" s="20" t="s">
        <v>6686</v>
      </c>
      <c r="D3271" s="20" t="s">
        <v>6685</v>
      </c>
      <c r="E3271" s="20" t="e">
        <f t="array" ref="E3271">INDEX(C:C,SMALL(IF(ISNUMBER(FIND(CELL("contents"),$C$2:$C$4852)),ROW($C$2:$C$4852),4^8),ROW(C3271)))&amp;""</f>
        <v>#N/A</v>
      </c>
      <c r="F3271" s="20"/>
      <c r="G3271" s="20"/>
      <c r="H3271" s="20"/>
      <c r="I3271" s="20"/>
      <c r="J3271" s="20"/>
      <c r="K3271" s="20"/>
      <c r="L3271" s="20"/>
      <c r="M3271" s="20"/>
      <c r="N3271" s="20"/>
      <c r="O3271" s="20"/>
      <c r="P3271" s="20"/>
      <c r="Q3271" s="20"/>
      <c r="R3271" s="20"/>
      <c r="S3271" s="20"/>
      <c r="T3271" s="20"/>
      <c r="U3271" s="20"/>
      <c r="V3271" s="20"/>
      <c r="W3271" s="20"/>
      <c r="X3271" s="20"/>
      <c r="Y3271" s="20"/>
      <c r="Z3271" s="20"/>
      <c r="AA3271" s="20"/>
      <c r="AB3271" s="20"/>
      <c r="AC3271" s="20"/>
      <c r="AD3271" s="20"/>
      <c r="AE3271" s="20"/>
      <c r="AF3271" s="20"/>
      <c r="AG3271" s="20"/>
      <c r="AH3271" s="20"/>
      <c r="AI3271" s="20"/>
      <c r="AJ3271" s="20"/>
      <c r="AK3271" s="20"/>
      <c r="AL3271" s="20"/>
      <c r="AM3271" s="20"/>
      <c r="AN3271" s="20"/>
    </row>
    <row r="3272" s="18" customFormat="1" ht="14.100000000000001" customHeight="1">
      <c r="A3272" s="20"/>
      <c r="B3272" s="20" t="s">
        <v>6687</v>
      </c>
      <c r="C3272" s="20" t="s">
        <v>6688</v>
      </c>
      <c r="D3272" s="20" t="s">
        <v>6687</v>
      </c>
      <c r="E3272" s="20" t="e">
        <f t="array" ref="E3272">INDEX(C:C,SMALL(IF(ISNUMBER(FIND(CELL("contents"),$C$2:$C$4852)),ROW($C$2:$C$4852),4^8),ROW(C3272)))&amp;""</f>
        <v>#N/A</v>
      </c>
      <c r="F3272" s="20"/>
      <c r="G3272" s="20"/>
      <c r="H3272" s="20"/>
      <c r="I3272" s="20"/>
      <c r="J3272" s="20"/>
      <c r="K3272" s="20"/>
      <c r="L3272" s="20"/>
      <c r="M3272" s="20"/>
      <c r="N3272" s="20"/>
      <c r="O3272" s="20"/>
      <c r="P3272" s="20"/>
      <c r="Q3272" s="20"/>
      <c r="R3272" s="20"/>
      <c r="S3272" s="20"/>
      <c r="T3272" s="20"/>
      <c r="U3272" s="20"/>
      <c r="V3272" s="20"/>
      <c r="W3272" s="20"/>
      <c r="X3272" s="20"/>
      <c r="Y3272" s="20"/>
      <c r="Z3272" s="20"/>
      <c r="AA3272" s="20"/>
      <c r="AB3272" s="20"/>
      <c r="AC3272" s="20"/>
      <c r="AD3272" s="20"/>
      <c r="AE3272" s="20"/>
      <c r="AF3272" s="20"/>
      <c r="AG3272" s="20"/>
      <c r="AH3272" s="20"/>
      <c r="AI3272" s="20"/>
      <c r="AJ3272" s="20"/>
      <c r="AK3272" s="20"/>
      <c r="AL3272" s="20"/>
      <c r="AM3272" s="20"/>
      <c r="AN3272" s="20"/>
    </row>
    <row r="3273" s="18" customFormat="1" ht="14.100000000000001" customHeight="1">
      <c r="A3273" s="20"/>
      <c r="B3273" s="20" t="s">
        <v>6689</v>
      </c>
      <c r="C3273" s="20" t="s">
        <v>6690</v>
      </c>
      <c r="D3273" s="20" t="s">
        <v>6689</v>
      </c>
      <c r="E3273" s="20" t="e">
        <f t="array" ref="E3273">INDEX(C:C,SMALL(IF(ISNUMBER(FIND(CELL("contents"),$C$2:$C$4852)),ROW($C$2:$C$4852),4^8),ROW(C3273)))&amp;""</f>
        <v>#N/A</v>
      </c>
      <c r="F3273" s="20"/>
      <c r="G3273" s="20"/>
      <c r="H3273" s="20"/>
      <c r="I3273" s="20"/>
      <c r="J3273" s="20"/>
      <c r="K3273" s="20"/>
      <c r="L3273" s="20"/>
      <c r="M3273" s="20"/>
      <c r="N3273" s="20"/>
      <c r="O3273" s="20"/>
      <c r="P3273" s="20"/>
      <c r="Q3273" s="20"/>
      <c r="R3273" s="20"/>
      <c r="S3273" s="20"/>
      <c r="T3273" s="20"/>
      <c r="U3273" s="20"/>
      <c r="V3273" s="20"/>
      <c r="W3273" s="20"/>
      <c r="X3273" s="20"/>
      <c r="Y3273" s="20"/>
      <c r="Z3273" s="20"/>
      <c r="AA3273" s="20"/>
      <c r="AB3273" s="20"/>
      <c r="AC3273" s="20"/>
      <c r="AD3273" s="20"/>
      <c r="AE3273" s="20"/>
      <c r="AF3273" s="20"/>
      <c r="AG3273" s="20"/>
      <c r="AH3273" s="20"/>
      <c r="AI3273" s="20"/>
      <c r="AJ3273" s="20"/>
      <c r="AK3273" s="20"/>
      <c r="AL3273" s="20"/>
      <c r="AM3273" s="20"/>
      <c r="AN3273" s="20"/>
    </row>
    <row r="3274" s="18" customFormat="1" ht="14.100000000000001" customHeight="1">
      <c r="A3274" s="20"/>
      <c r="B3274" s="20" t="s">
        <v>6691</v>
      </c>
      <c r="C3274" s="20" t="s">
        <v>6692</v>
      </c>
      <c r="D3274" s="20" t="s">
        <v>6691</v>
      </c>
      <c r="E3274" s="20" t="e">
        <f t="array" ref="E3274">INDEX(C:C,SMALL(IF(ISNUMBER(FIND(CELL("contents"),$C$2:$C$4852)),ROW($C$2:$C$4852),4^8),ROW(C3274)))&amp;""</f>
        <v>#N/A</v>
      </c>
      <c r="F3274" s="20"/>
      <c r="G3274" s="20"/>
      <c r="H3274" s="20"/>
      <c r="I3274" s="20"/>
      <c r="J3274" s="20"/>
      <c r="K3274" s="20"/>
      <c r="L3274" s="20"/>
      <c r="M3274" s="20"/>
      <c r="N3274" s="20"/>
      <c r="O3274" s="20"/>
      <c r="P3274" s="20"/>
      <c r="Q3274" s="20"/>
      <c r="R3274" s="20"/>
      <c r="S3274" s="20"/>
      <c r="T3274" s="20"/>
      <c r="U3274" s="20"/>
      <c r="V3274" s="20"/>
      <c r="W3274" s="20"/>
      <c r="X3274" s="20"/>
      <c r="Y3274" s="20"/>
      <c r="Z3274" s="20"/>
      <c r="AA3274" s="20"/>
      <c r="AB3274" s="20"/>
      <c r="AC3274" s="20"/>
      <c r="AD3274" s="20"/>
      <c r="AE3274" s="20"/>
      <c r="AF3274" s="20"/>
      <c r="AG3274" s="20"/>
      <c r="AH3274" s="20"/>
      <c r="AI3274" s="20"/>
      <c r="AJ3274" s="20"/>
      <c r="AK3274" s="20"/>
      <c r="AL3274" s="20"/>
      <c r="AM3274" s="20"/>
      <c r="AN3274" s="20"/>
    </row>
    <row r="3275" s="18" customFormat="1" ht="14.100000000000001" customHeight="1">
      <c r="A3275" s="20"/>
      <c r="B3275" s="20" t="s">
        <v>6693</v>
      </c>
      <c r="C3275" s="20" t="s">
        <v>6694</v>
      </c>
      <c r="D3275" s="20" t="s">
        <v>6693</v>
      </c>
      <c r="E3275" s="20" t="e">
        <f t="array" ref="E3275">INDEX(C:C,SMALL(IF(ISNUMBER(FIND(CELL("contents"),$C$2:$C$4852)),ROW($C$2:$C$4852),4^8),ROW(C3275)))&amp;""</f>
        <v>#N/A</v>
      </c>
      <c r="F3275" s="20"/>
      <c r="G3275" s="20"/>
      <c r="H3275" s="20"/>
      <c r="I3275" s="20"/>
      <c r="J3275" s="20"/>
      <c r="K3275" s="20"/>
      <c r="L3275" s="20"/>
      <c r="M3275" s="20"/>
      <c r="N3275" s="20"/>
      <c r="O3275" s="20"/>
      <c r="P3275" s="20"/>
      <c r="Q3275" s="20"/>
      <c r="R3275" s="20"/>
      <c r="S3275" s="20"/>
      <c r="T3275" s="20"/>
      <c r="U3275" s="20"/>
      <c r="V3275" s="20"/>
      <c r="W3275" s="20"/>
      <c r="X3275" s="20"/>
      <c r="Y3275" s="20"/>
      <c r="Z3275" s="20"/>
      <c r="AA3275" s="20"/>
      <c r="AB3275" s="20"/>
      <c r="AC3275" s="20"/>
      <c r="AD3275" s="20"/>
      <c r="AE3275" s="20"/>
      <c r="AF3275" s="20"/>
      <c r="AG3275" s="20"/>
      <c r="AH3275" s="20"/>
      <c r="AI3275" s="20"/>
      <c r="AJ3275" s="20"/>
      <c r="AK3275" s="20"/>
      <c r="AL3275" s="20"/>
      <c r="AM3275" s="20"/>
      <c r="AN3275" s="20"/>
    </row>
    <row r="3276" s="18" customFormat="1" ht="14.100000000000001" customHeight="1">
      <c r="A3276" s="20"/>
      <c r="B3276" s="20" t="s">
        <v>6695</v>
      </c>
      <c r="C3276" s="20" t="s">
        <v>6696</v>
      </c>
      <c r="D3276" s="20" t="s">
        <v>6695</v>
      </c>
      <c r="E3276" s="20" t="e">
        <f t="array" ref="E3276">INDEX(C:C,SMALL(IF(ISNUMBER(FIND(CELL("contents"),$C$2:$C$4852)),ROW($C$2:$C$4852),4^8),ROW(C3276)))&amp;""</f>
        <v>#N/A</v>
      </c>
      <c r="F3276" s="20"/>
      <c r="G3276" s="20"/>
      <c r="H3276" s="20"/>
      <c r="I3276" s="20"/>
      <c r="J3276" s="20"/>
      <c r="K3276" s="20"/>
      <c r="L3276" s="20"/>
      <c r="M3276" s="20"/>
      <c r="N3276" s="20"/>
      <c r="O3276" s="20"/>
      <c r="P3276" s="20"/>
      <c r="Q3276" s="20"/>
      <c r="R3276" s="20"/>
      <c r="S3276" s="20"/>
      <c r="T3276" s="20"/>
      <c r="U3276" s="20"/>
      <c r="V3276" s="20"/>
      <c r="W3276" s="20"/>
      <c r="X3276" s="20"/>
      <c r="Y3276" s="20"/>
      <c r="Z3276" s="20"/>
      <c r="AA3276" s="20"/>
      <c r="AB3276" s="20"/>
      <c r="AC3276" s="20"/>
      <c r="AD3276" s="20"/>
      <c r="AE3276" s="20"/>
      <c r="AF3276" s="20"/>
      <c r="AG3276" s="20"/>
      <c r="AH3276" s="20"/>
      <c r="AI3276" s="20"/>
      <c r="AJ3276" s="20"/>
      <c r="AK3276" s="20"/>
      <c r="AL3276" s="20"/>
      <c r="AM3276" s="20"/>
      <c r="AN3276" s="20"/>
    </row>
    <row r="3277" s="18" customFormat="1" ht="14.100000000000001" customHeight="1">
      <c r="A3277" s="20"/>
      <c r="B3277" s="20" t="s">
        <v>6697</v>
      </c>
      <c r="C3277" s="20" t="s">
        <v>6698</v>
      </c>
      <c r="D3277" s="20" t="s">
        <v>6697</v>
      </c>
      <c r="E3277" s="20" t="e">
        <f t="array" ref="E3277">INDEX(C:C,SMALL(IF(ISNUMBER(FIND(CELL("contents"),$C$2:$C$4852)),ROW($C$2:$C$4852),4^8),ROW(C3277)))&amp;""</f>
        <v>#N/A</v>
      </c>
      <c r="F3277" s="20"/>
      <c r="G3277" s="20"/>
      <c r="H3277" s="20"/>
      <c r="I3277" s="20"/>
      <c r="J3277" s="20"/>
      <c r="K3277" s="20"/>
      <c r="L3277" s="20"/>
      <c r="M3277" s="20"/>
      <c r="N3277" s="20"/>
      <c r="O3277" s="20"/>
      <c r="P3277" s="20"/>
      <c r="Q3277" s="20"/>
      <c r="R3277" s="20"/>
      <c r="S3277" s="20"/>
      <c r="T3277" s="20"/>
      <c r="U3277" s="20"/>
      <c r="V3277" s="20"/>
      <c r="W3277" s="20"/>
      <c r="X3277" s="20"/>
      <c r="Y3277" s="20"/>
      <c r="Z3277" s="20"/>
      <c r="AA3277" s="20"/>
      <c r="AB3277" s="20"/>
      <c r="AC3277" s="20"/>
      <c r="AD3277" s="20"/>
      <c r="AE3277" s="20"/>
      <c r="AF3277" s="20"/>
      <c r="AG3277" s="20"/>
      <c r="AH3277" s="20"/>
      <c r="AI3277" s="20"/>
      <c r="AJ3277" s="20"/>
      <c r="AK3277" s="20"/>
      <c r="AL3277" s="20"/>
      <c r="AM3277" s="20"/>
      <c r="AN3277" s="20"/>
    </row>
    <row r="3278" s="18" customFormat="1" ht="14.100000000000001" customHeight="1">
      <c r="A3278" s="20"/>
      <c r="B3278" s="20" t="s">
        <v>6699</v>
      </c>
      <c r="C3278" s="20" t="s">
        <v>6700</v>
      </c>
      <c r="D3278" s="20" t="s">
        <v>6699</v>
      </c>
      <c r="E3278" s="20" t="e">
        <f t="array" ref="E3278">INDEX(C:C,SMALL(IF(ISNUMBER(FIND(CELL("contents"),$C$2:$C$4852)),ROW($C$2:$C$4852),4^8),ROW(C3278)))&amp;""</f>
        <v>#N/A</v>
      </c>
      <c r="F3278" s="20"/>
      <c r="G3278" s="20"/>
      <c r="H3278" s="20"/>
      <c r="I3278" s="20"/>
      <c r="J3278" s="20"/>
      <c r="K3278" s="20"/>
      <c r="L3278" s="20"/>
      <c r="M3278" s="20"/>
      <c r="N3278" s="20"/>
      <c r="O3278" s="20"/>
      <c r="P3278" s="20"/>
      <c r="Q3278" s="20"/>
      <c r="R3278" s="20"/>
      <c r="S3278" s="20"/>
      <c r="T3278" s="20"/>
      <c r="U3278" s="20"/>
      <c r="V3278" s="20"/>
      <c r="W3278" s="20"/>
      <c r="X3278" s="20"/>
      <c r="Y3278" s="20"/>
      <c r="Z3278" s="20"/>
      <c r="AA3278" s="20"/>
      <c r="AB3278" s="20"/>
      <c r="AC3278" s="20"/>
      <c r="AD3278" s="20"/>
      <c r="AE3278" s="20"/>
      <c r="AF3278" s="20"/>
      <c r="AG3278" s="20"/>
      <c r="AH3278" s="20"/>
      <c r="AI3278" s="20"/>
      <c r="AJ3278" s="20"/>
      <c r="AK3278" s="20"/>
      <c r="AL3278" s="20"/>
      <c r="AM3278" s="20"/>
      <c r="AN3278" s="20"/>
    </row>
    <row r="3279" s="18" customFormat="1" ht="14.100000000000001" customHeight="1">
      <c r="A3279" s="20"/>
      <c r="B3279" s="20" t="s">
        <v>6701</v>
      </c>
      <c r="C3279" s="20" t="s">
        <v>6702</v>
      </c>
      <c r="D3279" s="20" t="s">
        <v>6701</v>
      </c>
      <c r="E3279" s="20" t="e">
        <f t="array" ref="E3279">INDEX(C:C,SMALL(IF(ISNUMBER(FIND(CELL("contents"),$C$2:$C$4852)),ROW($C$2:$C$4852),4^8),ROW(C3279)))&amp;""</f>
        <v>#N/A</v>
      </c>
      <c r="F3279" s="20"/>
      <c r="G3279" s="20"/>
      <c r="H3279" s="20"/>
      <c r="I3279" s="20"/>
      <c r="J3279" s="20"/>
      <c r="K3279" s="20"/>
      <c r="L3279" s="20"/>
      <c r="M3279" s="20"/>
      <c r="N3279" s="20"/>
      <c r="O3279" s="20"/>
      <c r="P3279" s="20"/>
      <c r="Q3279" s="20"/>
      <c r="R3279" s="20"/>
      <c r="S3279" s="20"/>
      <c r="T3279" s="20"/>
      <c r="U3279" s="20"/>
      <c r="V3279" s="20"/>
      <c r="W3279" s="20"/>
      <c r="X3279" s="20"/>
      <c r="Y3279" s="20"/>
      <c r="Z3279" s="20"/>
      <c r="AA3279" s="20"/>
      <c r="AB3279" s="20"/>
      <c r="AC3279" s="20"/>
      <c r="AD3279" s="20"/>
      <c r="AE3279" s="20"/>
      <c r="AF3279" s="20"/>
      <c r="AG3279" s="20"/>
      <c r="AH3279" s="20"/>
      <c r="AI3279" s="20"/>
      <c r="AJ3279" s="20"/>
      <c r="AK3279" s="20"/>
      <c r="AL3279" s="20"/>
      <c r="AM3279" s="20"/>
      <c r="AN3279" s="20"/>
    </row>
    <row r="3280" s="18" customFormat="1" ht="14.100000000000001" customHeight="1">
      <c r="A3280" s="20"/>
      <c r="B3280" s="20" t="s">
        <v>6703</v>
      </c>
      <c r="C3280" s="20" t="s">
        <v>6704</v>
      </c>
      <c r="D3280" s="20" t="s">
        <v>6703</v>
      </c>
      <c r="E3280" s="20" t="e">
        <f t="array" ref="E3280">INDEX(C:C,SMALL(IF(ISNUMBER(FIND(CELL("contents"),$C$2:$C$4852)),ROW($C$2:$C$4852),4^8),ROW(C3280)))&amp;""</f>
        <v>#N/A</v>
      </c>
      <c r="F3280" s="20"/>
      <c r="G3280" s="20"/>
      <c r="H3280" s="20"/>
      <c r="I3280" s="20"/>
      <c r="J3280" s="20"/>
      <c r="K3280" s="20"/>
      <c r="L3280" s="20"/>
      <c r="M3280" s="20"/>
      <c r="N3280" s="20"/>
      <c r="O3280" s="20"/>
      <c r="P3280" s="20"/>
      <c r="Q3280" s="20"/>
      <c r="R3280" s="20"/>
      <c r="S3280" s="20"/>
      <c r="T3280" s="20"/>
      <c r="U3280" s="20"/>
      <c r="V3280" s="20"/>
      <c r="W3280" s="20"/>
      <c r="X3280" s="20"/>
      <c r="Y3280" s="20"/>
      <c r="Z3280" s="20"/>
      <c r="AA3280" s="20"/>
      <c r="AB3280" s="20"/>
      <c r="AC3280" s="20"/>
      <c r="AD3280" s="20"/>
      <c r="AE3280" s="20"/>
      <c r="AF3280" s="20"/>
      <c r="AG3280" s="20"/>
      <c r="AH3280" s="20"/>
      <c r="AI3280" s="20"/>
      <c r="AJ3280" s="20"/>
      <c r="AK3280" s="20"/>
      <c r="AL3280" s="20"/>
      <c r="AM3280" s="20"/>
      <c r="AN3280" s="20"/>
    </row>
    <row r="3281" s="18" customFormat="1" ht="14.100000000000001" customHeight="1">
      <c r="A3281" s="20"/>
      <c r="B3281" s="20" t="s">
        <v>6705</v>
      </c>
      <c r="C3281" s="20" t="s">
        <v>6706</v>
      </c>
      <c r="D3281" s="20" t="s">
        <v>6705</v>
      </c>
      <c r="E3281" s="20" t="e">
        <f t="array" ref="E3281">INDEX(C:C,SMALL(IF(ISNUMBER(FIND(CELL("contents"),$C$2:$C$4852)),ROW($C$2:$C$4852),4^8),ROW(C3281)))&amp;""</f>
        <v>#N/A</v>
      </c>
      <c r="F3281" s="20"/>
      <c r="G3281" s="20"/>
      <c r="H3281" s="20"/>
      <c r="I3281" s="20"/>
      <c r="J3281" s="20"/>
      <c r="K3281" s="20"/>
      <c r="L3281" s="20"/>
      <c r="M3281" s="20"/>
      <c r="N3281" s="20"/>
      <c r="O3281" s="20"/>
      <c r="P3281" s="20"/>
      <c r="Q3281" s="20"/>
      <c r="R3281" s="20"/>
      <c r="S3281" s="20"/>
      <c r="T3281" s="20"/>
      <c r="U3281" s="20"/>
      <c r="V3281" s="20"/>
      <c r="W3281" s="20"/>
      <c r="X3281" s="20"/>
      <c r="Y3281" s="20"/>
      <c r="Z3281" s="20"/>
      <c r="AA3281" s="20"/>
      <c r="AB3281" s="20"/>
      <c r="AC3281" s="20"/>
      <c r="AD3281" s="20"/>
      <c r="AE3281" s="20"/>
      <c r="AF3281" s="20"/>
      <c r="AG3281" s="20"/>
      <c r="AH3281" s="20"/>
      <c r="AI3281" s="20"/>
      <c r="AJ3281" s="20"/>
      <c r="AK3281" s="20"/>
      <c r="AL3281" s="20"/>
      <c r="AM3281" s="20"/>
      <c r="AN3281" s="20"/>
    </row>
    <row r="3282" s="18" customFormat="1" ht="14.100000000000001" customHeight="1">
      <c r="A3282" s="20"/>
      <c r="B3282" s="20" t="s">
        <v>6707</v>
      </c>
      <c r="C3282" s="20" t="s">
        <v>6708</v>
      </c>
      <c r="D3282" s="20" t="s">
        <v>6707</v>
      </c>
      <c r="E3282" s="20" t="e">
        <f t="array" ref="E3282">INDEX(C:C,SMALL(IF(ISNUMBER(FIND(CELL("contents"),$C$2:$C$4852)),ROW($C$2:$C$4852),4^8),ROW(C3282)))&amp;""</f>
        <v>#N/A</v>
      </c>
      <c r="F3282" s="20"/>
      <c r="G3282" s="20"/>
      <c r="H3282" s="20"/>
      <c r="I3282" s="20"/>
      <c r="J3282" s="20"/>
      <c r="K3282" s="20"/>
      <c r="L3282" s="20"/>
      <c r="M3282" s="20"/>
      <c r="N3282" s="20"/>
      <c r="O3282" s="20"/>
      <c r="P3282" s="20"/>
      <c r="Q3282" s="20"/>
      <c r="R3282" s="20"/>
      <c r="S3282" s="20"/>
      <c r="T3282" s="20"/>
      <c r="U3282" s="20"/>
      <c r="V3282" s="20"/>
      <c r="W3282" s="20"/>
      <c r="X3282" s="20"/>
      <c r="Y3282" s="20"/>
      <c r="Z3282" s="20"/>
      <c r="AA3282" s="20"/>
      <c r="AB3282" s="20"/>
      <c r="AC3282" s="20"/>
      <c r="AD3282" s="20"/>
      <c r="AE3282" s="20"/>
      <c r="AF3282" s="20"/>
      <c r="AG3282" s="20"/>
      <c r="AH3282" s="20"/>
      <c r="AI3282" s="20"/>
      <c r="AJ3282" s="20"/>
      <c r="AK3282" s="20"/>
      <c r="AL3282" s="20"/>
      <c r="AM3282" s="20"/>
      <c r="AN3282" s="20"/>
    </row>
    <row r="3283" s="18" customFormat="1" ht="14.100000000000001" customHeight="1">
      <c r="A3283" s="20"/>
      <c r="B3283" s="20" t="s">
        <v>6709</v>
      </c>
      <c r="C3283" s="20" t="s">
        <v>6710</v>
      </c>
      <c r="D3283" s="20" t="s">
        <v>6709</v>
      </c>
      <c r="E3283" s="20" t="e">
        <f t="array" ref="E3283">INDEX(C:C,SMALL(IF(ISNUMBER(FIND(CELL("contents"),$C$2:$C$4852)),ROW($C$2:$C$4852),4^8),ROW(C3283)))&amp;""</f>
        <v>#N/A</v>
      </c>
      <c r="F3283" s="20"/>
      <c r="G3283" s="20"/>
      <c r="H3283" s="20"/>
      <c r="I3283" s="20"/>
      <c r="J3283" s="20"/>
      <c r="K3283" s="20"/>
      <c r="L3283" s="20"/>
      <c r="M3283" s="20"/>
      <c r="N3283" s="20"/>
      <c r="O3283" s="20"/>
      <c r="P3283" s="20"/>
      <c r="Q3283" s="20"/>
      <c r="R3283" s="20"/>
      <c r="S3283" s="20"/>
      <c r="T3283" s="20"/>
      <c r="U3283" s="20"/>
      <c r="V3283" s="20"/>
      <c r="W3283" s="20"/>
      <c r="X3283" s="20"/>
      <c r="Y3283" s="20"/>
      <c r="Z3283" s="20"/>
      <c r="AA3283" s="20"/>
      <c r="AB3283" s="20"/>
      <c r="AC3283" s="20"/>
      <c r="AD3283" s="20"/>
      <c r="AE3283" s="20"/>
      <c r="AF3283" s="20"/>
      <c r="AG3283" s="20"/>
      <c r="AH3283" s="20"/>
      <c r="AI3283" s="20"/>
      <c r="AJ3283" s="20"/>
      <c r="AK3283" s="20"/>
      <c r="AL3283" s="20"/>
      <c r="AM3283" s="20"/>
      <c r="AN3283" s="20"/>
    </row>
    <row r="3284" s="18" customFormat="1" ht="14.100000000000001" customHeight="1">
      <c r="A3284" s="20"/>
      <c r="B3284" s="20" t="s">
        <v>6711</v>
      </c>
      <c r="C3284" s="20" t="s">
        <v>6712</v>
      </c>
      <c r="D3284" s="20" t="s">
        <v>6711</v>
      </c>
      <c r="E3284" s="20" t="e">
        <f t="array" ref="E3284">INDEX(C:C,SMALL(IF(ISNUMBER(FIND(CELL("contents"),$C$2:$C$4852)),ROW($C$2:$C$4852),4^8),ROW(C3284)))&amp;""</f>
        <v>#N/A</v>
      </c>
      <c r="F3284" s="20"/>
      <c r="G3284" s="20"/>
      <c r="H3284" s="20"/>
      <c r="I3284" s="20"/>
      <c r="J3284" s="20"/>
      <c r="K3284" s="20"/>
      <c r="L3284" s="20"/>
      <c r="M3284" s="20"/>
      <c r="N3284" s="20"/>
      <c r="O3284" s="20"/>
      <c r="P3284" s="20"/>
      <c r="Q3284" s="20"/>
      <c r="R3284" s="20"/>
      <c r="S3284" s="20"/>
      <c r="T3284" s="20"/>
      <c r="U3284" s="20"/>
      <c r="V3284" s="20"/>
      <c r="W3284" s="20"/>
      <c r="X3284" s="20"/>
      <c r="Y3284" s="20"/>
      <c r="Z3284" s="20"/>
      <c r="AA3284" s="20"/>
      <c r="AB3284" s="20"/>
      <c r="AC3284" s="20"/>
      <c r="AD3284" s="20"/>
      <c r="AE3284" s="20"/>
      <c r="AF3284" s="20"/>
      <c r="AG3284" s="20"/>
      <c r="AH3284" s="20"/>
      <c r="AI3284" s="20"/>
      <c r="AJ3284" s="20"/>
      <c r="AK3284" s="20"/>
      <c r="AL3284" s="20"/>
      <c r="AM3284" s="20"/>
      <c r="AN3284" s="20"/>
    </row>
    <row r="3285" s="18" customFormat="1" ht="14.100000000000001" customHeight="1">
      <c r="A3285" s="20"/>
      <c r="B3285" s="20" t="s">
        <v>6713</v>
      </c>
      <c r="C3285" s="20" t="s">
        <v>6714</v>
      </c>
      <c r="D3285" s="20" t="s">
        <v>6713</v>
      </c>
      <c r="E3285" s="20" t="e">
        <f t="array" ref="E3285">INDEX(C:C,SMALL(IF(ISNUMBER(FIND(CELL("contents"),$C$2:$C$4852)),ROW($C$2:$C$4852),4^8),ROW(C3285)))&amp;""</f>
        <v>#N/A</v>
      </c>
      <c r="F3285" s="20"/>
      <c r="G3285" s="20"/>
      <c r="H3285" s="20"/>
      <c r="I3285" s="20"/>
      <c r="J3285" s="20"/>
      <c r="K3285" s="20"/>
      <c r="L3285" s="20"/>
      <c r="M3285" s="20"/>
      <c r="N3285" s="20"/>
      <c r="O3285" s="20"/>
      <c r="P3285" s="20"/>
      <c r="Q3285" s="20"/>
      <c r="R3285" s="20"/>
      <c r="S3285" s="20"/>
      <c r="T3285" s="20"/>
      <c r="U3285" s="20"/>
      <c r="V3285" s="20"/>
      <c r="W3285" s="20"/>
      <c r="X3285" s="20"/>
      <c r="Y3285" s="20"/>
      <c r="Z3285" s="20"/>
      <c r="AA3285" s="20"/>
      <c r="AB3285" s="20"/>
      <c r="AC3285" s="20"/>
      <c r="AD3285" s="20"/>
      <c r="AE3285" s="20"/>
      <c r="AF3285" s="20"/>
      <c r="AG3285" s="20"/>
      <c r="AH3285" s="20"/>
      <c r="AI3285" s="20"/>
      <c r="AJ3285" s="20"/>
      <c r="AK3285" s="20"/>
      <c r="AL3285" s="20"/>
      <c r="AM3285" s="20"/>
      <c r="AN3285" s="20"/>
    </row>
    <row r="3286" s="18" customFormat="1" ht="14.100000000000001" customHeight="1">
      <c r="A3286" s="20"/>
      <c r="B3286" s="20" t="s">
        <v>6715</v>
      </c>
      <c r="C3286" s="20" t="s">
        <v>6716</v>
      </c>
      <c r="D3286" s="20" t="s">
        <v>6715</v>
      </c>
      <c r="E3286" s="20" t="e">
        <f t="array" ref="E3286">INDEX(C:C,SMALL(IF(ISNUMBER(FIND(CELL("contents"),$C$2:$C$4852)),ROW($C$2:$C$4852),4^8),ROW(C3286)))&amp;""</f>
        <v>#N/A</v>
      </c>
      <c r="F3286" s="20"/>
      <c r="G3286" s="20"/>
      <c r="H3286" s="20"/>
      <c r="I3286" s="20"/>
      <c r="J3286" s="20"/>
      <c r="K3286" s="20"/>
      <c r="L3286" s="20"/>
      <c r="M3286" s="20"/>
      <c r="N3286" s="20"/>
      <c r="O3286" s="20"/>
      <c r="P3286" s="20"/>
      <c r="Q3286" s="20"/>
      <c r="R3286" s="20"/>
      <c r="S3286" s="20"/>
      <c r="T3286" s="20"/>
      <c r="U3286" s="20"/>
      <c r="V3286" s="20"/>
      <c r="W3286" s="20"/>
      <c r="X3286" s="20"/>
      <c r="Y3286" s="20"/>
      <c r="Z3286" s="20"/>
      <c r="AA3286" s="20"/>
      <c r="AB3286" s="20"/>
      <c r="AC3286" s="20"/>
      <c r="AD3286" s="20"/>
      <c r="AE3286" s="20"/>
      <c r="AF3286" s="20"/>
      <c r="AG3286" s="20"/>
      <c r="AH3286" s="20"/>
      <c r="AI3286" s="20"/>
      <c r="AJ3286" s="20"/>
      <c r="AK3286" s="20"/>
      <c r="AL3286" s="20"/>
      <c r="AM3286" s="20"/>
      <c r="AN3286" s="20"/>
    </row>
    <row r="3287" s="18" customFormat="1" ht="14.100000000000001" customHeight="1">
      <c r="A3287" s="20"/>
      <c r="B3287" s="20" t="s">
        <v>6717</v>
      </c>
      <c r="C3287" s="20" t="s">
        <v>6718</v>
      </c>
      <c r="D3287" s="20" t="s">
        <v>6717</v>
      </c>
      <c r="E3287" s="20" t="e">
        <f t="array" ref="E3287">INDEX(C:C,SMALL(IF(ISNUMBER(FIND(CELL("contents"),$C$2:$C$4852)),ROW($C$2:$C$4852),4^8),ROW(C3287)))&amp;""</f>
        <v>#N/A</v>
      </c>
      <c r="F3287" s="20"/>
      <c r="G3287" s="20"/>
      <c r="H3287" s="20"/>
      <c r="I3287" s="20"/>
      <c r="J3287" s="20"/>
      <c r="K3287" s="20"/>
      <c r="L3287" s="20"/>
      <c r="M3287" s="20"/>
      <c r="N3287" s="20"/>
      <c r="O3287" s="20"/>
      <c r="P3287" s="20"/>
      <c r="Q3287" s="20"/>
      <c r="R3287" s="20"/>
      <c r="S3287" s="20"/>
      <c r="T3287" s="20"/>
      <c r="U3287" s="20"/>
      <c r="V3287" s="20"/>
      <c r="W3287" s="20"/>
      <c r="X3287" s="20"/>
      <c r="Y3287" s="20"/>
      <c r="Z3287" s="20"/>
      <c r="AA3287" s="20"/>
      <c r="AB3287" s="20"/>
      <c r="AC3287" s="20"/>
      <c r="AD3287" s="20"/>
      <c r="AE3287" s="20"/>
      <c r="AF3287" s="20"/>
      <c r="AG3287" s="20"/>
      <c r="AH3287" s="20"/>
      <c r="AI3287" s="20"/>
      <c r="AJ3287" s="20"/>
      <c r="AK3287" s="20"/>
      <c r="AL3287" s="20"/>
      <c r="AM3287" s="20"/>
      <c r="AN3287" s="20"/>
    </row>
    <row r="3288" s="18" customFormat="1" ht="14.100000000000001" customHeight="1">
      <c r="A3288" s="20"/>
      <c r="B3288" s="20" t="s">
        <v>6719</v>
      </c>
      <c r="C3288" s="20" t="s">
        <v>6720</v>
      </c>
      <c r="D3288" s="20" t="s">
        <v>6719</v>
      </c>
      <c r="E3288" s="20" t="e">
        <f t="array" ref="E3288">INDEX(C:C,SMALL(IF(ISNUMBER(FIND(CELL("contents"),$C$2:$C$4852)),ROW($C$2:$C$4852),4^8),ROW(C3288)))&amp;""</f>
        <v>#N/A</v>
      </c>
      <c r="F3288" s="20"/>
      <c r="G3288" s="20"/>
      <c r="H3288" s="20"/>
      <c r="I3288" s="20"/>
      <c r="J3288" s="20"/>
      <c r="K3288" s="20"/>
      <c r="L3288" s="20"/>
      <c r="M3288" s="20"/>
      <c r="N3288" s="20"/>
      <c r="O3288" s="20"/>
      <c r="P3288" s="20"/>
      <c r="Q3288" s="20"/>
      <c r="R3288" s="20"/>
      <c r="S3288" s="20"/>
      <c r="T3288" s="20"/>
      <c r="U3288" s="20"/>
      <c r="V3288" s="20"/>
      <c r="W3288" s="20"/>
      <c r="X3288" s="20"/>
      <c r="Y3288" s="20"/>
      <c r="Z3288" s="20"/>
      <c r="AA3288" s="20"/>
      <c r="AB3288" s="20"/>
      <c r="AC3288" s="20"/>
      <c r="AD3288" s="20"/>
      <c r="AE3288" s="20"/>
      <c r="AF3288" s="20"/>
      <c r="AG3288" s="20"/>
      <c r="AH3288" s="20"/>
      <c r="AI3288" s="20"/>
      <c r="AJ3288" s="20"/>
      <c r="AK3288" s="20"/>
      <c r="AL3288" s="20"/>
      <c r="AM3288" s="20"/>
      <c r="AN3288" s="20"/>
    </row>
    <row r="3289" s="18" customFormat="1" ht="14.100000000000001" customHeight="1">
      <c r="A3289" s="20"/>
      <c r="B3289" s="20" t="s">
        <v>6721</v>
      </c>
      <c r="C3289" s="20" t="s">
        <v>6722</v>
      </c>
      <c r="D3289" s="20" t="s">
        <v>6721</v>
      </c>
      <c r="E3289" s="20" t="e">
        <f t="array" ref="E3289">INDEX(C:C,SMALL(IF(ISNUMBER(FIND(CELL("contents"),$C$2:$C$4852)),ROW($C$2:$C$4852),4^8),ROW(C3289)))&amp;""</f>
        <v>#N/A</v>
      </c>
      <c r="F3289" s="20"/>
      <c r="G3289" s="20"/>
      <c r="H3289" s="20"/>
      <c r="I3289" s="20"/>
      <c r="J3289" s="20"/>
      <c r="K3289" s="20"/>
      <c r="L3289" s="20"/>
      <c r="M3289" s="20"/>
      <c r="N3289" s="20"/>
      <c r="O3289" s="20"/>
      <c r="P3289" s="20"/>
      <c r="Q3289" s="20"/>
      <c r="R3289" s="20"/>
      <c r="S3289" s="20"/>
      <c r="T3289" s="20"/>
      <c r="U3289" s="20"/>
      <c r="V3289" s="20"/>
      <c r="W3289" s="20"/>
      <c r="X3289" s="20"/>
      <c r="Y3289" s="20"/>
      <c r="Z3289" s="20"/>
      <c r="AA3289" s="20"/>
      <c r="AB3289" s="20"/>
      <c r="AC3289" s="20"/>
      <c r="AD3289" s="20"/>
      <c r="AE3289" s="20"/>
      <c r="AF3289" s="20"/>
      <c r="AG3289" s="20"/>
      <c r="AH3289" s="20"/>
      <c r="AI3289" s="20"/>
      <c r="AJ3289" s="20"/>
      <c r="AK3289" s="20"/>
      <c r="AL3289" s="20"/>
      <c r="AM3289" s="20"/>
      <c r="AN3289" s="20"/>
    </row>
    <row r="3290" s="18" customFormat="1" ht="14.100000000000001" customHeight="1">
      <c r="A3290" s="20"/>
      <c r="B3290" s="20" t="s">
        <v>6723</v>
      </c>
      <c r="C3290" s="20" t="s">
        <v>6724</v>
      </c>
      <c r="D3290" s="20" t="s">
        <v>6723</v>
      </c>
      <c r="E3290" s="20" t="e">
        <f t="array" ref="E3290">INDEX(C:C,SMALL(IF(ISNUMBER(FIND(CELL("contents"),$C$2:$C$4852)),ROW($C$2:$C$4852),4^8),ROW(C3290)))&amp;""</f>
        <v>#N/A</v>
      </c>
      <c r="F3290" s="20"/>
      <c r="G3290" s="20"/>
      <c r="H3290" s="20"/>
      <c r="I3290" s="20"/>
      <c r="J3290" s="20"/>
      <c r="K3290" s="20"/>
      <c r="L3290" s="20"/>
      <c r="M3290" s="20"/>
      <c r="N3290" s="20"/>
      <c r="O3290" s="20"/>
      <c r="P3290" s="20"/>
      <c r="Q3290" s="20"/>
      <c r="R3290" s="20"/>
      <c r="S3290" s="20"/>
      <c r="T3290" s="20"/>
      <c r="U3290" s="20"/>
      <c r="V3290" s="20"/>
      <c r="W3290" s="20"/>
      <c r="X3290" s="20"/>
      <c r="Y3290" s="20"/>
      <c r="Z3290" s="20"/>
      <c r="AA3290" s="20"/>
      <c r="AB3290" s="20"/>
      <c r="AC3290" s="20"/>
      <c r="AD3290" s="20"/>
      <c r="AE3290" s="20"/>
      <c r="AF3290" s="20"/>
      <c r="AG3290" s="20"/>
      <c r="AH3290" s="20"/>
      <c r="AI3290" s="20"/>
      <c r="AJ3290" s="20"/>
      <c r="AK3290" s="20"/>
      <c r="AL3290" s="20"/>
      <c r="AM3290" s="20"/>
      <c r="AN3290" s="20"/>
    </row>
    <row r="3291" s="18" customFormat="1" ht="14.100000000000001" customHeight="1">
      <c r="A3291" s="20"/>
      <c r="B3291" s="20" t="s">
        <v>6725</v>
      </c>
      <c r="C3291" s="20" t="s">
        <v>6726</v>
      </c>
      <c r="D3291" s="20" t="s">
        <v>6725</v>
      </c>
      <c r="E3291" s="20" t="e">
        <f t="array" ref="E3291">INDEX(C:C,SMALL(IF(ISNUMBER(FIND(CELL("contents"),$C$2:$C$4852)),ROW($C$2:$C$4852),4^8),ROW(C3291)))&amp;""</f>
        <v>#N/A</v>
      </c>
      <c r="F3291" s="20"/>
      <c r="G3291" s="20"/>
      <c r="H3291" s="20"/>
      <c r="I3291" s="20"/>
      <c r="J3291" s="20"/>
      <c r="K3291" s="20"/>
      <c r="L3291" s="20"/>
      <c r="M3291" s="20"/>
      <c r="N3291" s="20"/>
      <c r="O3291" s="20"/>
      <c r="P3291" s="20"/>
      <c r="Q3291" s="20"/>
      <c r="R3291" s="20"/>
      <c r="S3291" s="20"/>
      <c r="T3291" s="20"/>
      <c r="U3291" s="20"/>
      <c r="V3291" s="20"/>
      <c r="W3291" s="20"/>
      <c r="X3291" s="20"/>
      <c r="Y3291" s="20"/>
      <c r="Z3291" s="20"/>
      <c r="AA3291" s="20"/>
      <c r="AB3291" s="20"/>
      <c r="AC3291" s="20"/>
      <c r="AD3291" s="20"/>
      <c r="AE3291" s="20"/>
      <c r="AF3291" s="20"/>
      <c r="AG3291" s="20"/>
      <c r="AH3291" s="20"/>
      <c r="AI3291" s="20"/>
      <c r="AJ3291" s="20"/>
      <c r="AK3291" s="20"/>
      <c r="AL3291" s="20"/>
      <c r="AM3291" s="20"/>
      <c r="AN3291" s="20"/>
    </row>
    <row r="3292" s="18" customFormat="1" ht="14.100000000000001" customHeight="1">
      <c r="A3292" s="20"/>
      <c r="B3292" s="20" t="s">
        <v>6727</v>
      </c>
      <c r="C3292" s="20" t="s">
        <v>6728</v>
      </c>
      <c r="D3292" s="20" t="s">
        <v>6727</v>
      </c>
      <c r="E3292" s="20" t="e">
        <f t="array" ref="E3292">INDEX(C:C,SMALL(IF(ISNUMBER(FIND(CELL("contents"),$C$2:$C$4852)),ROW($C$2:$C$4852),4^8),ROW(C3292)))&amp;""</f>
        <v>#N/A</v>
      </c>
      <c r="F3292" s="20"/>
      <c r="G3292" s="20"/>
      <c r="H3292" s="20"/>
      <c r="I3292" s="20"/>
      <c r="J3292" s="20"/>
      <c r="K3292" s="20"/>
      <c r="L3292" s="20"/>
      <c r="M3292" s="20"/>
      <c r="N3292" s="20"/>
      <c r="O3292" s="20"/>
      <c r="P3292" s="20"/>
      <c r="Q3292" s="20"/>
      <c r="R3292" s="20"/>
      <c r="S3292" s="20"/>
      <c r="T3292" s="20"/>
      <c r="U3292" s="20"/>
      <c r="V3292" s="20"/>
      <c r="W3292" s="20"/>
      <c r="X3292" s="20"/>
      <c r="Y3292" s="20"/>
      <c r="Z3292" s="20"/>
      <c r="AA3292" s="20"/>
      <c r="AB3292" s="20"/>
      <c r="AC3292" s="20"/>
      <c r="AD3292" s="20"/>
      <c r="AE3292" s="20"/>
      <c r="AF3292" s="20"/>
      <c r="AG3292" s="20"/>
      <c r="AH3292" s="20"/>
      <c r="AI3292" s="20"/>
      <c r="AJ3292" s="20"/>
      <c r="AK3292" s="20"/>
      <c r="AL3292" s="20"/>
      <c r="AM3292" s="20"/>
      <c r="AN3292" s="20"/>
    </row>
    <row r="3293" s="18" customFormat="1" ht="14.100000000000001" customHeight="1">
      <c r="A3293" s="20"/>
      <c r="B3293" s="20" t="s">
        <v>6729</v>
      </c>
      <c r="C3293" s="20" t="s">
        <v>6730</v>
      </c>
      <c r="D3293" s="20" t="s">
        <v>6729</v>
      </c>
      <c r="E3293" s="20" t="e">
        <f t="array" ref="E3293">INDEX(C:C,SMALL(IF(ISNUMBER(FIND(CELL("contents"),$C$2:$C$4852)),ROW($C$2:$C$4852),4^8),ROW(C3293)))&amp;""</f>
        <v>#N/A</v>
      </c>
      <c r="F3293" s="20"/>
      <c r="G3293" s="20"/>
      <c r="H3293" s="20"/>
      <c r="I3293" s="20"/>
      <c r="J3293" s="20"/>
      <c r="K3293" s="20"/>
      <c r="L3293" s="20"/>
      <c r="M3293" s="20"/>
      <c r="N3293" s="20"/>
      <c r="O3293" s="20"/>
      <c r="P3293" s="20"/>
      <c r="Q3293" s="20"/>
      <c r="R3293" s="20"/>
      <c r="S3293" s="20"/>
      <c r="T3293" s="20"/>
      <c r="U3293" s="20"/>
      <c r="V3293" s="20"/>
      <c r="W3293" s="20"/>
      <c r="X3293" s="20"/>
      <c r="Y3293" s="20"/>
      <c r="Z3293" s="20"/>
      <c r="AA3293" s="20"/>
      <c r="AB3293" s="20"/>
      <c r="AC3293" s="20"/>
      <c r="AD3293" s="20"/>
      <c r="AE3293" s="20"/>
      <c r="AF3293" s="20"/>
      <c r="AG3293" s="20"/>
      <c r="AH3293" s="20"/>
      <c r="AI3293" s="20"/>
      <c r="AJ3293" s="20"/>
      <c r="AK3293" s="20"/>
      <c r="AL3293" s="20"/>
      <c r="AM3293" s="20"/>
      <c r="AN3293" s="20"/>
    </row>
    <row r="3294" s="18" customFormat="1" ht="14.100000000000001" customHeight="1">
      <c r="A3294" s="20"/>
      <c r="B3294" s="20" t="s">
        <v>6731</v>
      </c>
      <c r="C3294" s="20" t="s">
        <v>6732</v>
      </c>
      <c r="D3294" s="20" t="s">
        <v>6731</v>
      </c>
      <c r="E3294" s="20" t="e">
        <f t="array" ref="E3294">INDEX(C:C,SMALL(IF(ISNUMBER(FIND(CELL("contents"),$C$2:$C$4852)),ROW($C$2:$C$4852),4^8),ROW(C3294)))&amp;""</f>
        <v>#N/A</v>
      </c>
      <c r="F3294" s="20"/>
      <c r="G3294" s="20"/>
      <c r="H3294" s="20"/>
      <c r="I3294" s="20"/>
      <c r="J3294" s="20"/>
      <c r="K3294" s="20"/>
      <c r="L3294" s="20"/>
      <c r="M3294" s="20"/>
      <c r="N3294" s="20"/>
      <c r="O3294" s="20"/>
      <c r="P3294" s="20"/>
      <c r="Q3294" s="20"/>
      <c r="R3294" s="20"/>
      <c r="S3294" s="20"/>
      <c r="T3294" s="20"/>
      <c r="U3294" s="20"/>
      <c r="V3294" s="20"/>
      <c r="W3294" s="20"/>
      <c r="X3294" s="20"/>
      <c r="Y3294" s="20"/>
      <c r="Z3294" s="20"/>
      <c r="AA3294" s="20"/>
      <c r="AB3294" s="20"/>
      <c r="AC3294" s="20"/>
      <c r="AD3294" s="20"/>
      <c r="AE3294" s="20"/>
      <c r="AF3294" s="20"/>
      <c r="AG3294" s="20"/>
      <c r="AH3294" s="20"/>
      <c r="AI3294" s="20"/>
      <c r="AJ3294" s="20"/>
      <c r="AK3294" s="20"/>
      <c r="AL3294" s="20"/>
      <c r="AM3294" s="20"/>
      <c r="AN3294" s="20"/>
    </row>
    <row r="3295" s="18" customFormat="1" ht="14.100000000000001" customHeight="1">
      <c r="A3295" s="20"/>
      <c r="B3295" s="20" t="s">
        <v>6733</v>
      </c>
      <c r="C3295" s="20" t="s">
        <v>6734</v>
      </c>
      <c r="D3295" s="20" t="s">
        <v>6733</v>
      </c>
      <c r="E3295" s="20" t="e">
        <f t="array" ref="E3295">INDEX(C:C,SMALL(IF(ISNUMBER(FIND(CELL("contents"),$C$2:$C$4852)),ROW($C$2:$C$4852),4^8),ROW(C3295)))&amp;""</f>
        <v>#N/A</v>
      </c>
      <c r="F3295" s="20"/>
      <c r="G3295" s="20"/>
      <c r="H3295" s="20"/>
      <c r="I3295" s="20"/>
      <c r="J3295" s="20"/>
      <c r="K3295" s="20"/>
      <c r="L3295" s="20"/>
      <c r="M3295" s="20"/>
      <c r="N3295" s="20"/>
      <c r="O3295" s="20"/>
      <c r="P3295" s="20"/>
      <c r="Q3295" s="20"/>
      <c r="R3295" s="20"/>
      <c r="S3295" s="20"/>
      <c r="T3295" s="20"/>
      <c r="U3295" s="20"/>
      <c r="V3295" s="20"/>
      <c r="W3295" s="20"/>
      <c r="X3295" s="20"/>
      <c r="Y3295" s="20"/>
      <c r="Z3295" s="20"/>
      <c r="AA3295" s="20"/>
      <c r="AB3295" s="20"/>
      <c r="AC3295" s="20"/>
      <c r="AD3295" s="20"/>
      <c r="AE3295" s="20"/>
      <c r="AF3295" s="20"/>
      <c r="AG3295" s="20"/>
      <c r="AH3295" s="20"/>
      <c r="AI3295" s="20"/>
      <c r="AJ3295" s="20"/>
      <c r="AK3295" s="20"/>
      <c r="AL3295" s="20"/>
      <c r="AM3295" s="20"/>
      <c r="AN3295" s="20"/>
    </row>
    <row r="3296" s="18" customFormat="1" ht="14.100000000000001" customHeight="1">
      <c r="A3296" s="20"/>
      <c r="B3296" s="20" t="s">
        <v>6735</v>
      </c>
      <c r="C3296" s="20" t="s">
        <v>6736</v>
      </c>
      <c r="D3296" s="20" t="s">
        <v>6735</v>
      </c>
      <c r="E3296" s="20" t="e">
        <f t="array" ref="E3296">INDEX(C:C,SMALL(IF(ISNUMBER(FIND(CELL("contents"),$C$2:$C$4852)),ROW($C$2:$C$4852),4^8),ROW(C3296)))&amp;""</f>
        <v>#N/A</v>
      </c>
      <c r="F3296" s="20"/>
      <c r="G3296" s="20"/>
      <c r="H3296" s="20"/>
      <c r="I3296" s="20"/>
      <c r="J3296" s="20"/>
      <c r="K3296" s="20"/>
      <c r="L3296" s="20"/>
      <c r="M3296" s="20"/>
      <c r="N3296" s="20"/>
      <c r="O3296" s="20"/>
      <c r="P3296" s="20"/>
      <c r="Q3296" s="20"/>
      <c r="R3296" s="20"/>
      <c r="S3296" s="20"/>
      <c r="T3296" s="20"/>
      <c r="U3296" s="20"/>
      <c r="V3296" s="20"/>
      <c r="W3296" s="20"/>
      <c r="X3296" s="20"/>
      <c r="Y3296" s="20"/>
      <c r="Z3296" s="20"/>
      <c r="AA3296" s="20"/>
      <c r="AB3296" s="20"/>
      <c r="AC3296" s="20"/>
      <c r="AD3296" s="20"/>
      <c r="AE3296" s="20"/>
      <c r="AF3296" s="20"/>
      <c r="AG3296" s="20"/>
      <c r="AH3296" s="20"/>
      <c r="AI3296" s="20"/>
      <c r="AJ3296" s="20"/>
      <c r="AK3296" s="20"/>
      <c r="AL3296" s="20"/>
      <c r="AM3296" s="20"/>
      <c r="AN3296" s="20"/>
    </row>
    <row r="3297" s="18" customFormat="1" ht="14.100000000000001" customHeight="1">
      <c r="A3297" s="20"/>
      <c r="B3297" s="20" t="s">
        <v>6737</v>
      </c>
      <c r="C3297" s="20" t="s">
        <v>6738</v>
      </c>
      <c r="D3297" s="20" t="s">
        <v>6737</v>
      </c>
      <c r="E3297" s="20" t="e">
        <f t="array" ref="E3297">INDEX(C:C,SMALL(IF(ISNUMBER(FIND(CELL("contents"),$C$2:$C$4852)),ROW($C$2:$C$4852),4^8),ROW(C3297)))&amp;""</f>
        <v>#N/A</v>
      </c>
      <c r="F3297" s="20"/>
      <c r="G3297" s="20"/>
      <c r="H3297" s="20"/>
      <c r="I3297" s="20"/>
      <c r="J3297" s="20"/>
      <c r="K3297" s="20"/>
      <c r="L3297" s="20"/>
      <c r="M3297" s="20"/>
      <c r="N3297" s="20"/>
      <c r="O3297" s="20"/>
      <c r="P3297" s="20"/>
      <c r="Q3297" s="20"/>
      <c r="R3297" s="20"/>
      <c r="S3297" s="20"/>
      <c r="T3297" s="20"/>
      <c r="U3297" s="20"/>
      <c r="V3297" s="20"/>
      <c r="W3297" s="20"/>
      <c r="X3297" s="20"/>
      <c r="Y3297" s="20"/>
      <c r="Z3297" s="20"/>
      <c r="AA3297" s="20"/>
      <c r="AB3297" s="20"/>
      <c r="AC3297" s="20"/>
      <c r="AD3297" s="20"/>
      <c r="AE3297" s="20"/>
      <c r="AF3297" s="20"/>
      <c r="AG3297" s="20"/>
      <c r="AH3297" s="20"/>
      <c r="AI3297" s="20"/>
      <c r="AJ3297" s="20"/>
      <c r="AK3297" s="20"/>
      <c r="AL3297" s="20"/>
      <c r="AM3297" s="20"/>
      <c r="AN3297" s="20"/>
    </row>
    <row r="3298" s="18" customFormat="1" ht="14.100000000000001" customHeight="1">
      <c r="A3298" s="20"/>
      <c r="B3298" s="20" t="s">
        <v>6739</v>
      </c>
      <c r="C3298" s="20" t="s">
        <v>6740</v>
      </c>
      <c r="D3298" s="20" t="s">
        <v>6739</v>
      </c>
      <c r="E3298" s="20" t="e">
        <f t="array" ref="E3298">INDEX(C:C,SMALL(IF(ISNUMBER(FIND(CELL("contents"),$C$2:$C$4852)),ROW($C$2:$C$4852),4^8),ROW(C3298)))&amp;""</f>
        <v>#N/A</v>
      </c>
      <c r="F3298" s="20"/>
      <c r="G3298" s="20"/>
      <c r="H3298" s="20"/>
      <c r="I3298" s="20"/>
      <c r="J3298" s="20"/>
      <c r="K3298" s="20"/>
      <c r="L3298" s="20"/>
      <c r="M3298" s="20"/>
      <c r="N3298" s="20"/>
      <c r="O3298" s="20"/>
      <c r="P3298" s="20"/>
      <c r="Q3298" s="20"/>
      <c r="R3298" s="20"/>
      <c r="S3298" s="20"/>
      <c r="T3298" s="20"/>
      <c r="U3298" s="20"/>
      <c r="V3298" s="20"/>
      <c r="W3298" s="20"/>
      <c r="X3298" s="20"/>
      <c r="Y3298" s="20"/>
      <c r="Z3298" s="20"/>
      <c r="AA3298" s="20"/>
      <c r="AB3298" s="20"/>
      <c r="AC3298" s="20"/>
      <c r="AD3298" s="20"/>
      <c r="AE3298" s="20"/>
      <c r="AF3298" s="20"/>
      <c r="AG3298" s="20"/>
      <c r="AH3298" s="20"/>
      <c r="AI3298" s="20"/>
      <c r="AJ3298" s="20"/>
      <c r="AK3298" s="20"/>
      <c r="AL3298" s="20"/>
      <c r="AM3298" s="20"/>
      <c r="AN3298" s="20"/>
    </row>
    <row r="3299" s="18" customFormat="1" ht="14.100000000000001" customHeight="1">
      <c r="A3299" s="20"/>
      <c r="B3299" s="20" t="s">
        <v>6741</v>
      </c>
      <c r="C3299" s="20" t="s">
        <v>6742</v>
      </c>
      <c r="D3299" s="20" t="s">
        <v>6741</v>
      </c>
      <c r="E3299" s="20" t="e">
        <f t="array" ref="E3299">INDEX(C:C,SMALL(IF(ISNUMBER(FIND(CELL("contents"),$C$2:$C$4852)),ROW($C$2:$C$4852),4^8),ROW(C3299)))&amp;""</f>
        <v>#N/A</v>
      </c>
      <c r="F3299" s="20"/>
      <c r="G3299" s="20"/>
      <c r="H3299" s="20"/>
      <c r="I3299" s="20"/>
      <c r="J3299" s="20"/>
      <c r="K3299" s="20"/>
      <c r="L3299" s="20"/>
      <c r="M3299" s="20"/>
      <c r="N3299" s="20"/>
      <c r="O3299" s="20"/>
      <c r="P3299" s="20"/>
      <c r="Q3299" s="20"/>
      <c r="R3299" s="20"/>
      <c r="S3299" s="20"/>
      <c r="T3299" s="20"/>
      <c r="U3299" s="20"/>
      <c r="V3299" s="20"/>
      <c r="W3299" s="20"/>
      <c r="X3299" s="20"/>
      <c r="Y3299" s="20"/>
      <c r="Z3299" s="20"/>
      <c r="AA3299" s="20"/>
      <c r="AB3299" s="20"/>
      <c r="AC3299" s="20"/>
      <c r="AD3299" s="20"/>
      <c r="AE3299" s="20"/>
      <c r="AF3299" s="20"/>
      <c r="AG3299" s="20"/>
      <c r="AH3299" s="20"/>
      <c r="AI3299" s="20"/>
      <c r="AJ3299" s="20"/>
      <c r="AK3299" s="20"/>
      <c r="AL3299" s="20"/>
      <c r="AM3299" s="20"/>
      <c r="AN3299" s="20"/>
    </row>
    <row r="3300" s="18" customFormat="1" ht="14.100000000000001" customHeight="1">
      <c r="A3300" s="20"/>
      <c r="B3300" s="20" t="s">
        <v>6743</v>
      </c>
      <c r="C3300" s="20" t="s">
        <v>6744</v>
      </c>
      <c r="D3300" s="20" t="s">
        <v>6743</v>
      </c>
      <c r="E3300" s="20" t="e">
        <f t="array" ref="E3300">INDEX(C:C,SMALL(IF(ISNUMBER(FIND(CELL("contents"),$C$2:$C$4852)),ROW($C$2:$C$4852),4^8),ROW(C3300)))&amp;""</f>
        <v>#N/A</v>
      </c>
      <c r="F3300" s="20"/>
      <c r="G3300" s="20"/>
      <c r="H3300" s="20"/>
      <c r="I3300" s="20"/>
      <c r="J3300" s="20"/>
      <c r="K3300" s="20"/>
      <c r="L3300" s="20"/>
      <c r="M3300" s="20"/>
      <c r="N3300" s="20"/>
      <c r="O3300" s="20"/>
      <c r="P3300" s="20"/>
      <c r="Q3300" s="20"/>
      <c r="R3300" s="20"/>
      <c r="S3300" s="20"/>
      <c r="T3300" s="20"/>
      <c r="U3300" s="20"/>
      <c r="V3300" s="20"/>
      <c r="W3300" s="20"/>
      <c r="X3300" s="20"/>
      <c r="Y3300" s="20"/>
      <c r="Z3300" s="20"/>
      <c r="AA3300" s="20"/>
      <c r="AB3300" s="20"/>
      <c r="AC3300" s="20"/>
      <c r="AD3300" s="20"/>
      <c r="AE3300" s="20"/>
      <c r="AF3300" s="20"/>
      <c r="AG3300" s="20"/>
      <c r="AH3300" s="20"/>
      <c r="AI3300" s="20"/>
      <c r="AJ3300" s="20"/>
      <c r="AK3300" s="20"/>
      <c r="AL3300" s="20"/>
      <c r="AM3300" s="20"/>
      <c r="AN3300" s="20"/>
    </row>
    <row r="3301" s="18" customFormat="1" ht="14.100000000000001" customHeight="1">
      <c r="A3301" s="20"/>
      <c r="B3301" s="20" t="s">
        <v>6745</v>
      </c>
      <c r="C3301" s="20" t="s">
        <v>6746</v>
      </c>
      <c r="D3301" s="20" t="s">
        <v>6745</v>
      </c>
      <c r="E3301" s="20" t="e">
        <f t="array" ref="E3301">INDEX(C:C,SMALL(IF(ISNUMBER(FIND(CELL("contents"),$C$2:$C$4852)),ROW($C$2:$C$4852),4^8),ROW(C3301)))&amp;""</f>
        <v>#N/A</v>
      </c>
      <c r="F3301" s="20"/>
      <c r="G3301" s="20"/>
      <c r="H3301" s="20"/>
      <c r="I3301" s="20"/>
      <c r="J3301" s="20"/>
      <c r="K3301" s="20"/>
      <c r="L3301" s="20"/>
      <c r="M3301" s="20"/>
      <c r="N3301" s="20"/>
      <c r="O3301" s="20"/>
      <c r="P3301" s="20"/>
      <c r="Q3301" s="20"/>
      <c r="R3301" s="20"/>
      <c r="S3301" s="20"/>
      <c r="T3301" s="20"/>
      <c r="U3301" s="20"/>
      <c r="V3301" s="20"/>
      <c r="W3301" s="20"/>
      <c r="X3301" s="20"/>
      <c r="Y3301" s="20"/>
      <c r="Z3301" s="20"/>
      <c r="AA3301" s="20"/>
      <c r="AB3301" s="20"/>
      <c r="AC3301" s="20"/>
      <c r="AD3301" s="20"/>
      <c r="AE3301" s="20"/>
      <c r="AF3301" s="20"/>
      <c r="AG3301" s="20"/>
      <c r="AH3301" s="20"/>
      <c r="AI3301" s="20"/>
      <c r="AJ3301" s="20"/>
      <c r="AK3301" s="20"/>
      <c r="AL3301" s="20"/>
      <c r="AM3301" s="20"/>
      <c r="AN3301" s="20"/>
    </row>
    <row r="3302" s="18" customFormat="1" ht="14.100000000000001" customHeight="1">
      <c r="A3302" s="20"/>
      <c r="B3302" s="20" t="s">
        <v>6747</v>
      </c>
      <c r="C3302" s="20" t="s">
        <v>6748</v>
      </c>
      <c r="D3302" s="20" t="s">
        <v>6747</v>
      </c>
      <c r="E3302" s="20" t="e">
        <f t="array" ref="E3302">INDEX(C:C,SMALL(IF(ISNUMBER(FIND(CELL("contents"),$C$2:$C$4852)),ROW($C$2:$C$4852),4^8),ROW(C3302)))&amp;""</f>
        <v>#N/A</v>
      </c>
      <c r="F3302" s="20"/>
      <c r="G3302" s="20"/>
      <c r="H3302" s="20"/>
      <c r="I3302" s="20"/>
      <c r="J3302" s="20"/>
      <c r="K3302" s="20"/>
      <c r="L3302" s="20"/>
      <c r="M3302" s="20"/>
      <c r="N3302" s="20"/>
      <c r="O3302" s="20"/>
      <c r="P3302" s="20"/>
      <c r="Q3302" s="20"/>
      <c r="R3302" s="20"/>
      <c r="S3302" s="20"/>
      <c r="T3302" s="20"/>
      <c r="U3302" s="20"/>
      <c r="V3302" s="20"/>
      <c r="W3302" s="20"/>
      <c r="X3302" s="20"/>
      <c r="Y3302" s="20"/>
      <c r="Z3302" s="20"/>
      <c r="AA3302" s="20"/>
      <c r="AB3302" s="20"/>
      <c r="AC3302" s="20"/>
      <c r="AD3302" s="20"/>
      <c r="AE3302" s="20"/>
      <c r="AF3302" s="20"/>
      <c r="AG3302" s="20"/>
      <c r="AH3302" s="20"/>
      <c r="AI3302" s="20"/>
      <c r="AJ3302" s="20"/>
      <c r="AK3302" s="20"/>
      <c r="AL3302" s="20"/>
      <c r="AM3302" s="20"/>
      <c r="AN3302" s="20"/>
    </row>
    <row r="3303" s="18" customFormat="1" ht="14.100000000000001" customHeight="1">
      <c r="A3303" s="20"/>
      <c r="B3303" s="20" t="s">
        <v>6749</v>
      </c>
      <c r="C3303" s="20" t="s">
        <v>6750</v>
      </c>
      <c r="D3303" s="20" t="s">
        <v>6749</v>
      </c>
      <c r="E3303" s="20" t="e">
        <f t="array" ref="E3303">INDEX(C:C,SMALL(IF(ISNUMBER(FIND(CELL("contents"),$C$2:$C$4852)),ROW($C$2:$C$4852),4^8),ROW(C3303)))&amp;""</f>
        <v>#N/A</v>
      </c>
      <c r="F3303" s="20"/>
      <c r="G3303" s="20"/>
      <c r="H3303" s="20"/>
      <c r="I3303" s="20"/>
      <c r="J3303" s="20"/>
      <c r="K3303" s="20"/>
      <c r="L3303" s="20"/>
      <c r="M3303" s="20"/>
      <c r="N3303" s="20"/>
      <c r="O3303" s="20"/>
      <c r="P3303" s="20"/>
      <c r="Q3303" s="20"/>
      <c r="R3303" s="20"/>
      <c r="S3303" s="20"/>
      <c r="T3303" s="20"/>
      <c r="U3303" s="20"/>
      <c r="V3303" s="20"/>
      <c r="W3303" s="20"/>
      <c r="X3303" s="20"/>
      <c r="Y3303" s="20"/>
      <c r="Z3303" s="20"/>
      <c r="AA3303" s="20"/>
      <c r="AB3303" s="20"/>
      <c r="AC3303" s="20"/>
      <c r="AD3303" s="20"/>
      <c r="AE3303" s="20"/>
      <c r="AF3303" s="20"/>
      <c r="AG3303" s="20"/>
      <c r="AH3303" s="20"/>
      <c r="AI3303" s="20"/>
      <c r="AJ3303" s="20"/>
      <c r="AK3303" s="20"/>
      <c r="AL3303" s="20"/>
      <c r="AM3303" s="20"/>
      <c r="AN3303" s="20"/>
    </row>
    <row r="3304" s="18" customFormat="1" ht="14.100000000000001" customHeight="1">
      <c r="A3304" s="20"/>
      <c r="B3304" s="20" t="s">
        <v>6751</v>
      </c>
      <c r="C3304" s="20" t="s">
        <v>6752</v>
      </c>
      <c r="D3304" s="20" t="s">
        <v>6751</v>
      </c>
      <c r="E3304" s="20" t="e">
        <f t="array" ref="E3304">INDEX(C:C,SMALL(IF(ISNUMBER(FIND(CELL("contents"),$C$2:$C$4852)),ROW($C$2:$C$4852),4^8),ROW(C3304)))&amp;""</f>
        <v>#N/A</v>
      </c>
      <c r="F3304" s="20"/>
      <c r="G3304" s="20"/>
      <c r="H3304" s="20"/>
      <c r="I3304" s="20"/>
      <c r="J3304" s="20"/>
      <c r="K3304" s="20"/>
      <c r="L3304" s="20"/>
      <c r="M3304" s="20"/>
      <c r="N3304" s="20"/>
      <c r="O3304" s="20"/>
      <c r="P3304" s="20"/>
      <c r="Q3304" s="20"/>
      <c r="R3304" s="20"/>
      <c r="S3304" s="20"/>
      <c r="T3304" s="20"/>
      <c r="U3304" s="20"/>
      <c r="V3304" s="20"/>
      <c r="W3304" s="20"/>
      <c r="X3304" s="20"/>
      <c r="Y3304" s="20"/>
      <c r="Z3304" s="20"/>
      <c r="AA3304" s="20"/>
      <c r="AB3304" s="20"/>
      <c r="AC3304" s="20"/>
      <c r="AD3304" s="20"/>
      <c r="AE3304" s="20"/>
      <c r="AF3304" s="20"/>
      <c r="AG3304" s="20"/>
      <c r="AH3304" s="20"/>
      <c r="AI3304" s="20"/>
      <c r="AJ3304" s="20"/>
      <c r="AK3304" s="20"/>
      <c r="AL3304" s="20"/>
      <c r="AM3304" s="20"/>
      <c r="AN3304" s="20"/>
    </row>
    <row r="3305" s="18" customFormat="1" ht="14.100000000000001" customHeight="1">
      <c r="A3305" s="20"/>
      <c r="B3305" s="20" t="s">
        <v>6753</v>
      </c>
      <c r="C3305" s="20" t="s">
        <v>6754</v>
      </c>
      <c r="D3305" s="20" t="s">
        <v>6753</v>
      </c>
      <c r="E3305" s="20" t="e">
        <f t="array" ref="E3305">INDEX(C:C,SMALL(IF(ISNUMBER(FIND(CELL("contents"),$C$2:$C$4852)),ROW($C$2:$C$4852),4^8),ROW(C3305)))&amp;""</f>
        <v>#N/A</v>
      </c>
      <c r="F3305" s="20"/>
      <c r="G3305" s="20"/>
      <c r="H3305" s="20"/>
      <c r="I3305" s="20"/>
      <c r="J3305" s="20"/>
      <c r="K3305" s="20"/>
      <c r="L3305" s="20"/>
      <c r="M3305" s="20"/>
      <c r="N3305" s="20"/>
      <c r="O3305" s="20"/>
      <c r="P3305" s="20"/>
      <c r="Q3305" s="20"/>
      <c r="R3305" s="20"/>
      <c r="S3305" s="20"/>
      <c r="T3305" s="20"/>
      <c r="U3305" s="20"/>
      <c r="V3305" s="20"/>
      <c r="W3305" s="20"/>
      <c r="X3305" s="20"/>
      <c r="Y3305" s="20"/>
      <c r="Z3305" s="20"/>
      <c r="AA3305" s="20"/>
      <c r="AB3305" s="20"/>
      <c r="AC3305" s="20"/>
      <c r="AD3305" s="20"/>
      <c r="AE3305" s="20"/>
      <c r="AF3305" s="20"/>
      <c r="AG3305" s="20"/>
      <c r="AH3305" s="20"/>
      <c r="AI3305" s="20"/>
      <c r="AJ3305" s="20"/>
      <c r="AK3305" s="20"/>
      <c r="AL3305" s="20"/>
      <c r="AM3305" s="20"/>
      <c r="AN3305" s="20"/>
    </row>
    <row r="3306" s="18" customFormat="1" ht="14.100000000000001" customHeight="1">
      <c r="A3306" s="20"/>
      <c r="B3306" s="20" t="s">
        <v>6755</v>
      </c>
      <c r="C3306" s="20" t="s">
        <v>6756</v>
      </c>
      <c r="D3306" s="20" t="s">
        <v>6755</v>
      </c>
      <c r="E3306" s="20" t="e">
        <f t="array" ref="E3306">INDEX(C:C,SMALL(IF(ISNUMBER(FIND(CELL("contents"),$C$2:$C$4852)),ROW($C$2:$C$4852),4^8),ROW(C3306)))&amp;""</f>
        <v>#N/A</v>
      </c>
      <c r="F3306" s="20"/>
      <c r="G3306" s="20"/>
      <c r="H3306" s="20"/>
      <c r="I3306" s="20"/>
      <c r="J3306" s="20"/>
      <c r="K3306" s="20"/>
      <c r="L3306" s="20"/>
      <c r="M3306" s="20"/>
      <c r="N3306" s="20"/>
      <c r="O3306" s="20"/>
      <c r="P3306" s="20"/>
      <c r="Q3306" s="20"/>
      <c r="R3306" s="20"/>
      <c r="S3306" s="20"/>
      <c r="T3306" s="20"/>
      <c r="U3306" s="20"/>
      <c r="V3306" s="20"/>
      <c r="W3306" s="20"/>
      <c r="X3306" s="20"/>
      <c r="Y3306" s="20"/>
      <c r="Z3306" s="20"/>
      <c r="AA3306" s="20"/>
      <c r="AB3306" s="20"/>
      <c r="AC3306" s="20"/>
      <c r="AD3306" s="20"/>
      <c r="AE3306" s="20"/>
      <c r="AF3306" s="20"/>
      <c r="AG3306" s="20"/>
      <c r="AH3306" s="20"/>
      <c r="AI3306" s="20"/>
      <c r="AJ3306" s="20"/>
      <c r="AK3306" s="20"/>
      <c r="AL3306" s="20"/>
      <c r="AM3306" s="20"/>
      <c r="AN3306" s="20"/>
    </row>
    <row r="3307" s="18" customFormat="1" ht="14.100000000000001" customHeight="1">
      <c r="A3307" s="20"/>
      <c r="B3307" s="20" t="s">
        <v>6757</v>
      </c>
      <c r="C3307" s="20" t="s">
        <v>6758</v>
      </c>
      <c r="D3307" s="20" t="s">
        <v>6757</v>
      </c>
      <c r="E3307" s="20" t="e">
        <f t="array" ref="E3307">INDEX(C:C,SMALL(IF(ISNUMBER(FIND(CELL("contents"),$C$2:$C$4852)),ROW($C$2:$C$4852),4^8),ROW(C3307)))&amp;""</f>
        <v>#N/A</v>
      </c>
      <c r="F3307" s="20"/>
      <c r="G3307" s="20"/>
      <c r="H3307" s="20"/>
      <c r="I3307" s="20"/>
      <c r="J3307" s="20"/>
      <c r="K3307" s="20"/>
      <c r="L3307" s="20"/>
      <c r="M3307" s="20"/>
      <c r="N3307" s="20"/>
      <c r="O3307" s="20"/>
      <c r="P3307" s="20"/>
      <c r="Q3307" s="20"/>
      <c r="R3307" s="20"/>
      <c r="S3307" s="20"/>
      <c r="T3307" s="20"/>
      <c r="U3307" s="20"/>
      <c r="V3307" s="20"/>
      <c r="W3307" s="20"/>
      <c r="X3307" s="20"/>
      <c r="Y3307" s="20"/>
      <c r="Z3307" s="20"/>
      <c r="AA3307" s="20"/>
      <c r="AB3307" s="20"/>
      <c r="AC3307" s="20"/>
      <c r="AD3307" s="20"/>
      <c r="AE3307" s="20"/>
      <c r="AF3307" s="20"/>
      <c r="AG3307" s="20"/>
      <c r="AH3307" s="20"/>
      <c r="AI3307" s="20"/>
      <c r="AJ3307" s="20"/>
      <c r="AK3307" s="20"/>
      <c r="AL3307" s="20"/>
      <c r="AM3307" s="20"/>
      <c r="AN3307" s="20"/>
    </row>
    <row r="3308" s="18" customFormat="1" ht="14.100000000000001" customHeight="1">
      <c r="A3308" s="20"/>
      <c r="B3308" s="20" t="s">
        <v>6759</v>
      </c>
      <c r="C3308" s="20" t="s">
        <v>6760</v>
      </c>
      <c r="D3308" s="20" t="s">
        <v>6759</v>
      </c>
      <c r="E3308" s="20" t="e">
        <f t="array" ref="E3308">INDEX(C:C,SMALL(IF(ISNUMBER(FIND(CELL("contents"),$C$2:$C$4852)),ROW($C$2:$C$4852),4^8),ROW(C3308)))&amp;""</f>
        <v>#N/A</v>
      </c>
      <c r="F3308" s="20"/>
      <c r="G3308" s="20"/>
      <c r="H3308" s="20"/>
      <c r="I3308" s="20"/>
      <c r="J3308" s="20"/>
      <c r="K3308" s="20"/>
      <c r="L3308" s="20"/>
      <c r="M3308" s="20"/>
      <c r="N3308" s="20"/>
      <c r="O3308" s="20"/>
      <c r="P3308" s="20"/>
      <c r="Q3308" s="20"/>
      <c r="R3308" s="20"/>
      <c r="S3308" s="20"/>
      <c r="T3308" s="20"/>
      <c r="U3308" s="20"/>
      <c r="V3308" s="20"/>
      <c r="W3308" s="20"/>
      <c r="X3308" s="20"/>
      <c r="Y3308" s="20"/>
      <c r="Z3308" s="20"/>
      <c r="AA3308" s="20"/>
      <c r="AB3308" s="20"/>
      <c r="AC3308" s="20"/>
      <c r="AD3308" s="20"/>
      <c r="AE3308" s="20"/>
      <c r="AF3308" s="20"/>
      <c r="AG3308" s="20"/>
      <c r="AH3308" s="20"/>
      <c r="AI3308" s="20"/>
      <c r="AJ3308" s="20"/>
      <c r="AK3308" s="20"/>
      <c r="AL3308" s="20"/>
      <c r="AM3308" s="20"/>
      <c r="AN3308" s="20"/>
    </row>
    <row r="3309" s="18" customFormat="1" ht="14.100000000000001" customHeight="1">
      <c r="A3309" s="20"/>
      <c r="B3309" s="20" t="s">
        <v>6761</v>
      </c>
      <c r="C3309" s="20" t="s">
        <v>6762</v>
      </c>
      <c r="D3309" s="20" t="s">
        <v>6761</v>
      </c>
      <c r="E3309" s="20" t="e">
        <f t="array" ref="E3309">INDEX(C:C,SMALL(IF(ISNUMBER(FIND(CELL("contents"),$C$2:$C$4852)),ROW($C$2:$C$4852),4^8),ROW(C3309)))&amp;""</f>
        <v>#N/A</v>
      </c>
      <c r="F3309" s="20"/>
      <c r="G3309" s="20"/>
      <c r="H3309" s="20"/>
      <c r="I3309" s="20"/>
      <c r="J3309" s="20"/>
      <c r="K3309" s="20"/>
      <c r="L3309" s="20"/>
      <c r="M3309" s="20"/>
      <c r="N3309" s="20"/>
      <c r="O3309" s="20"/>
      <c r="P3309" s="20"/>
      <c r="Q3309" s="20"/>
      <c r="R3309" s="20"/>
      <c r="S3309" s="20"/>
      <c r="T3309" s="20"/>
      <c r="U3309" s="20"/>
      <c r="V3309" s="20"/>
      <c r="W3309" s="20"/>
      <c r="X3309" s="20"/>
      <c r="Y3309" s="20"/>
      <c r="Z3309" s="20"/>
      <c r="AA3309" s="20"/>
      <c r="AB3309" s="20"/>
      <c r="AC3309" s="20"/>
      <c r="AD3309" s="20"/>
      <c r="AE3309" s="20"/>
      <c r="AF3309" s="20"/>
      <c r="AG3309" s="20"/>
      <c r="AH3309" s="20"/>
      <c r="AI3309" s="20"/>
      <c r="AJ3309" s="20"/>
      <c r="AK3309" s="20"/>
      <c r="AL3309" s="20"/>
      <c r="AM3309" s="20"/>
      <c r="AN3309" s="20"/>
    </row>
    <row r="3310" s="18" customFormat="1" ht="14.100000000000001" customHeight="1">
      <c r="A3310" s="20"/>
      <c r="B3310" s="20" t="s">
        <v>6763</v>
      </c>
      <c r="C3310" s="20" t="s">
        <v>6764</v>
      </c>
      <c r="D3310" s="20" t="s">
        <v>6763</v>
      </c>
      <c r="E3310" s="20" t="e">
        <f t="array" ref="E3310">INDEX(C:C,SMALL(IF(ISNUMBER(FIND(CELL("contents"),$C$2:$C$4852)),ROW($C$2:$C$4852),4^8),ROW(C3310)))&amp;""</f>
        <v>#N/A</v>
      </c>
      <c r="F3310" s="20"/>
      <c r="G3310" s="20"/>
      <c r="H3310" s="20"/>
      <c r="I3310" s="20"/>
      <c r="J3310" s="20"/>
      <c r="K3310" s="20"/>
      <c r="L3310" s="20"/>
      <c r="M3310" s="20"/>
      <c r="N3310" s="20"/>
      <c r="O3310" s="20"/>
      <c r="P3310" s="20"/>
      <c r="Q3310" s="20"/>
      <c r="R3310" s="20"/>
      <c r="S3310" s="20"/>
      <c r="T3310" s="20"/>
      <c r="U3310" s="20"/>
      <c r="V3310" s="20"/>
      <c r="W3310" s="20"/>
      <c r="X3310" s="20"/>
      <c r="Y3310" s="20"/>
      <c r="Z3310" s="20"/>
      <c r="AA3310" s="20"/>
      <c r="AB3310" s="20"/>
      <c r="AC3310" s="20"/>
      <c r="AD3310" s="20"/>
      <c r="AE3310" s="20"/>
      <c r="AF3310" s="20"/>
      <c r="AG3310" s="20"/>
      <c r="AH3310" s="20"/>
      <c r="AI3310" s="20"/>
      <c r="AJ3310" s="20"/>
      <c r="AK3310" s="20"/>
      <c r="AL3310" s="20"/>
      <c r="AM3310" s="20"/>
      <c r="AN3310" s="20"/>
    </row>
    <row r="3311" s="18" customFormat="1" ht="14.100000000000001" customHeight="1">
      <c r="A3311" s="20"/>
      <c r="B3311" s="20" t="s">
        <v>6765</v>
      </c>
      <c r="C3311" s="20" t="s">
        <v>6766</v>
      </c>
      <c r="D3311" s="20" t="s">
        <v>6765</v>
      </c>
      <c r="E3311" s="20" t="e">
        <f t="array" ref="E3311">INDEX(C:C,SMALL(IF(ISNUMBER(FIND(CELL("contents"),$C$2:$C$4852)),ROW($C$2:$C$4852),4^8),ROW(C3311)))&amp;""</f>
        <v>#N/A</v>
      </c>
      <c r="F3311" s="20"/>
      <c r="G3311" s="20"/>
      <c r="H3311" s="20"/>
      <c r="I3311" s="20"/>
      <c r="J3311" s="20"/>
      <c r="K3311" s="20"/>
      <c r="L3311" s="20"/>
      <c r="M3311" s="20"/>
      <c r="N3311" s="20"/>
      <c r="O3311" s="20"/>
      <c r="P3311" s="20"/>
      <c r="Q3311" s="20"/>
      <c r="R3311" s="20"/>
      <c r="S3311" s="20"/>
      <c r="T3311" s="20"/>
      <c r="U3311" s="20"/>
      <c r="V3311" s="20"/>
      <c r="W3311" s="20"/>
      <c r="X3311" s="20"/>
      <c r="Y3311" s="20"/>
      <c r="Z3311" s="20"/>
      <c r="AA3311" s="20"/>
      <c r="AB3311" s="20"/>
      <c r="AC3311" s="20"/>
      <c r="AD3311" s="20"/>
      <c r="AE3311" s="20"/>
      <c r="AF3311" s="20"/>
      <c r="AG3311" s="20"/>
      <c r="AH3311" s="20"/>
      <c r="AI3311" s="20"/>
      <c r="AJ3311" s="20"/>
      <c r="AK3311" s="20"/>
      <c r="AL3311" s="20"/>
      <c r="AM3311" s="20"/>
      <c r="AN3311" s="20"/>
    </row>
    <row r="3312" s="18" customFormat="1" ht="14.100000000000001" customHeight="1">
      <c r="A3312" s="20"/>
      <c r="B3312" s="20" t="s">
        <v>6767</v>
      </c>
      <c r="C3312" s="20" t="s">
        <v>6768</v>
      </c>
      <c r="D3312" s="20" t="s">
        <v>6767</v>
      </c>
      <c r="E3312" s="20" t="e">
        <f t="array" ref="E3312">INDEX(C:C,SMALL(IF(ISNUMBER(FIND(CELL("contents"),$C$2:$C$4852)),ROW($C$2:$C$4852),4^8),ROW(C3312)))&amp;""</f>
        <v>#N/A</v>
      </c>
      <c r="F3312" s="20"/>
      <c r="G3312" s="20"/>
      <c r="H3312" s="20"/>
      <c r="I3312" s="20"/>
      <c r="J3312" s="20"/>
      <c r="K3312" s="20"/>
      <c r="L3312" s="20"/>
      <c r="M3312" s="20"/>
      <c r="N3312" s="20"/>
      <c r="O3312" s="20"/>
      <c r="P3312" s="20"/>
      <c r="Q3312" s="20"/>
      <c r="R3312" s="20"/>
      <c r="S3312" s="20"/>
      <c r="T3312" s="20"/>
      <c r="U3312" s="20"/>
      <c r="V3312" s="20"/>
      <c r="W3312" s="20"/>
      <c r="X3312" s="20"/>
      <c r="Y3312" s="20"/>
      <c r="Z3312" s="20"/>
      <c r="AA3312" s="20"/>
      <c r="AB3312" s="20"/>
      <c r="AC3312" s="20"/>
      <c r="AD3312" s="20"/>
      <c r="AE3312" s="20"/>
      <c r="AF3312" s="20"/>
      <c r="AG3312" s="20"/>
      <c r="AH3312" s="20"/>
      <c r="AI3312" s="20"/>
      <c r="AJ3312" s="20"/>
      <c r="AK3312" s="20"/>
      <c r="AL3312" s="20"/>
      <c r="AM3312" s="20"/>
      <c r="AN3312" s="20"/>
    </row>
    <row r="3313" s="18" customFormat="1" ht="14.100000000000001" customHeight="1">
      <c r="A3313" s="20"/>
      <c r="B3313" s="20" t="s">
        <v>6769</v>
      </c>
      <c r="C3313" s="20" t="s">
        <v>6770</v>
      </c>
      <c r="D3313" s="20" t="s">
        <v>6769</v>
      </c>
      <c r="E3313" s="20" t="e">
        <f t="array" ref="E3313">INDEX(C:C,SMALL(IF(ISNUMBER(FIND(CELL("contents"),$C$2:$C$4852)),ROW($C$2:$C$4852),4^8),ROW(C3313)))&amp;""</f>
        <v>#N/A</v>
      </c>
      <c r="F3313" s="20"/>
      <c r="G3313" s="20"/>
      <c r="H3313" s="20"/>
      <c r="I3313" s="20"/>
      <c r="J3313" s="20"/>
      <c r="K3313" s="20"/>
      <c r="L3313" s="20"/>
      <c r="M3313" s="20"/>
      <c r="N3313" s="20"/>
      <c r="O3313" s="20"/>
      <c r="P3313" s="20"/>
      <c r="Q3313" s="20"/>
      <c r="R3313" s="20"/>
      <c r="S3313" s="20"/>
      <c r="T3313" s="20"/>
      <c r="U3313" s="20"/>
      <c r="V3313" s="20"/>
      <c r="W3313" s="20"/>
      <c r="X3313" s="20"/>
      <c r="Y3313" s="20"/>
      <c r="Z3313" s="20"/>
      <c r="AA3313" s="20"/>
      <c r="AB3313" s="20"/>
      <c r="AC3313" s="20"/>
      <c r="AD3313" s="20"/>
      <c r="AE3313" s="20"/>
      <c r="AF3313" s="20"/>
      <c r="AG3313" s="20"/>
      <c r="AH3313" s="20"/>
      <c r="AI3313" s="20"/>
      <c r="AJ3313" s="20"/>
      <c r="AK3313" s="20"/>
      <c r="AL3313" s="20"/>
      <c r="AM3313" s="20"/>
      <c r="AN3313" s="20"/>
    </row>
    <row r="3314" s="18" customFormat="1" ht="14.100000000000001" customHeight="1">
      <c r="A3314" s="20"/>
      <c r="B3314" s="20" t="s">
        <v>6771</v>
      </c>
      <c r="C3314" s="20" t="s">
        <v>6772</v>
      </c>
      <c r="D3314" s="20" t="s">
        <v>6771</v>
      </c>
      <c r="E3314" s="20" t="e">
        <f t="array" ref="E3314">INDEX(C:C,SMALL(IF(ISNUMBER(FIND(CELL("contents"),$C$2:$C$4852)),ROW($C$2:$C$4852),4^8),ROW(C3314)))&amp;""</f>
        <v>#N/A</v>
      </c>
      <c r="F3314" s="20"/>
      <c r="G3314" s="20"/>
      <c r="H3314" s="20"/>
      <c r="I3314" s="20"/>
      <c r="J3314" s="20"/>
      <c r="K3314" s="20"/>
      <c r="L3314" s="20"/>
      <c r="M3314" s="20"/>
      <c r="N3314" s="20"/>
      <c r="O3314" s="20"/>
      <c r="P3314" s="20"/>
      <c r="Q3314" s="20"/>
      <c r="R3314" s="20"/>
      <c r="S3314" s="20"/>
      <c r="T3314" s="20"/>
      <c r="U3314" s="20"/>
      <c r="V3314" s="20"/>
      <c r="W3314" s="20"/>
      <c r="X3314" s="20"/>
      <c r="Y3314" s="20"/>
      <c r="Z3314" s="20"/>
      <c r="AA3314" s="20"/>
      <c r="AB3314" s="20"/>
      <c r="AC3314" s="20"/>
      <c r="AD3314" s="20"/>
      <c r="AE3314" s="20"/>
      <c r="AF3314" s="20"/>
      <c r="AG3314" s="20"/>
      <c r="AH3314" s="20"/>
      <c r="AI3314" s="20"/>
      <c r="AJ3314" s="20"/>
      <c r="AK3314" s="20"/>
      <c r="AL3314" s="20"/>
      <c r="AM3314" s="20"/>
      <c r="AN3314" s="20"/>
    </row>
    <row r="3315" s="18" customFormat="1" ht="14.100000000000001" customHeight="1">
      <c r="A3315" s="20"/>
      <c r="B3315" s="20" t="s">
        <v>6773</v>
      </c>
      <c r="C3315" s="20" t="s">
        <v>6774</v>
      </c>
      <c r="D3315" s="20" t="s">
        <v>6773</v>
      </c>
      <c r="E3315" s="20" t="e">
        <f t="array" ref="E3315">INDEX(C:C,SMALL(IF(ISNUMBER(FIND(CELL("contents"),$C$2:$C$4852)),ROW($C$2:$C$4852),4^8),ROW(C3315)))&amp;""</f>
        <v>#N/A</v>
      </c>
      <c r="F3315" s="20"/>
      <c r="G3315" s="20"/>
      <c r="H3315" s="20"/>
      <c r="I3315" s="20"/>
      <c r="J3315" s="20"/>
      <c r="K3315" s="20"/>
      <c r="L3315" s="20"/>
      <c r="M3315" s="20"/>
      <c r="N3315" s="20"/>
      <c r="O3315" s="20"/>
      <c r="P3315" s="20"/>
      <c r="Q3315" s="20"/>
      <c r="R3315" s="20"/>
      <c r="S3315" s="20"/>
      <c r="T3315" s="20"/>
      <c r="U3315" s="20"/>
      <c r="V3315" s="20"/>
      <c r="W3315" s="20"/>
      <c r="X3315" s="20"/>
      <c r="Y3315" s="20"/>
      <c r="Z3315" s="20"/>
      <c r="AA3315" s="20"/>
      <c r="AB3315" s="20"/>
      <c r="AC3315" s="20"/>
      <c r="AD3315" s="20"/>
      <c r="AE3315" s="20"/>
      <c r="AF3315" s="20"/>
      <c r="AG3315" s="20"/>
      <c r="AH3315" s="20"/>
      <c r="AI3315" s="20"/>
      <c r="AJ3315" s="20"/>
      <c r="AK3315" s="20"/>
      <c r="AL3315" s="20"/>
      <c r="AM3315" s="20"/>
      <c r="AN3315" s="20"/>
    </row>
    <row r="3316" s="18" customFormat="1" ht="14.100000000000001" customHeight="1">
      <c r="A3316" s="20"/>
      <c r="B3316" s="20" t="s">
        <v>6775</v>
      </c>
      <c r="C3316" s="20" t="s">
        <v>6776</v>
      </c>
      <c r="D3316" s="20" t="s">
        <v>6775</v>
      </c>
      <c r="E3316" s="20" t="e">
        <f t="array" ref="E3316">INDEX(C:C,SMALL(IF(ISNUMBER(FIND(CELL("contents"),$C$2:$C$4852)),ROW($C$2:$C$4852),4^8),ROW(C3316)))&amp;""</f>
        <v>#N/A</v>
      </c>
      <c r="F3316" s="20"/>
      <c r="G3316" s="20"/>
      <c r="H3316" s="20"/>
      <c r="I3316" s="20"/>
      <c r="J3316" s="20"/>
      <c r="K3316" s="20"/>
      <c r="L3316" s="20"/>
      <c r="M3316" s="20"/>
      <c r="N3316" s="20"/>
      <c r="O3316" s="20"/>
      <c r="P3316" s="20"/>
      <c r="Q3316" s="20"/>
      <c r="R3316" s="20"/>
      <c r="S3316" s="20"/>
      <c r="T3316" s="20"/>
      <c r="U3316" s="20"/>
      <c r="V3316" s="20"/>
      <c r="W3316" s="20"/>
      <c r="X3316" s="20"/>
      <c r="Y3316" s="20"/>
      <c r="Z3316" s="20"/>
      <c r="AA3316" s="20"/>
      <c r="AB3316" s="20"/>
      <c r="AC3316" s="20"/>
      <c r="AD3316" s="20"/>
      <c r="AE3316" s="20"/>
      <c r="AF3316" s="20"/>
      <c r="AG3316" s="20"/>
      <c r="AH3316" s="20"/>
      <c r="AI3316" s="20"/>
      <c r="AJ3316" s="20"/>
      <c r="AK3316" s="20"/>
      <c r="AL3316" s="20"/>
      <c r="AM3316" s="20"/>
      <c r="AN3316" s="20"/>
    </row>
    <row r="3317" s="18" customFormat="1" ht="14.100000000000001" customHeight="1">
      <c r="A3317" s="20"/>
      <c r="B3317" s="20" t="s">
        <v>6777</v>
      </c>
      <c r="C3317" s="20" t="s">
        <v>6778</v>
      </c>
      <c r="D3317" s="20" t="s">
        <v>6777</v>
      </c>
      <c r="E3317" s="20" t="e">
        <f t="array" ref="E3317">INDEX(C:C,SMALL(IF(ISNUMBER(FIND(CELL("contents"),$C$2:$C$4852)),ROW($C$2:$C$4852),4^8),ROW(C3317)))&amp;""</f>
        <v>#N/A</v>
      </c>
      <c r="F3317" s="20"/>
      <c r="G3317" s="20"/>
      <c r="H3317" s="20"/>
      <c r="I3317" s="20"/>
      <c r="J3317" s="20"/>
      <c r="K3317" s="20"/>
      <c r="L3317" s="20"/>
      <c r="M3317" s="20"/>
      <c r="N3317" s="20"/>
      <c r="O3317" s="20"/>
      <c r="P3317" s="20"/>
      <c r="Q3317" s="20"/>
      <c r="R3317" s="20"/>
      <c r="S3317" s="20"/>
      <c r="T3317" s="20"/>
      <c r="U3317" s="20"/>
      <c r="V3317" s="20"/>
      <c r="W3317" s="20"/>
      <c r="X3317" s="20"/>
      <c r="Y3317" s="20"/>
      <c r="Z3317" s="20"/>
      <c r="AA3317" s="20"/>
      <c r="AB3317" s="20"/>
      <c r="AC3317" s="20"/>
      <c r="AD3317" s="20"/>
      <c r="AE3317" s="20"/>
      <c r="AF3317" s="20"/>
      <c r="AG3317" s="20"/>
      <c r="AH3317" s="20"/>
      <c r="AI3317" s="20"/>
      <c r="AJ3317" s="20"/>
      <c r="AK3317" s="20"/>
      <c r="AL3317" s="20"/>
      <c r="AM3317" s="20"/>
      <c r="AN3317" s="20"/>
    </row>
    <row r="3318" s="18" customFormat="1" ht="14.100000000000001" customHeight="1">
      <c r="A3318" s="20"/>
      <c r="B3318" s="20" t="s">
        <v>6779</v>
      </c>
      <c r="C3318" s="20" t="s">
        <v>6780</v>
      </c>
      <c r="D3318" s="20" t="s">
        <v>6779</v>
      </c>
      <c r="E3318" s="20" t="e">
        <f t="array" ref="E3318">INDEX(C:C,SMALL(IF(ISNUMBER(FIND(CELL("contents"),$C$2:$C$4852)),ROW($C$2:$C$4852),4^8),ROW(C3318)))&amp;""</f>
        <v>#N/A</v>
      </c>
      <c r="F3318" s="20"/>
      <c r="G3318" s="20"/>
      <c r="H3318" s="20"/>
      <c r="I3318" s="20"/>
      <c r="J3318" s="20"/>
      <c r="K3318" s="20"/>
      <c r="L3318" s="20"/>
      <c r="M3318" s="20"/>
      <c r="N3318" s="20"/>
      <c r="O3318" s="20"/>
      <c r="P3318" s="20"/>
      <c r="Q3318" s="20"/>
      <c r="R3318" s="20"/>
      <c r="S3318" s="20"/>
      <c r="T3318" s="20"/>
      <c r="U3318" s="20"/>
      <c r="V3318" s="20"/>
      <c r="W3318" s="20"/>
      <c r="X3318" s="20"/>
      <c r="Y3318" s="20"/>
      <c r="Z3318" s="20"/>
      <c r="AA3318" s="20"/>
      <c r="AB3318" s="20"/>
      <c r="AC3318" s="20"/>
      <c r="AD3318" s="20"/>
      <c r="AE3318" s="20"/>
      <c r="AF3318" s="20"/>
      <c r="AG3318" s="20"/>
      <c r="AH3318" s="20"/>
      <c r="AI3318" s="20"/>
      <c r="AJ3318" s="20"/>
      <c r="AK3318" s="20"/>
      <c r="AL3318" s="20"/>
      <c r="AM3318" s="20"/>
      <c r="AN3318" s="20"/>
    </row>
    <row r="3319" s="18" customFormat="1" ht="14.100000000000001" customHeight="1">
      <c r="A3319" s="20"/>
      <c r="B3319" s="20" t="s">
        <v>6781</v>
      </c>
      <c r="C3319" s="20" t="s">
        <v>6782</v>
      </c>
      <c r="D3319" s="20" t="s">
        <v>6781</v>
      </c>
      <c r="E3319" s="20" t="e">
        <f t="array" ref="E3319">INDEX(C:C,SMALL(IF(ISNUMBER(FIND(CELL("contents"),$C$2:$C$4852)),ROW($C$2:$C$4852),4^8),ROW(C3319)))&amp;""</f>
        <v>#N/A</v>
      </c>
      <c r="F3319" s="20"/>
      <c r="G3319" s="20"/>
      <c r="H3319" s="20"/>
      <c r="I3319" s="20"/>
      <c r="J3319" s="20"/>
      <c r="K3319" s="20"/>
      <c r="L3319" s="20"/>
      <c r="M3319" s="20"/>
      <c r="N3319" s="20"/>
      <c r="O3319" s="20"/>
      <c r="P3319" s="20"/>
      <c r="Q3319" s="20"/>
      <c r="R3319" s="20"/>
      <c r="S3319" s="20"/>
      <c r="T3319" s="20"/>
      <c r="U3319" s="20"/>
      <c r="V3319" s="20"/>
      <c r="W3319" s="20"/>
      <c r="X3319" s="20"/>
      <c r="Y3319" s="20"/>
      <c r="Z3319" s="20"/>
      <c r="AA3319" s="20"/>
      <c r="AB3319" s="20"/>
      <c r="AC3319" s="20"/>
      <c r="AD3319" s="20"/>
      <c r="AE3319" s="20"/>
      <c r="AF3319" s="20"/>
      <c r="AG3319" s="20"/>
      <c r="AH3319" s="20"/>
      <c r="AI3319" s="20"/>
      <c r="AJ3319" s="20"/>
      <c r="AK3319" s="20"/>
      <c r="AL3319" s="20"/>
      <c r="AM3319" s="20"/>
      <c r="AN3319" s="20"/>
    </row>
    <row r="3320" s="18" customFormat="1" ht="14.100000000000001" customHeight="1">
      <c r="A3320" s="20"/>
      <c r="B3320" s="20" t="s">
        <v>6783</v>
      </c>
      <c r="C3320" s="20" t="s">
        <v>6784</v>
      </c>
      <c r="D3320" s="20" t="s">
        <v>6783</v>
      </c>
      <c r="E3320" s="20" t="e">
        <f t="array" ref="E3320">INDEX(C:C,SMALL(IF(ISNUMBER(FIND(CELL("contents"),$C$2:$C$4852)),ROW($C$2:$C$4852),4^8),ROW(C3320)))&amp;""</f>
        <v>#N/A</v>
      </c>
      <c r="F3320" s="20"/>
      <c r="G3320" s="20"/>
      <c r="H3320" s="20"/>
      <c r="I3320" s="20"/>
      <c r="J3320" s="20"/>
      <c r="K3320" s="20"/>
      <c r="L3320" s="20"/>
      <c r="M3320" s="20"/>
      <c r="N3320" s="20"/>
      <c r="O3320" s="20"/>
      <c r="P3320" s="20"/>
      <c r="Q3320" s="20"/>
      <c r="R3320" s="20"/>
      <c r="S3320" s="20"/>
      <c r="T3320" s="20"/>
      <c r="U3320" s="20"/>
      <c r="V3320" s="20"/>
      <c r="W3320" s="20"/>
      <c r="X3320" s="20"/>
      <c r="Y3320" s="20"/>
      <c r="Z3320" s="20"/>
      <c r="AA3320" s="20"/>
      <c r="AB3320" s="20"/>
      <c r="AC3320" s="20"/>
      <c r="AD3320" s="20"/>
      <c r="AE3320" s="20"/>
      <c r="AF3320" s="20"/>
      <c r="AG3320" s="20"/>
      <c r="AH3320" s="20"/>
      <c r="AI3320" s="20"/>
      <c r="AJ3320" s="20"/>
      <c r="AK3320" s="20"/>
      <c r="AL3320" s="20"/>
      <c r="AM3320" s="20"/>
      <c r="AN3320" s="20"/>
    </row>
    <row r="3321" s="18" customFormat="1" ht="14.100000000000001" customHeight="1">
      <c r="A3321" s="20"/>
      <c r="B3321" s="20" t="s">
        <v>6785</v>
      </c>
      <c r="C3321" s="20" t="s">
        <v>6786</v>
      </c>
      <c r="D3321" s="20" t="s">
        <v>6785</v>
      </c>
      <c r="E3321" s="20" t="e">
        <f t="array" ref="E3321">INDEX(C:C,SMALL(IF(ISNUMBER(FIND(CELL("contents"),$C$2:$C$4852)),ROW($C$2:$C$4852),4^8),ROW(C3321)))&amp;""</f>
        <v>#N/A</v>
      </c>
      <c r="F3321" s="20"/>
      <c r="G3321" s="20"/>
      <c r="H3321" s="20"/>
      <c r="I3321" s="20"/>
      <c r="J3321" s="20"/>
      <c r="K3321" s="20"/>
      <c r="L3321" s="20"/>
      <c r="M3321" s="20"/>
      <c r="N3321" s="20"/>
      <c r="O3321" s="20"/>
      <c r="P3321" s="20"/>
      <c r="Q3321" s="20"/>
      <c r="R3321" s="20"/>
      <c r="S3321" s="20"/>
      <c r="T3321" s="20"/>
      <c r="U3321" s="20"/>
      <c r="V3321" s="20"/>
      <c r="W3321" s="20"/>
      <c r="X3321" s="20"/>
      <c r="Y3321" s="20"/>
      <c r="Z3321" s="20"/>
      <c r="AA3321" s="20"/>
      <c r="AB3321" s="20"/>
      <c r="AC3321" s="20"/>
      <c r="AD3321" s="20"/>
      <c r="AE3321" s="20"/>
      <c r="AF3321" s="20"/>
      <c r="AG3321" s="20"/>
      <c r="AH3321" s="20"/>
      <c r="AI3321" s="20"/>
      <c r="AJ3321" s="20"/>
      <c r="AK3321" s="20"/>
      <c r="AL3321" s="20"/>
      <c r="AM3321" s="20"/>
      <c r="AN3321" s="20"/>
    </row>
    <row r="3322" s="18" customFormat="1" ht="14.100000000000001" customHeight="1">
      <c r="A3322" s="20"/>
      <c r="B3322" s="20" t="s">
        <v>6787</v>
      </c>
      <c r="C3322" s="20" t="s">
        <v>6788</v>
      </c>
      <c r="D3322" s="20" t="s">
        <v>6787</v>
      </c>
      <c r="E3322" s="20" t="e">
        <f t="array" ref="E3322">INDEX(C:C,SMALL(IF(ISNUMBER(FIND(CELL("contents"),$C$2:$C$4852)),ROW($C$2:$C$4852),4^8),ROW(C3322)))&amp;""</f>
        <v>#N/A</v>
      </c>
      <c r="F3322" s="20"/>
      <c r="G3322" s="20"/>
      <c r="H3322" s="20"/>
      <c r="I3322" s="20"/>
      <c r="J3322" s="20"/>
      <c r="K3322" s="20"/>
      <c r="L3322" s="20"/>
      <c r="M3322" s="20"/>
      <c r="N3322" s="20"/>
      <c r="O3322" s="20"/>
      <c r="P3322" s="20"/>
      <c r="Q3322" s="20"/>
      <c r="R3322" s="20"/>
      <c r="S3322" s="20"/>
      <c r="T3322" s="20"/>
      <c r="U3322" s="20"/>
      <c r="V3322" s="20"/>
      <c r="W3322" s="20"/>
      <c r="X3322" s="20"/>
      <c r="Y3322" s="20"/>
      <c r="Z3322" s="20"/>
      <c r="AA3322" s="20"/>
      <c r="AB3322" s="20"/>
      <c r="AC3322" s="20"/>
      <c r="AD3322" s="20"/>
      <c r="AE3322" s="20"/>
      <c r="AF3322" s="20"/>
      <c r="AG3322" s="20"/>
      <c r="AH3322" s="20"/>
      <c r="AI3322" s="20"/>
      <c r="AJ3322" s="20"/>
      <c r="AK3322" s="20"/>
      <c r="AL3322" s="20"/>
      <c r="AM3322" s="20"/>
      <c r="AN3322" s="20"/>
    </row>
    <row r="3323" s="18" customFormat="1" ht="14.100000000000001" customHeight="1">
      <c r="A3323" s="20"/>
      <c r="B3323" s="20" t="s">
        <v>6789</v>
      </c>
      <c r="C3323" s="20" t="s">
        <v>6790</v>
      </c>
      <c r="D3323" s="20" t="s">
        <v>6789</v>
      </c>
      <c r="E3323" s="20" t="e">
        <f t="array" ref="E3323">INDEX(C:C,SMALL(IF(ISNUMBER(FIND(CELL("contents"),$C$2:$C$4852)),ROW($C$2:$C$4852),4^8),ROW(C3323)))&amp;""</f>
        <v>#N/A</v>
      </c>
      <c r="F3323" s="20"/>
      <c r="G3323" s="20"/>
      <c r="H3323" s="20"/>
      <c r="I3323" s="20"/>
      <c r="J3323" s="20"/>
      <c r="K3323" s="20"/>
      <c r="L3323" s="20"/>
      <c r="M3323" s="20"/>
      <c r="N3323" s="20"/>
      <c r="O3323" s="20"/>
      <c r="P3323" s="20"/>
      <c r="Q3323" s="20"/>
      <c r="R3323" s="20"/>
      <c r="S3323" s="20"/>
      <c r="T3323" s="20"/>
      <c r="U3323" s="20"/>
      <c r="V3323" s="20"/>
      <c r="W3323" s="20"/>
      <c r="X3323" s="20"/>
      <c r="Y3323" s="20"/>
      <c r="Z3323" s="20"/>
      <c r="AA3323" s="20"/>
      <c r="AB3323" s="20"/>
      <c r="AC3323" s="20"/>
      <c r="AD3323" s="20"/>
      <c r="AE3323" s="20"/>
      <c r="AF3323" s="20"/>
      <c r="AG3323" s="20"/>
      <c r="AH3323" s="20"/>
      <c r="AI3323" s="20"/>
      <c r="AJ3323" s="20"/>
      <c r="AK3323" s="20"/>
      <c r="AL3323" s="20"/>
      <c r="AM3323" s="20"/>
      <c r="AN3323" s="20"/>
    </row>
    <row r="3324" s="18" customFormat="1" ht="14.100000000000001" customHeight="1">
      <c r="A3324" s="20"/>
      <c r="B3324" s="20" t="s">
        <v>6791</v>
      </c>
      <c r="C3324" s="20" t="s">
        <v>6792</v>
      </c>
      <c r="D3324" s="20" t="s">
        <v>6791</v>
      </c>
      <c r="E3324" s="20" t="e">
        <f t="array" ref="E3324">INDEX(C:C,SMALL(IF(ISNUMBER(FIND(CELL("contents"),$C$2:$C$4852)),ROW($C$2:$C$4852),4^8),ROW(C3324)))&amp;""</f>
        <v>#N/A</v>
      </c>
      <c r="F3324" s="20"/>
      <c r="G3324" s="20"/>
      <c r="H3324" s="20"/>
      <c r="I3324" s="20"/>
      <c r="J3324" s="20"/>
      <c r="K3324" s="20"/>
      <c r="L3324" s="20"/>
      <c r="M3324" s="20"/>
      <c r="N3324" s="20"/>
      <c r="O3324" s="20"/>
      <c r="P3324" s="20"/>
      <c r="Q3324" s="20"/>
      <c r="R3324" s="20"/>
      <c r="S3324" s="20"/>
      <c r="T3324" s="20"/>
      <c r="U3324" s="20"/>
      <c r="V3324" s="20"/>
      <c r="W3324" s="20"/>
      <c r="X3324" s="20"/>
      <c r="Y3324" s="20"/>
      <c r="Z3324" s="20"/>
      <c r="AA3324" s="20"/>
      <c r="AB3324" s="20"/>
      <c r="AC3324" s="20"/>
      <c r="AD3324" s="20"/>
      <c r="AE3324" s="20"/>
      <c r="AF3324" s="20"/>
      <c r="AG3324" s="20"/>
      <c r="AH3324" s="20"/>
      <c r="AI3324" s="20"/>
      <c r="AJ3324" s="20"/>
      <c r="AK3324" s="20"/>
      <c r="AL3324" s="20"/>
      <c r="AM3324" s="20"/>
      <c r="AN3324" s="20"/>
    </row>
    <row r="3325" s="18" customFormat="1" ht="14.100000000000001" customHeight="1">
      <c r="A3325" s="20"/>
      <c r="B3325" s="20" t="s">
        <v>6793</v>
      </c>
      <c r="C3325" s="20" t="s">
        <v>6794</v>
      </c>
      <c r="D3325" s="20" t="s">
        <v>6793</v>
      </c>
      <c r="E3325" s="20" t="e">
        <f t="array" ref="E3325">INDEX(C:C,SMALL(IF(ISNUMBER(FIND(CELL("contents"),$C$2:$C$4852)),ROW($C$2:$C$4852),4^8),ROW(C3325)))&amp;""</f>
        <v>#N/A</v>
      </c>
      <c r="F3325" s="20"/>
      <c r="G3325" s="20"/>
      <c r="H3325" s="20"/>
      <c r="I3325" s="20"/>
      <c r="J3325" s="20"/>
      <c r="K3325" s="20"/>
      <c r="L3325" s="20"/>
      <c r="M3325" s="20"/>
      <c r="N3325" s="20"/>
      <c r="O3325" s="20"/>
      <c r="P3325" s="20"/>
      <c r="Q3325" s="20"/>
      <c r="R3325" s="20"/>
      <c r="S3325" s="20"/>
      <c r="T3325" s="20"/>
      <c r="U3325" s="20"/>
      <c r="V3325" s="20"/>
      <c r="W3325" s="20"/>
      <c r="X3325" s="20"/>
      <c r="Y3325" s="20"/>
      <c r="Z3325" s="20"/>
      <c r="AA3325" s="20"/>
      <c r="AB3325" s="20"/>
      <c r="AC3325" s="20"/>
      <c r="AD3325" s="20"/>
      <c r="AE3325" s="20"/>
      <c r="AF3325" s="20"/>
      <c r="AG3325" s="20"/>
      <c r="AH3325" s="20"/>
      <c r="AI3325" s="20"/>
      <c r="AJ3325" s="20"/>
      <c r="AK3325" s="20"/>
      <c r="AL3325" s="20"/>
      <c r="AM3325" s="20"/>
      <c r="AN3325" s="20"/>
    </row>
    <row r="3326" s="18" customFormat="1" ht="14.100000000000001" customHeight="1">
      <c r="A3326" s="20"/>
      <c r="B3326" s="20" t="s">
        <v>6795</v>
      </c>
      <c r="C3326" s="20" t="s">
        <v>6796</v>
      </c>
      <c r="D3326" s="20" t="s">
        <v>6795</v>
      </c>
      <c r="E3326" s="20" t="e">
        <f t="array" ref="E3326">INDEX(C:C,SMALL(IF(ISNUMBER(FIND(CELL("contents"),$C$2:$C$4852)),ROW($C$2:$C$4852),4^8),ROW(C3326)))&amp;""</f>
        <v>#N/A</v>
      </c>
      <c r="F3326" s="20"/>
      <c r="G3326" s="20"/>
      <c r="H3326" s="20"/>
      <c r="I3326" s="20"/>
      <c r="J3326" s="20"/>
      <c r="K3326" s="20"/>
      <c r="L3326" s="20"/>
      <c r="M3326" s="20"/>
      <c r="N3326" s="20"/>
      <c r="O3326" s="20"/>
      <c r="P3326" s="20"/>
      <c r="Q3326" s="20"/>
      <c r="R3326" s="20"/>
      <c r="S3326" s="20"/>
      <c r="T3326" s="20"/>
      <c r="U3326" s="20"/>
      <c r="V3326" s="20"/>
      <c r="W3326" s="20"/>
      <c r="X3326" s="20"/>
      <c r="Y3326" s="20"/>
      <c r="Z3326" s="20"/>
      <c r="AA3326" s="20"/>
      <c r="AB3326" s="20"/>
      <c r="AC3326" s="20"/>
      <c r="AD3326" s="20"/>
      <c r="AE3326" s="20"/>
      <c r="AF3326" s="20"/>
      <c r="AG3326" s="20"/>
      <c r="AH3326" s="20"/>
      <c r="AI3326" s="20"/>
      <c r="AJ3326" s="20"/>
      <c r="AK3326" s="20"/>
      <c r="AL3326" s="20"/>
      <c r="AM3326" s="20"/>
      <c r="AN3326" s="20"/>
    </row>
    <row r="3327" s="18" customFormat="1" ht="14.100000000000001" customHeight="1">
      <c r="A3327" s="20"/>
      <c r="B3327" s="20" t="s">
        <v>6797</v>
      </c>
      <c r="C3327" s="20" t="s">
        <v>6798</v>
      </c>
      <c r="D3327" s="20" t="s">
        <v>6797</v>
      </c>
      <c r="E3327" s="20" t="e">
        <f t="array" ref="E3327">INDEX(C:C,SMALL(IF(ISNUMBER(FIND(CELL("contents"),$C$2:$C$4852)),ROW($C$2:$C$4852),4^8),ROW(C3327)))&amp;""</f>
        <v>#N/A</v>
      </c>
      <c r="F3327" s="20"/>
      <c r="G3327" s="20"/>
      <c r="H3327" s="20"/>
      <c r="I3327" s="20"/>
      <c r="J3327" s="20"/>
      <c r="K3327" s="20"/>
      <c r="L3327" s="20"/>
      <c r="M3327" s="20"/>
      <c r="N3327" s="20"/>
      <c r="O3327" s="20"/>
      <c r="P3327" s="20"/>
      <c r="Q3327" s="20"/>
      <c r="R3327" s="20"/>
      <c r="S3327" s="20"/>
      <c r="T3327" s="20"/>
      <c r="U3327" s="20"/>
      <c r="V3327" s="20"/>
      <c r="W3327" s="20"/>
      <c r="X3327" s="20"/>
      <c r="Y3327" s="20"/>
      <c r="Z3327" s="20"/>
      <c r="AA3327" s="20"/>
      <c r="AB3327" s="20"/>
      <c r="AC3327" s="20"/>
      <c r="AD3327" s="20"/>
      <c r="AE3327" s="20"/>
      <c r="AF3327" s="20"/>
      <c r="AG3327" s="20"/>
      <c r="AH3327" s="20"/>
      <c r="AI3327" s="20"/>
      <c r="AJ3327" s="20"/>
      <c r="AK3327" s="20"/>
      <c r="AL3327" s="20"/>
      <c r="AM3327" s="20"/>
      <c r="AN3327" s="20"/>
    </row>
    <row r="3328" s="18" customFormat="1" ht="14.100000000000001" customHeight="1">
      <c r="A3328" s="20"/>
      <c r="B3328" s="20" t="s">
        <v>6799</v>
      </c>
      <c r="C3328" s="20" t="s">
        <v>6800</v>
      </c>
      <c r="D3328" s="20" t="s">
        <v>6799</v>
      </c>
      <c r="E3328" s="20" t="e">
        <f t="array" ref="E3328">INDEX(C:C,SMALL(IF(ISNUMBER(FIND(CELL("contents"),$C$2:$C$4852)),ROW($C$2:$C$4852),4^8),ROW(C3328)))&amp;""</f>
        <v>#N/A</v>
      </c>
      <c r="F3328" s="20"/>
      <c r="G3328" s="20"/>
      <c r="H3328" s="20"/>
      <c r="I3328" s="20"/>
      <c r="J3328" s="20"/>
      <c r="K3328" s="20"/>
      <c r="L3328" s="20"/>
      <c r="M3328" s="20"/>
      <c r="N3328" s="20"/>
      <c r="O3328" s="20"/>
      <c r="P3328" s="20"/>
      <c r="Q3328" s="20"/>
      <c r="R3328" s="20"/>
      <c r="S3328" s="20"/>
      <c r="T3328" s="20"/>
      <c r="U3328" s="20"/>
      <c r="V3328" s="20"/>
      <c r="W3328" s="20"/>
      <c r="X3328" s="20"/>
      <c r="Y3328" s="20"/>
      <c r="Z3328" s="20"/>
      <c r="AA3328" s="20"/>
      <c r="AB3328" s="20"/>
      <c r="AC3328" s="20"/>
      <c r="AD3328" s="20"/>
      <c r="AE3328" s="20"/>
      <c r="AF3328" s="20"/>
      <c r="AG3328" s="20"/>
      <c r="AH3328" s="20"/>
      <c r="AI3328" s="20"/>
      <c r="AJ3328" s="20"/>
      <c r="AK3328" s="20"/>
      <c r="AL3328" s="20"/>
      <c r="AM3328" s="20"/>
      <c r="AN3328" s="20"/>
    </row>
    <row r="3329" s="18" customFormat="1" ht="14.100000000000001" customHeight="1">
      <c r="A3329" s="20"/>
      <c r="B3329" s="20" t="s">
        <v>6801</v>
      </c>
      <c r="C3329" s="20" t="s">
        <v>6802</v>
      </c>
      <c r="D3329" s="20" t="s">
        <v>6801</v>
      </c>
      <c r="E3329" s="20" t="e">
        <f t="array" ref="E3329">INDEX(C:C,SMALL(IF(ISNUMBER(FIND(CELL("contents"),$C$2:$C$4852)),ROW($C$2:$C$4852),4^8),ROW(C3329)))&amp;""</f>
        <v>#N/A</v>
      </c>
      <c r="F3329" s="20"/>
      <c r="G3329" s="20"/>
      <c r="H3329" s="20"/>
      <c r="I3329" s="20"/>
      <c r="J3329" s="20"/>
      <c r="K3329" s="20"/>
      <c r="L3329" s="20"/>
      <c r="M3329" s="20"/>
      <c r="N3329" s="20"/>
      <c r="O3329" s="20"/>
      <c r="P3329" s="20"/>
      <c r="Q3329" s="20"/>
      <c r="R3329" s="20"/>
      <c r="S3329" s="20"/>
      <c r="T3329" s="20"/>
      <c r="U3329" s="20"/>
      <c r="V3329" s="20"/>
      <c r="W3329" s="20"/>
      <c r="X3329" s="20"/>
      <c r="Y3329" s="20"/>
      <c r="Z3329" s="20"/>
      <c r="AA3329" s="20"/>
      <c r="AB3329" s="20"/>
      <c r="AC3329" s="20"/>
      <c r="AD3329" s="20"/>
      <c r="AE3329" s="20"/>
      <c r="AF3329" s="20"/>
      <c r="AG3329" s="20"/>
      <c r="AH3329" s="20"/>
      <c r="AI3329" s="20"/>
      <c r="AJ3329" s="20"/>
      <c r="AK3329" s="20"/>
      <c r="AL3329" s="20"/>
      <c r="AM3329" s="20"/>
      <c r="AN3329" s="20"/>
    </row>
    <row r="3330" ht="14.100000000000001" customHeight="1">
      <c r="B3330" s="8" t="s">
        <v>6803</v>
      </c>
      <c r="C3330" s="8" t="s">
        <v>6804</v>
      </c>
      <c r="D3330" s="8" t="s">
        <v>6803</v>
      </c>
      <c r="E3330" s="20" t="e">
        <f t="array" ref="E3330">INDEX(C:C,SMALL(IF(ISNUMBER(FIND(CELL("contents"),$C$2:$C$4852)),ROW($C$2:$C$4852),4^8),ROW(C3330)))&amp;""</f>
        <v>#N/A</v>
      </c>
    </row>
    <row r="3331" ht="14.100000000000001" customHeight="1">
      <c r="B3331" s="8" t="s">
        <v>6805</v>
      </c>
      <c r="C3331" s="8" t="s">
        <v>6806</v>
      </c>
      <c r="D3331" s="8" t="s">
        <v>6805</v>
      </c>
      <c r="E3331" s="20" t="e">
        <f t="array" ref="E3331">INDEX(C:C,SMALL(IF(ISNUMBER(FIND(CELL("contents"),$C$2:$C$4852)),ROW($C$2:$C$4852),4^8),ROW(C3331)))&amp;""</f>
        <v>#N/A</v>
      </c>
    </row>
    <row r="3332" ht="14.100000000000001" customHeight="1">
      <c r="B3332" s="8" t="s">
        <v>6807</v>
      </c>
      <c r="C3332" s="8" t="s">
        <v>6808</v>
      </c>
      <c r="D3332" s="8" t="s">
        <v>6807</v>
      </c>
      <c r="E3332" s="20" t="e">
        <f t="array" ref="E3332">INDEX(C:C,SMALL(IF(ISNUMBER(FIND(CELL("contents"),$C$2:$C$4852)),ROW($C$2:$C$4852),4^8),ROW(C3332)))&amp;""</f>
        <v>#N/A</v>
      </c>
    </row>
    <row r="3333" ht="14.100000000000001" customHeight="1">
      <c r="B3333" s="8" t="s">
        <v>6809</v>
      </c>
      <c r="C3333" s="8" t="s">
        <v>6810</v>
      </c>
      <c r="D3333" s="8" t="s">
        <v>6809</v>
      </c>
      <c r="E3333" s="20" t="e">
        <f t="array" ref="E3333">INDEX(C:C,SMALL(IF(ISNUMBER(FIND(CELL("contents"),$C$2:$C$4852)),ROW($C$2:$C$4852),4^8),ROW(C3333)))&amp;""</f>
        <v>#N/A</v>
      </c>
    </row>
    <row r="3334" ht="14.100000000000001" customHeight="1">
      <c r="B3334" s="8" t="s">
        <v>6811</v>
      </c>
      <c r="C3334" s="8" t="s">
        <v>6812</v>
      </c>
      <c r="D3334" s="8" t="s">
        <v>6811</v>
      </c>
      <c r="E3334" s="20" t="e">
        <f t="array" ref="E3334">INDEX(C:C,SMALL(IF(ISNUMBER(FIND(CELL("contents"),$C$2:$C$4852)),ROW($C$2:$C$4852),4^8),ROW(C3334)))&amp;""</f>
        <v>#N/A</v>
      </c>
    </row>
    <row r="3335" ht="14.100000000000001" customHeight="1">
      <c r="B3335" s="8" t="s">
        <v>6813</v>
      </c>
      <c r="C3335" s="8" t="s">
        <v>6814</v>
      </c>
      <c r="D3335" s="8" t="s">
        <v>6813</v>
      </c>
      <c r="E3335" s="20" t="e">
        <f t="array" ref="E3335">INDEX(C:C,SMALL(IF(ISNUMBER(FIND(CELL("contents"),$C$2:$C$4852)),ROW($C$2:$C$4852),4^8),ROW(C3335)))&amp;""</f>
        <v>#N/A</v>
      </c>
    </row>
    <row r="3336" ht="14.100000000000001" customHeight="1">
      <c r="B3336" s="8" t="s">
        <v>6815</v>
      </c>
      <c r="C3336" s="8" t="s">
        <v>6816</v>
      </c>
      <c r="D3336" s="8" t="s">
        <v>6815</v>
      </c>
      <c r="E3336" s="20" t="e">
        <f t="array" ref="E3336">INDEX(C:C,SMALL(IF(ISNUMBER(FIND(CELL("contents"),$C$2:$C$4852)),ROW($C$2:$C$4852),4^8),ROW(C3336)))&amp;""</f>
        <v>#N/A</v>
      </c>
    </row>
    <row r="3337" ht="14.100000000000001" customHeight="1">
      <c r="B3337" s="8" t="s">
        <v>6817</v>
      </c>
      <c r="C3337" s="8" t="s">
        <v>6818</v>
      </c>
      <c r="D3337" s="8" t="s">
        <v>6817</v>
      </c>
      <c r="E3337" s="20" t="e">
        <f t="array" ref="E3337">INDEX(C:C,SMALL(IF(ISNUMBER(FIND(CELL("contents"),$C$2:$C$4852)),ROW($C$2:$C$4852),4^8),ROW(C3337)))&amp;""</f>
        <v>#N/A</v>
      </c>
    </row>
    <row r="3338" ht="14.100000000000001" customHeight="1">
      <c r="B3338" s="8" t="s">
        <v>6819</v>
      </c>
      <c r="C3338" s="8" t="s">
        <v>6820</v>
      </c>
      <c r="D3338" s="8" t="s">
        <v>6819</v>
      </c>
      <c r="E3338" s="20" t="e">
        <f t="array" ref="E3338">INDEX(C:C,SMALL(IF(ISNUMBER(FIND(CELL("contents"),$C$2:$C$4852)),ROW($C$2:$C$4852),4^8),ROW(C3338)))&amp;""</f>
        <v>#N/A</v>
      </c>
    </row>
    <row r="3339" ht="14.100000000000001" customHeight="1">
      <c r="B3339" s="8" t="s">
        <v>6821</v>
      </c>
      <c r="C3339" s="8" t="s">
        <v>6822</v>
      </c>
      <c r="D3339" s="8" t="s">
        <v>6821</v>
      </c>
      <c r="E3339" s="20" t="e">
        <f t="array" ref="E3339">INDEX(C:C,SMALL(IF(ISNUMBER(FIND(CELL("contents"),$C$2:$C$4852)),ROW($C$2:$C$4852),4^8),ROW(C3339)))&amp;""</f>
        <v>#N/A</v>
      </c>
    </row>
    <row r="3340" ht="14.100000000000001" customHeight="1">
      <c r="B3340" s="8" t="s">
        <v>6823</v>
      </c>
      <c r="C3340" s="8" t="s">
        <v>6824</v>
      </c>
      <c r="D3340" s="8" t="s">
        <v>6823</v>
      </c>
      <c r="E3340" s="20" t="e">
        <f t="array" ref="E3340">INDEX(C:C,SMALL(IF(ISNUMBER(FIND(CELL("contents"),$C$2:$C$4852)),ROW($C$2:$C$4852),4^8),ROW(C3340)))&amp;""</f>
        <v>#N/A</v>
      </c>
    </row>
    <row r="3341" ht="14.100000000000001" customHeight="1">
      <c r="B3341" s="8" t="s">
        <v>6825</v>
      </c>
      <c r="C3341" s="8" t="s">
        <v>6826</v>
      </c>
      <c r="D3341" s="8" t="s">
        <v>6825</v>
      </c>
      <c r="E3341" s="20" t="e">
        <f t="array" ref="E3341">INDEX(C:C,SMALL(IF(ISNUMBER(FIND(CELL("contents"),$C$2:$C$4852)),ROW($C$2:$C$4852),4^8),ROW(C3341)))&amp;""</f>
        <v>#N/A</v>
      </c>
    </row>
    <row r="3342" ht="14.100000000000001" customHeight="1">
      <c r="B3342" s="8" t="s">
        <v>6827</v>
      </c>
      <c r="C3342" s="8" t="s">
        <v>6828</v>
      </c>
      <c r="D3342" s="8" t="s">
        <v>6827</v>
      </c>
      <c r="E3342" s="20" t="e">
        <f t="array" ref="E3342">INDEX(C:C,SMALL(IF(ISNUMBER(FIND(CELL("contents"),$C$2:$C$4852)),ROW($C$2:$C$4852),4^8),ROW(C3342)))&amp;""</f>
        <v>#N/A</v>
      </c>
    </row>
    <row r="3343" ht="14.100000000000001" customHeight="1">
      <c r="B3343" s="8" t="s">
        <v>6829</v>
      </c>
      <c r="C3343" s="8" t="s">
        <v>6830</v>
      </c>
      <c r="D3343" s="8" t="s">
        <v>6829</v>
      </c>
      <c r="E3343" s="20" t="e">
        <f t="array" ref="E3343">INDEX(C:C,SMALL(IF(ISNUMBER(FIND(CELL("contents"),$C$2:$C$4852)),ROW($C$2:$C$4852),4^8),ROW(C3343)))&amp;""</f>
        <v>#N/A</v>
      </c>
    </row>
    <row r="3344" ht="14.100000000000001" customHeight="1">
      <c r="B3344" s="8" t="s">
        <v>6831</v>
      </c>
      <c r="C3344" s="8" t="s">
        <v>6832</v>
      </c>
      <c r="D3344" s="8" t="s">
        <v>6831</v>
      </c>
      <c r="E3344" s="20" t="e">
        <f t="array" ref="E3344">INDEX(C:C,SMALL(IF(ISNUMBER(FIND(CELL("contents"),$C$2:$C$4852)),ROW($C$2:$C$4852),4^8),ROW(C3344)))&amp;""</f>
        <v>#N/A</v>
      </c>
    </row>
    <row r="3345" ht="14.100000000000001" customHeight="1">
      <c r="B3345" s="8" t="s">
        <v>6833</v>
      </c>
      <c r="C3345" s="8" t="s">
        <v>6834</v>
      </c>
      <c r="D3345" s="8" t="s">
        <v>6833</v>
      </c>
      <c r="E3345" s="20" t="e">
        <f t="array" ref="E3345">INDEX(C:C,SMALL(IF(ISNUMBER(FIND(CELL("contents"),$C$2:$C$4852)),ROW($C$2:$C$4852),4^8),ROW(C3345)))&amp;""</f>
        <v>#N/A</v>
      </c>
    </row>
    <row r="3346" ht="14.100000000000001" customHeight="1">
      <c r="B3346" s="8" t="s">
        <v>6835</v>
      </c>
      <c r="C3346" s="8" t="s">
        <v>6836</v>
      </c>
      <c r="D3346" s="8" t="s">
        <v>6835</v>
      </c>
      <c r="E3346" s="20" t="e">
        <f t="array" ref="E3346">INDEX(C:C,SMALL(IF(ISNUMBER(FIND(CELL("contents"),$C$2:$C$4852)),ROW($C$2:$C$4852),4^8),ROW(C3346)))&amp;""</f>
        <v>#N/A</v>
      </c>
    </row>
    <row r="3347" ht="14.100000000000001" customHeight="1">
      <c r="B3347" s="8" t="s">
        <v>6837</v>
      </c>
      <c r="C3347" s="8" t="s">
        <v>6838</v>
      </c>
      <c r="D3347" s="8" t="s">
        <v>6837</v>
      </c>
      <c r="E3347" s="20" t="e">
        <f t="array" ref="E3347">INDEX(C:C,SMALL(IF(ISNUMBER(FIND(CELL("contents"),$C$2:$C$4852)),ROW($C$2:$C$4852),4^8),ROW(C3347)))&amp;""</f>
        <v>#N/A</v>
      </c>
    </row>
    <row r="3348" ht="14.100000000000001" customHeight="1">
      <c r="B3348" s="8" t="s">
        <v>6839</v>
      </c>
      <c r="C3348" s="8" t="s">
        <v>6840</v>
      </c>
      <c r="D3348" s="8" t="s">
        <v>6839</v>
      </c>
      <c r="E3348" s="20" t="e">
        <f t="array" ref="E3348">INDEX(C:C,SMALL(IF(ISNUMBER(FIND(CELL("contents"),$C$2:$C$4852)),ROW($C$2:$C$4852),4^8),ROW(C3348)))&amp;""</f>
        <v>#N/A</v>
      </c>
    </row>
    <row r="3349" ht="14.100000000000001" customHeight="1">
      <c r="B3349" s="8" t="s">
        <v>6841</v>
      </c>
      <c r="C3349" s="8" t="s">
        <v>6842</v>
      </c>
      <c r="D3349" s="8" t="s">
        <v>6841</v>
      </c>
      <c r="E3349" s="20" t="e">
        <f t="array" ref="E3349">INDEX(C:C,SMALL(IF(ISNUMBER(FIND(CELL("contents"),$C$2:$C$4852)),ROW($C$2:$C$4852),4^8),ROW(C3349)))&amp;""</f>
        <v>#N/A</v>
      </c>
    </row>
    <row r="3350" ht="14.100000000000001" customHeight="1">
      <c r="B3350" s="8" t="s">
        <v>6843</v>
      </c>
      <c r="C3350" s="8" t="s">
        <v>6844</v>
      </c>
      <c r="D3350" s="8" t="s">
        <v>6843</v>
      </c>
      <c r="E3350" s="20" t="e">
        <f t="array" ref="E3350">INDEX(C:C,SMALL(IF(ISNUMBER(FIND(CELL("contents"),$C$2:$C$4852)),ROW($C$2:$C$4852),4^8),ROW(C3350)))&amp;""</f>
        <v>#N/A</v>
      </c>
    </row>
    <row r="3351" ht="14.100000000000001" customHeight="1">
      <c r="B3351" s="8" t="s">
        <v>6845</v>
      </c>
      <c r="C3351" s="8" t="s">
        <v>6846</v>
      </c>
      <c r="D3351" s="8" t="s">
        <v>6845</v>
      </c>
      <c r="E3351" s="20" t="e">
        <f t="array" ref="E3351">INDEX(C:C,SMALL(IF(ISNUMBER(FIND(CELL("contents"),$C$2:$C$4852)),ROW($C$2:$C$4852),4^8),ROW(C3351)))&amp;""</f>
        <v>#N/A</v>
      </c>
    </row>
    <row r="3352" ht="14.100000000000001" customHeight="1">
      <c r="B3352" s="8" t="s">
        <v>6847</v>
      </c>
      <c r="C3352" s="8" t="s">
        <v>6848</v>
      </c>
      <c r="D3352" s="8" t="s">
        <v>6847</v>
      </c>
      <c r="E3352" s="20" t="e">
        <f t="array" ref="E3352">INDEX(C:C,SMALL(IF(ISNUMBER(FIND(CELL("contents"),$C$2:$C$4852)),ROW($C$2:$C$4852),4^8),ROW(C3352)))&amp;""</f>
        <v>#N/A</v>
      </c>
    </row>
    <row r="3353" ht="14.100000000000001" customHeight="1">
      <c r="B3353" s="8" t="s">
        <v>6849</v>
      </c>
      <c r="C3353" s="8" t="s">
        <v>6850</v>
      </c>
      <c r="D3353" s="8" t="s">
        <v>6849</v>
      </c>
      <c r="E3353" s="20" t="e">
        <f t="array" ref="E3353">INDEX(C:C,SMALL(IF(ISNUMBER(FIND(CELL("contents"),$C$2:$C$4852)),ROW($C$2:$C$4852),4^8),ROW(C3353)))&amp;""</f>
        <v>#N/A</v>
      </c>
    </row>
    <row r="3354" ht="14.100000000000001" customHeight="1">
      <c r="B3354" s="8" t="s">
        <v>6851</v>
      </c>
      <c r="C3354" s="8" t="s">
        <v>6852</v>
      </c>
      <c r="D3354" s="8" t="s">
        <v>6851</v>
      </c>
      <c r="E3354" s="20" t="e">
        <f t="array" ref="E3354">INDEX(C:C,SMALL(IF(ISNUMBER(FIND(CELL("contents"),$C$2:$C$4852)),ROW($C$2:$C$4852),4^8),ROW(C3354)))&amp;""</f>
        <v>#N/A</v>
      </c>
    </row>
    <row r="3355" ht="14.100000000000001" customHeight="1">
      <c r="B3355" s="8" t="s">
        <v>6853</v>
      </c>
      <c r="C3355" s="8" t="s">
        <v>6854</v>
      </c>
      <c r="D3355" s="8" t="s">
        <v>6853</v>
      </c>
      <c r="E3355" s="20" t="e">
        <f t="array" ref="E3355">INDEX(C:C,SMALL(IF(ISNUMBER(FIND(CELL("contents"),$C$2:$C$4852)),ROW($C$2:$C$4852),4^8),ROW(C3355)))&amp;""</f>
        <v>#N/A</v>
      </c>
    </row>
    <row r="3356" ht="14.100000000000001" customHeight="1">
      <c r="B3356" s="8" t="s">
        <v>6855</v>
      </c>
      <c r="C3356" s="8" t="s">
        <v>6856</v>
      </c>
      <c r="D3356" s="8" t="s">
        <v>6855</v>
      </c>
      <c r="E3356" s="20" t="e">
        <f t="array" ref="E3356">INDEX(C:C,SMALL(IF(ISNUMBER(FIND(CELL("contents"),$C$2:$C$4852)),ROW($C$2:$C$4852),4^8),ROW(C3356)))&amp;""</f>
        <v>#N/A</v>
      </c>
    </row>
    <row r="3357" ht="14.100000000000001" customHeight="1">
      <c r="B3357" s="8" t="s">
        <v>6857</v>
      </c>
      <c r="C3357" s="8" t="s">
        <v>6858</v>
      </c>
      <c r="D3357" s="8" t="s">
        <v>6857</v>
      </c>
      <c r="E3357" s="20" t="e">
        <f t="array" ref="E3357">INDEX(C:C,SMALL(IF(ISNUMBER(FIND(CELL("contents"),$C$2:$C$4852)),ROW($C$2:$C$4852),4^8),ROW(C3357)))&amp;""</f>
        <v>#N/A</v>
      </c>
    </row>
    <row r="3358" ht="14.100000000000001" customHeight="1">
      <c r="B3358" s="8" t="s">
        <v>6859</v>
      </c>
      <c r="C3358" s="8" t="s">
        <v>6860</v>
      </c>
      <c r="D3358" s="8" t="s">
        <v>6859</v>
      </c>
      <c r="E3358" s="20" t="e">
        <f t="array" ref="E3358">INDEX(C:C,SMALL(IF(ISNUMBER(FIND(CELL("contents"),$C$2:$C$4852)),ROW($C$2:$C$4852),4^8),ROW(C3358)))&amp;""</f>
        <v>#N/A</v>
      </c>
    </row>
    <row r="3359" ht="14.100000000000001" customHeight="1">
      <c r="B3359" s="8" t="s">
        <v>6861</v>
      </c>
      <c r="C3359" s="8" t="s">
        <v>6862</v>
      </c>
      <c r="D3359" s="8" t="s">
        <v>6861</v>
      </c>
      <c r="E3359" s="20" t="e">
        <f t="array" ref="E3359">INDEX(C:C,SMALL(IF(ISNUMBER(FIND(CELL("contents"),$C$2:$C$4852)),ROW($C$2:$C$4852),4^8),ROW(C3359)))&amp;""</f>
        <v>#N/A</v>
      </c>
    </row>
    <row r="3360" ht="14.100000000000001" customHeight="1">
      <c r="B3360" s="8" t="s">
        <v>6863</v>
      </c>
      <c r="C3360" s="8" t="s">
        <v>6864</v>
      </c>
      <c r="D3360" s="8" t="s">
        <v>6863</v>
      </c>
      <c r="E3360" s="20" t="e">
        <f t="array" ref="E3360">INDEX(C:C,SMALL(IF(ISNUMBER(FIND(CELL("contents"),$C$2:$C$4852)),ROW($C$2:$C$4852),4^8),ROW(C3360)))&amp;""</f>
        <v>#N/A</v>
      </c>
    </row>
    <row r="3361" ht="14.100000000000001" customHeight="1">
      <c r="B3361" s="8" t="s">
        <v>6865</v>
      </c>
      <c r="C3361" s="8" t="s">
        <v>6866</v>
      </c>
      <c r="D3361" s="8" t="s">
        <v>6865</v>
      </c>
      <c r="E3361" s="20" t="e">
        <f t="array" ref="E3361">INDEX(C:C,SMALL(IF(ISNUMBER(FIND(CELL("contents"),$C$2:$C$4852)),ROW($C$2:$C$4852),4^8),ROW(C3361)))&amp;""</f>
        <v>#N/A</v>
      </c>
    </row>
    <row r="3362" ht="14.100000000000001" customHeight="1">
      <c r="B3362" s="8" t="s">
        <v>6867</v>
      </c>
      <c r="C3362" s="8" t="s">
        <v>6868</v>
      </c>
      <c r="D3362" s="8" t="s">
        <v>6867</v>
      </c>
      <c r="E3362" s="20" t="e">
        <f t="array" ref="E3362">INDEX(C:C,SMALL(IF(ISNUMBER(FIND(CELL("contents"),$C$2:$C$4852)),ROW($C$2:$C$4852),4^8),ROW(C3362)))&amp;""</f>
        <v>#N/A</v>
      </c>
    </row>
    <row r="3363" ht="14.100000000000001" customHeight="1">
      <c r="B3363" s="8" t="s">
        <v>6869</v>
      </c>
      <c r="C3363" s="8" t="s">
        <v>6870</v>
      </c>
      <c r="D3363" s="8" t="s">
        <v>6869</v>
      </c>
      <c r="E3363" s="20" t="e">
        <f t="array" ref="E3363">INDEX(C:C,SMALL(IF(ISNUMBER(FIND(CELL("contents"),$C$2:$C$4852)),ROW($C$2:$C$4852),4^8),ROW(C3363)))&amp;""</f>
        <v>#N/A</v>
      </c>
    </row>
    <row r="3364" ht="14.100000000000001" customHeight="1">
      <c r="B3364" s="8" t="s">
        <v>6871</v>
      </c>
      <c r="C3364" s="8" t="s">
        <v>6872</v>
      </c>
      <c r="D3364" s="8" t="s">
        <v>6871</v>
      </c>
      <c r="E3364" s="20" t="e">
        <f t="array" ref="E3364">INDEX(C:C,SMALL(IF(ISNUMBER(FIND(CELL("contents"),$C$2:$C$4852)),ROW($C$2:$C$4852),4^8),ROW(C3364)))&amp;""</f>
        <v>#N/A</v>
      </c>
    </row>
    <row r="3365" ht="14.100000000000001" customHeight="1">
      <c r="B3365" s="8" t="s">
        <v>6873</v>
      </c>
      <c r="C3365" s="8" t="s">
        <v>6874</v>
      </c>
      <c r="D3365" s="8" t="s">
        <v>6873</v>
      </c>
      <c r="E3365" s="20" t="e">
        <f t="array" ref="E3365">INDEX(C:C,SMALL(IF(ISNUMBER(FIND(CELL("contents"),$C$2:$C$4852)),ROW($C$2:$C$4852),4^8),ROW(C3365)))&amp;""</f>
        <v>#N/A</v>
      </c>
    </row>
    <row r="3366" ht="14.100000000000001" customHeight="1">
      <c r="B3366" s="8" t="s">
        <v>6875</v>
      </c>
      <c r="C3366" s="8" t="s">
        <v>6876</v>
      </c>
      <c r="D3366" s="8" t="s">
        <v>6875</v>
      </c>
      <c r="E3366" s="20" t="e">
        <f t="array" ref="E3366">INDEX(C:C,SMALL(IF(ISNUMBER(FIND(CELL("contents"),$C$2:$C$4852)),ROW($C$2:$C$4852),4^8),ROW(C3366)))&amp;""</f>
        <v>#N/A</v>
      </c>
    </row>
    <row r="3367" ht="14.100000000000001" customHeight="1">
      <c r="B3367" s="8" t="s">
        <v>6877</v>
      </c>
      <c r="C3367" s="8" t="s">
        <v>6878</v>
      </c>
      <c r="D3367" s="8" t="s">
        <v>6877</v>
      </c>
      <c r="E3367" s="20" t="e">
        <f t="array" ref="E3367">INDEX(C:C,SMALL(IF(ISNUMBER(FIND(CELL("contents"),$C$2:$C$4852)),ROW($C$2:$C$4852),4^8),ROW(C3367)))&amp;""</f>
        <v>#N/A</v>
      </c>
    </row>
    <row r="3368" ht="14.100000000000001" customHeight="1">
      <c r="B3368" s="8" t="s">
        <v>6879</v>
      </c>
      <c r="C3368" s="8" t="s">
        <v>6880</v>
      </c>
      <c r="D3368" s="8" t="s">
        <v>6879</v>
      </c>
      <c r="E3368" s="20" t="e">
        <f t="array" ref="E3368">INDEX(C:C,SMALL(IF(ISNUMBER(FIND(CELL("contents"),$C$2:$C$4852)),ROW($C$2:$C$4852),4^8),ROW(C3368)))&amp;""</f>
        <v>#N/A</v>
      </c>
    </row>
    <row r="3369" ht="14.100000000000001" customHeight="1">
      <c r="B3369" s="8" t="s">
        <v>6881</v>
      </c>
      <c r="C3369" s="8" t="s">
        <v>6882</v>
      </c>
      <c r="D3369" s="8" t="s">
        <v>6881</v>
      </c>
      <c r="E3369" s="20" t="e">
        <f t="array" ref="E3369">INDEX(C:C,SMALL(IF(ISNUMBER(FIND(CELL("contents"),$C$2:$C$4852)),ROW($C$2:$C$4852),4^8),ROW(C3369)))&amp;""</f>
        <v>#N/A</v>
      </c>
    </row>
    <row r="3370" ht="14.100000000000001" customHeight="1">
      <c r="B3370" s="8" t="s">
        <v>6883</v>
      </c>
      <c r="C3370" s="8" t="s">
        <v>6884</v>
      </c>
      <c r="D3370" s="8" t="s">
        <v>6883</v>
      </c>
      <c r="E3370" s="20" t="e">
        <f t="array" ref="E3370">INDEX(C:C,SMALL(IF(ISNUMBER(FIND(CELL("contents"),$C$2:$C$4852)),ROW($C$2:$C$4852),4^8),ROW(C3370)))&amp;""</f>
        <v>#N/A</v>
      </c>
    </row>
    <row r="3371" ht="14.100000000000001" customHeight="1">
      <c r="B3371" s="8" t="s">
        <v>6885</v>
      </c>
      <c r="C3371" s="8" t="s">
        <v>6886</v>
      </c>
      <c r="D3371" s="8" t="s">
        <v>6885</v>
      </c>
      <c r="E3371" s="20" t="e">
        <f t="array" ref="E3371">INDEX(C:C,SMALL(IF(ISNUMBER(FIND(CELL("contents"),$C$2:$C$4852)),ROW($C$2:$C$4852),4^8),ROW(C3371)))&amp;""</f>
        <v>#N/A</v>
      </c>
    </row>
    <row r="3372" ht="14.100000000000001" customHeight="1">
      <c r="B3372" s="8" t="s">
        <v>6887</v>
      </c>
      <c r="C3372" s="8" t="s">
        <v>6888</v>
      </c>
      <c r="D3372" s="8" t="s">
        <v>6887</v>
      </c>
      <c r="E3372" s="20" t="e">
        <f t="array" ref="E3372">INDEX(C:C,SMALL(IF(ISNUMBER(FIND(CELL("contents"),$C$2:$C$4852)),ROW($C$2:$C$4852),4^8),ROW(C3372)))&amp;""</f>
        <v>#N/A</v>
      </c>
    </row>
    <row r="3373" ht="14.100000000000001" customHeight="1">
      <c r="B3373" s="8" t="s">
        <v>6889</v>
      </c>
      <c r="C3373" s="8" t="s">
        <v>6890</v>
      </c>
      <c r="D3373" s="8" t="s">
        <v>6889</v>
      </c>
      <c r="E3373" s="20" t="e">
        <f t="array" ref="E3373">INDEX(C:C,SMALL(IF(ISNUMBER(FIND(CELL("contents"),$C$2:$C$4852)),ROW($C$2:$C$4852),4^8),ROW(C3373)))&amp;""</f>
        <v>#N/A</v>
      </c>
    </row>
    <row r="3374" ht="14.100000000000001" customHeight="1">
      <c r="B3374" s="8" t="s">
        <v>6891</v>
      </c>
      <c r="C3374" s="8" t="s">
        <v>6892</v>
      </c>
      <c r="D3374" s="8" t="s">
        <v>6891</v>
      </c>
      <c r="E3374" s="20" t="e">
        <f t="array" ref="E3374">INDEX(C:C,SMALL(IF(ISNUMBER(FIND(CELL("contents"),$C$2:$C$4852)),ROW($C$2:$C$4852),4^8),ROW(C3374)))&amp;""</f>
        <v>#N/A</v>
      </c>
    </row>
    <row r="3375" ht="14.100000000000001" customHeight="1">
      <c r="B3375" s="8" t="s">
        <v>6893</v>
      </c>
      <c r="C3375" s="8" t="s">
        <v>6894</v>
      </c>
      <c r="D3375" s="8" t="s">
        <v>6893</v>
      </c>
      <c r="E3375" s="20" t="e">
        <f t="array" ref="E3375">INDEX(C:C,SMALL(IF(ISNUMBER(FIND(CELL("contents"),$C$2:$C$4852)),ROW($C$2:$C$4852),4^8),ROW(C3375)))&amp;""</f>
        <v>#N/A</v>
      </c>
    </row>
    <row r="3376" ht="14.100000000000001" customHeight="1">
      <c r="B3376" s="8" t="s">
        <v>6895</v>
      </c>
      <c r="C3376" s="8" t="s">
        <v>6896</v>
      </c>
      <c r="D3376" s="8" t="s">
        <v>6895</v>
      </c>
      <c r="E3376" s="20" t="e">
        <f t="array" ref="E3376">INDEX(C:C,SMALL(IF(ISNUMBER(FIND(CELL("contents"),$C$2:$C$4852)),ROW($C$2:$C$4852),4^8),ROW(C3376)))&amp;""</f>
        <v>#N/A</v>
      </c>
    </row>
    <row r="3377" ht="14.100000000000001" customHeight="1">
      <c r="B3377" s="8" t="s">
        <v>6897</v>
      </c>
      <c r="C3377" s="8" t="s">
        <v>6898</v>
      </c>
      <c r="D3377" s="8" t="s">
        <v>6897</v>
      </c>
      <c r="E3377" s="20" t="e">
        <f t="array" ref="E3377">INDEX(C:C,SMALL(IF(ISNUMBER(FIND(CELL("contents"),$C$2:$C$4852)),ROW($C$2:$C$4852),4^8),ROW(C3377)))&amp;""</f>
        <v>#N/A</v>
      </c>
    </row>
    <row r="3378" ht="14.100000000000001" customHeight="1">
      <c r="B3378" s="8" t="s">
        <v>6899</v>
      </c>
      <c r="C3378" s="8" t="s">
        <v>6900</v>
      </c>
      <c r="D3378" s="8" t="s">
        <v>6899</v>
      </c>
      <c r="E3378" s="20" t="e">
        <f t="array" ref="E3378">INDEX(C:C,SMALL(IF(ISNUMBER(FIND(CELL("contents"),$C$2:$C$4852)),ROW($C$2:$C$4852),4^8),ROW(C3378)))&amp;""</f>
        <v>#N/A</v>
      </c>
    </row>
    <row r="3379" ht="14.100000000000001" customHeight="1">
      <c r="B3379" s="8" t="s">
        <v>6901</v>
      </c>
      <c r="C3379" s="8" t="s">
        <v>6902</v>
      </c>
      <c r="D3379" s="8" t="s">
        <v>6901</v>
      </c>
      <c r="E3379" s="20" t="e">
        <f t="array" ref="E3379">INDEX(C:C,SMALL(IF(ISNUMBER(FIND(CELL("contents"),$C$2:$C$4852)),ROW($C$2:$C$4852),4^8),ROW(C3379)))&amp;""</f>
        <v>#N/A</v>
      </c>
    </row>
    <row r="3380" ht="14.100000000000001" customHeight="1">
      <c r="B3380" s="8" t="s">
        <v>6903</v>
      </c>
      <c r="C3380" s="8" t="s">
        <v>6633</v>
      </c>
      <c r="D3380" s="8" t="s">
        <v>6903</v>
      </c>
      <c r="E3380" s="20" t="e">
        <f t="array" ref="E3380">INDEX(C:C,SMALL(IF(ISNUMBER(FIND(CELL("contents"),$C$2:$C$4852)),ROW($C$2:$C$4852),4^8),ROW(C3380)))&amp;""</f>
        <v>#N/A</v>
      </c>
    </row>
    <row r="3381" ht="14.100000000000001" customHeight="1">
      <c r="B3381" s="8" t="s">
        <v>6904</v>
      </c>
      <c r="C3381" s="8" t="s">
        <v>6905</v>
      </c>
      <c r="D3381" s="8" t="s">
        <v>6904</v>
      </c>
      <c r="E3381" s="20" t="e">
        <f t="array" ref="E3381">INDEX(C:C,SMALL(IF(ISNUMBER(FIND(CELL("contents"),$C$2:$C$4852)),ROW($C$2:$C$4852),4^8),ROW(C3381)))&amp;""</f>
        <v>#N/A</v>
      </c>
    </row>
    <row r="3382" ht="14.100000000000001" customHeight="1">
      <c r="B3382" s="8" t="s">
        <v>6906</v>
      </c>
      <c r="C3382" s="8" t="s">
        <v>6907</v>
      </c>
      <c r="D3382" s="8" t="s">
        <v>6906</v>
      </c>
      <c r="E3382" s="20" t="e">
        <f t="array" ref="E3382">INDEX(C:C,SMALL(IF(ISNUMBER(FIND(CELL("contents"),$C$2:$C$4852)),ROW($C$2:$C$4852),4^8),ROW(C3382)))&amp;""</f>
        <v>#N/A</v>
      </c>
    </row>
    <row r="3383" ht="14.100000000000001" customHeight="1">
      <c r="B3383" s="8" t="s">
        <v>6908</v>
      </c>
      <c r="C3383" s="8" t="s">
        <v>6909</v>
      </c>
      <c r="D3383" s="8" t="s">
        <v>6908</v>
      </c>
      <c r="E3383" s="20" t="e">
        <f t="array" ref="E3383">INDEX(C:C,SMALL(IF(ISNUMBER(FIND(CELL("contents"),$C$2:$C$4852)),ROW($C$2:$C$4852),4^8),ROW(C3383)))&amp;""</f>
        <v>#N/A</v>
      </c>
    </row>
    <row r="3384" ht="14.100000000000001" customHeight="1">
      <c r="B3384" s="8" t="s">
        <v>6910</v>
      </c>
      <c r="C3384" s="8" t="s">
        <v>6911</v>
      </c>
      <c r="D3384" s="8" t="s">
        <v>6910</v>
      </c>
      <c r="E3384" s="20" t="e">
        <f t="array" ref="E3384">INDEX(C:C,SMALL(IF(ISNUMBER(FIND(CELL("contents"),$C$2:$C$4852)),ROW($C$2:$C$4852),4^8),ROW(C3384)))&amp;""</f>
        <v>#N/A</v>
      </c>
    </row>
    <row r="3385" ht="14.100000000000001" customHeight="1">
      <c r="B3385" s="8" t="s">
        <v>6912</v>
      </c>
      <c r="C3385" s="8" t="s">
        <v>6913</v>
      </c>
      <c r="D3385" s="8" t="s">
        <v>6912</v>
      </c>
      <c r="E3385" s="20" t="e">
        <f t="array" ref="E3385">INDEX(C:C,SMALL(IF(ISNUMBER(FIND(CELL("contents"),$C$2:$C$4852)),ROW($C$2:$C$4852),4^8),ROW(C3385)))&amp;""</f>
        <v>#N/A</v>
      </c>
    </row>
    <row r="3386" ht="14.100000000000001" customHeight="1">
      <c r="B3386" s="8" t="s">
        <v>6914</v>
      </c>
      <c r="C3386" s="8" t="s">
        <v>6443</v>
      </c>
      <c r="D3386" s="8" t="s">
        <v>6914</v>
      </c>
      <c r="E3386" s="20" t="e">
        <f t="array" ref="E3386">INDEX(C:C,SMALL(IF(ISNUMBER(FIND(CELL("contents"),$C$2:$C$4852)),ROW($C$2:$C$4852),4^8),ROW(C3386)))&amp;""</f>
        <v>#N/A</v>
      </c>
    </row>
    <row r="3387" ht="14.100000000000001" customHeight="1">
      <c r="B3387" s="8" t="s">
        <v>6915</v>
      </c>
      <c r="C3387" s="8" t="s">
        <v>6916</v>
      </c>
      <c r="D3387" s="8" t="s">
        <v>6915</v>
      </c>
      <c r="E3387" s="20" t="e">
        <f t="array" ref="E3387">INDEX(C:C,SMALL(IF(ISNUMBER(FIND(CELL("contents"),$C$2:$C$4852)),ROW($C$2:$C$4852),4^8),ROW(C3387)))&amp;""</f>
        <v>#N/A</v>
      </c>
    </row>
    <row r="3388" ht="14.100000000000001" customHeight="1">
      <c r="B3388" s="8" t="s">
        <v>6917</v>
      </c>
      <c r="C3388" s="8" t="s">
        <v>6918</v>
      </c>
      <c r="D3388" s="8" t="s">
        <v>6917</v>
      </c>
      <c r="E3388" s="20" t="e">
        <f t="array" ref="E3388">INDEX(C:C,SMALL(IF(ISNUMBER(FIND(CELL("contents"),$C$2:$C$4852)),ROW($C$2:$C$4852),4^8),ROW(C3388)))&amp;""</f>
        <v>#N/A</v>
      </c>
    </row>
    <row r="3389" ht="14.100000000000001" customHeight="1">
      <c r="B3389" s="8" t="s">
        <v>6919</v>
      </c>
      <c r="C3389" s="8" t="s">
        <v>6920</v>
      </c>
      <c r="D3389" s="8" t="s">
        <v>6919</v>
      </c>
      <c r="E3389" s="20" t="e">
        <f t="array" ref="E3389">INDEX(C:C,SMALL(IF(ISNUMBER(FIND(CELL("contents"),$C$2:$C$4852)),ROW($C$2:$C$4852),4^8),ROW(C3389)))&amp;""</f>
        <v>#N/A</v>
      </c>
    </row>
    <row r="3390" ht="14.100000000000001" customHeight="1">
      <c r="B3390" s="8" t="s">
        <v>6921</v>
      </c>
      <c r="C3390" s="8" t="s">
        <v>6922</v>
      </c>
      <c r="D3390" s="8" t="s">
        <v>6921</v>
      </c>
      <c r="E3390" s="20" t="e">
        <f t="array" ref="E3390">INDEX(C:C,SMALL(IF(ISNUMBER(FIND(CELL("contents"),$C$2:$C$4852)),ROW($C$2:$C$4852),4^8),ROW(C3390)))&amp;""</f>
        <v>#N/A</v>
      </c>
    </row>
    <row r="3391" ht="14.100000000000001" customHeight="1">
      <c r="B3391" s="8" t="s">
        <v>6923</v>
      </c>
      <c r="C3391" s="8" t="s">
        <v>6924</v>
      </c>
      <c r="D3391" s="8" t="s">
        <v>6923</v>
      </c>
      <c r="E3391" s="20" t="e">
        <f t="array" ref="E3391">INDEX(C:C,SMALL(IF(ISNUMBER(FIND(CELL("contents"),$C$2:$C$4852)),ROW($C$2:$C$4852),4^8),ROW(C3391)))&amp;""</f>
        <v>#N/A</v>
      </c>
    </row>
    <row r="3392" ht="14.100000000000001" customHeight="1">
      <c r="B3392" s="8" t="s">
        <v>6925</v>
      </c>
      <c r="C3392" s="8" t="s">
        <v>6926</v>
      </c>
      <c r="D3392" s="8" t="s">
        <v>6925</v>
      </c>
      <c r="E3392" s="20" t="e">
        <f t="array" ref="E3392">INDEX(C:C,SMALL(IF(ISNUMBER(FIND(CELL("contents"),$C$2:$C$4852)),ROW($C$2:$C$4852),4^8),ROW(C3392)))&amp;""</f>
        <v>#N/A</v>
      </c>
    </row>
    <row r="3393" ht="14.100000000000001" customHeight="1">
      <c r="B3393" s="8" t="s">
        <v>6927</v>
      </c>
      <c r="C3393" s="8" t="s">
        <v>6928</v>
      </c>
      <c r="D3393" s="8" t="s">
        <v>6927</v>
      </c>
      <c r="E3393" s="20" t="e">
        <f t="array" ref="E3393">INDEX(C:C,SMALL(IF(ISNUMBER(FIND(CELL("contents"),$C$2:$C$4852)),ROW($C$2:$C$4852),4^8),ROW(C3393)))&amp;""</f>
        <v>#N/A</v>
      </c>
    </row>
    <row r="3394" ht="14.100000000000001" customHeight="1">
      <c r="B3394" s="8" t="s">
        <v>6929</v>
      </c>
      <c r="C3394" s="8" t="s">
        <v>6930</v>
      </c>
      <c r="D3394" s="8" t="s">
        <v>6929</v>
      </c>
      <c r="E3394" s="20" t="e">
        <f t="array" ref="E3394">INDEX(C:C,SMALL(IF(ISNUMBER(FIND(CELL("contents"),$C$2:$C$4852)),ROW($C$2:$C$4852),4^8),ROW(C3394)))&amp;""</f>
        <v>#N/A</v>
      </c>
    </row>
    <row r="3395" ht="14.100000000000001" customHeight="1">
      <c r="B3395" s="8" t="s">
        <v>6931</v>
      </c>
      <c r="C3395" s="8" t="s">
        <v>6932</v>
      </c>
      <c r="D3395" s="8" t="s">
        <v>6931</v>
      </c>
      <c r="E3395" s="20" t="e">
        <f t="array" ref="E3395">INDEX(C:C,SMALL(IF(ISNUMBER(FIND(CELL("contents"),$C$2:$C$4852)),ROW($C$2:$C$4852),4^8),ROW(C3395)))&amp;""</f>
        <v>#N/A</v>
      </c>
    </row>
    <row r="3396" ht="14.100000000000001" customHeight="1">
      <c r="B3396" s="8" t="s">
        <v>6933</v>
      </c>
      <c r="C3396" s="8" t="s">
        <v>6934</v>
      </c>
      <c r="D3396" s="8" t="s">
        <v>6933</v>
      </c>
      <c r="E3396" s="20" t="e">
        <f t="array" ref="E3396">INDEX(C:C,SMALL(IF(ISNUMBER(FIND(CELL("contents"),$C$2:$C$4852)),ROW($C$2:$C$4852),4^8),ROW(C3396)))&amp;""</f>
        <v>#N/A</v>
      </c>
    </row>
    <row r="3397" ht="14.100000000000001" customHeight="1">
      <c r="B3397" s="8" t="s">
        <v>6935</v>
      </c>
      <c r="C3397" s="8" t="s">
        <v>6936</v>
      </c>
      <c r="D3397" s="8" t="s">
        <v>6935</v>
      </c>
      <c r="E3397" s="20" t="e">
        <f t="array" ref="E3397">INDEX(C:C,SMALL(IF(ISNUMBER(FIND(CELL("contents"),$C$2:$C$4852)),ROW($C$2:$C$4852),4^8),ROW(C3397)))&amp;""</f>
        <v>#N/A</v>
      </c>
    </row>
    <row r="3398" ht="14.100000000000001" customHeight="1">
      <c r="B3398" s="8" t="s">
        <v>6937</v>
      </c>
      <c r="C3398" s="8" t="s">
        <v>6938</v>
      </c>
      <c r="D3398" s="8" t="s">
        <v>6937</v>
      </c>
      <c r="E3398" s="20" t="e">
        <f t="array" ref="E3398">INDEX(C:C,SMALL(IF(ISNUMBER(FIND(CELL("contents"),$C$2:$C$4852)),ROW($C$2:$C$4852),4^8),ROW(C3398)))&amp;""</f>
        <v>#N/A</v>
      </c>
    </row>
    <row r="3399" ht="14.100000000000001" customHeight="1">
      <c r="B3399" s="8" t="s">
        <v>6939</v>
      </c>
      <c r="C3399" s="8" t="s">
        <v>6940</v>
      </c>
      <c r="D3399" s="8" t="s">
        <v>6939</v>
      </c>
      <c r="E3399" s="20" t="e">
        <f t="array" ref="E3399">INDEX(C:C,SMALL(IF(ISNUMBER(FIND(CELL("contents"),$C$2:$C$4852)),ROW($C$2:$C$4852),4^8),ROW(C3399)))&amp;""</f>
        <v>#N/A</v>
      </c>
    </row>
    <row r="3400" ht="14.100000000000001" customHeight="1">
      <c r="B3400" s="8" t="s">
        <v>6941</v>
      </c>
      <c r="C3400" s="8" t="s">
        <v>6942</v>
      </c>
      <c r="D3400" s="8" t="s">
        <v>6941</v>
      </c>
      <c r="E3400" s="20" t="e">
        <f t="array" ref="E3400">INDEX(C:C,SMALL(IF(ISNUMBER(FIND(CELL("contents"),$C$2:$C$4852)),ROW($C$2:$C$4852),4^8),ROW(C3400)))&amp;""</f>
        <v>#N/A</v>
      </c>
    </row>
    <row r="3401" ht="14.100000000000001" customHeight="1">
      <c r="B3401" s="8" t="s">
        <v>6943</v>
      </c>
      <c r="C3401" s="8" t="s">
        <v>6944</v>
      </c>
      <c r="D3401" s="8" t="s">
        <v>6943</v>
      </c>
      <c r="E3401" s="20" t="e">
        <f t="array" ref="E3401">INDEX(C:C,SMALL(IF(ISNUMBER(FIND(CELL("contents"),$C$2:$C$4852)),ROW($C$2:$C$4852),4^8),ROW(C3401)))&amp;""</f>
        <v>#N/A</v>
      </c>
    </row>
    <row r="3402" ht="14.100000000000001" customHeight="1">
      <c r="B3402" s="8" t="s">
        <v>6945</v>
      </c>
      <c r="C3402" s="8" t="s">
        <v>6946</v>
      </c>
      <c r="D3402" s="8" t="s">
        <v>6945</v>
      </c>
      <c r="E3402" s="20" t="e">
        <f t="array" ref="E3402">INDEX(C:C,SMALL(IF(ISNUMBER(FIND(CELL("contents"),$C$2:$C$4852)),ROW($C$2:$C$4852),4^8),ROW(C3402)))&amp;""</f>
        <v>#N/A</v>
      </c>
    </row>
    <row r="3403" ht="14.100000000000001" customHeight="1">
      <c r="B3403" s="8" t="s">
        <v>6947</v>
      </c>
      <c r="C3403" s="8" t="s">
        <v>6948</v>
      </c>
      <c r="D3403" s="8" t="s">
        <v>6947</v>
      </c>
      <c r="E3403" s="20" t="e">
        <f t="array" ref="E3403">INDEX(C:C,SMALL(IF(ISNUMBER(FIND(CELL("contents"),$C$2:$C$4852)),ROW($C$2:$C$4852),4^8),ROW(C3403)))&amp;""</f>
        <v>#N/A</v>
      </c>
    </row>
    <row r="3404" ht="14.100000000000001" customHeight="1">
      <c r="B3404" s="8" t="s">
        <v>6949</v>
      </c>
      <c r="C3404" s="8" t="s">
        <v>6950</v>
      </c>
      <c r="D3404" s="8" t="s">
        <v>6949</v>
      </c>
      <c r="E3404" s="20" t="e">
        <f t="array" ref="E3404">INDEX(C:C,SMALL(IF(ISNUMBER(FIND(CELL("contents"),$C$2:$C$4852)),ROW($C$2:$C$4852),4^8),ROW(C3404)))&amp;""</f>
        <v>#N/A</v>
      </c>
    </row>
    <row r="3405" ht="14.100000000000001" customHeight="1">
      <c r="B3405" s="8" t="s">
        <v>6951</v>
      </c>
      <c r="C3405" s="8" t="s">
        <v>6952</v>
      </c>
      <c r="D3405" s="8" t="s">
        <v>6951</v>
      </c>
      <c r="E3405" s="20" t="e">
        <f t="array" ref="E3405">INDEX(C:C,SMALL(IF(ISNUMBER(FIND(CELL("contents"),$C$2:$C$4852)),ROW($C$2:$C$4852),4^8),ROW(C3405)))&amp;""</f>
        <v>#N/A</v>
      </c>
    </row>
    <row r="3406" ht="14.100000000000001" customHeight="1">
      <c r="B3406" s="8" t="s">
        <v>6953</v>
      </c>
      <c r="C3406" s="8" t="s">
        <v>6954</v>
      </c>
      <c r="D3406" s="8" t="s">
        <v>6953</v>
      </c>
      <c r="E3406" s="20" t="e">
        <f t="array" ref="E3406">INDEX(C:C,SMALL(IF(ISNUMBER(FIND(CELL("contents"),$C$2:$C$4852)),ROW($C$2:$C$4852),4^8),ROW(C3406)))&amp;""</f>
        <v>#N/A</v>
      </c>
    </row>
    <row r="3407" ht="14.100000000000001" customHeight="1">
      <c r="B3407" s="8" t="s">
        <v>6955</v>
      </c>
      <c r="C3407" s="8" t="s">
        <v>6956</v>
      </c>
      <c r="D3407" s="8" t="s">
        <v>6955</v>
      </c>
      <c r="E3407" s="20" t="e">
        <f t="array" ref="E3407">INDEX(C:C,SMALL(IF(ISNUMBER(FIND(CELL("contents"),$C$2:$C$4852)),ROW($C$2:$C$4852),4^8),ROW(C3407)))&amp;""</f>
        <v>#N/A</v>
      </c>
    </row>
    <row r="3408" ht="14.100000000000001" customHeight="1">
      <c r="B3408" s="8" t="s">
        <v>6957</v>
      </c>
      <c r="C3408" s="8" t="s">
        <v>6958</v>
      </c>
      <c r="D3408" s="8" t="s">
        <v>6957</v>
      </c>
      <c r="E3408" s="20" t="e">
        <f t="array" ref="E3408">INDEX(C:C,SMALL(IF(ISNUMBER(FIND(CELL("contents"),$C$2:$C$4852)),ROW($C$2:$C$4852),4^8),ROW(C3408)))&amp;""</f>
        <v>#N/A</v>
      </c>
    </row>
    <row r="3409" ht="14.100000000000001" customHeight="1">
      <c r="B3409" s="8" t="s">
        <v>6959</v>
      </c>
      <c r="C3409" s="8" t="s">
        <v>6960</v>
      </c>
      <c r="D3409" s="8" t="s">
        <v>6959</v>
      </c>
      <c r="E3409" s="20" t="e">
        <f t="array" ref="E3409">INDEX(C:C,SMALL(IF(ISNUMBER(FIND(CELL("contents"),$C$2:$C$4852)),ROW($C$2:$C$4852),4^8),ROW(C3409)))&amp;""</f>
        <v>#N/A</v>
      </c>
    </row>
    <row r="3410" ht="14.100000000000001" customHeight="1">
      <c r="B3410" s="8" t="s">
        <v>6961</v>
      </c>
      <c r="C3410" s="8" t="s">
        <v>6962</v>
      </c>
      <c r="D3410" s="8" t="s">
        <v>6961</v>
      </c>
      <c r="E3410" s="20" t="e">
        <f t="array" ref="E3410">INDEX(C:C,SMALL(IF(ISNUMBER(FIND(CELL("contents"),$C$2:$C$4852)),ROW($C$2:$C$4852),4^8),ROW(C3410)))&amp;""</f>
        <v>#N/A</v>
      </c>
    </row>
    <row r="3411" ht="14.100000000000001" customHeight="1">
      <c r="B3411" s="8" t="s">
        <v>6963</v>
      </c>
      <c r="C3411" s="8" t="s">
        <v>6964</v>
      </c>
      <c r="D3411" s="8" t="s">
        <v>6963</v>
      </c>
      <c r="E3411" s="20" t="e">
        <f t="array" ref="E3411">INDEX(C:C,SMALL(IF(ISNUMBER(FIND(CELL("contents"),$C$2:$C$4852)),ROW($C$2:$C$4852),4^8),ROW(C3411)))&amp;""</f>
        <v>#N/A</v>
      </c>
    </row>
    <row r="3412" ht="14.100000000000001" customHeight="1">
      <c r="B3412" s="8" t="s">
        <v>6965</v>
      </c>
      <c r="C3412" s="8" t="s">
        <v>6966</v>
      </c>
      <c r="D3412" s="8" t="s">
        <v>6965</v>
      </c>
      <c r="E3412" s="20" t="e">
        <f t="array" ref="E3412">INDEX(C:C,SMALL(IF(ISNUMBER(FIND(CELL("contents"),$C$2:$C$4852)),ROW($C$2:$C$4852),4^8),ROW(C3412)))&amp;""</f>
        <v>#N/A</v>
      </c>
    </row>
    <row r="3413" ht="14.100000000000001" customHeight="1">
      <c r="B3413" s="8" t="s">
        <v>6967</v>
      </c>
      <c r="C3413" s="8" t="s">
        <v>6968</v>
      </c>
      <c r="D3413" s="8" t="s">
        <v>6967</v>
      </c>
      <c r="E3413" s="20" t="e">
        <f t="array" ref="E3413">INDEX(C:C,SMALL(IF(ISNUMBER(FIND(CELL("contents"),$C$2:$C$4852)),ROW($C$2:$C$4852),4^8),ROW(C3413)))&amp;""</f>
        <v>#N/A</v>
      </c>
    </row>
    <row r="3414" ht="14.100000000000001" customHeight="1">
      <c r="B3414" s="8" t="s">
        <v>6969</v>
      </c>
      <c r="C3414" s="8" t="s">
        <v>6970</v>
      </c>
      <c r="D3414" s="8" t="s">
        <v>6969</v>
      </c>
      <c r="E3414" s="20" t="e">
        <f t="array" ref="E3414">INDEX(C:C,SMALL(IF(ISNUMBER(FIND(CELL("contents"),$C$2:$C$4852)),ROW($C$2:$C$4852),4^8),ROW(C3414)))&amp;""</f>
        <v>#N/A</v>
      </c>
    </row>
    <row r="3415" ht="14.100000000000001" customHeight="1">
      <c r="B3415" s="8" t="s">
        <v>6971</v>
      </c>
      <c r="C3415" s="8" t="s">
        <v>6972</v>
      </c>
      <c r="D3415" s="8" t="s">
        <v>6971</v>
      </c>
      <c r="E3415" s="20" t="e">
        <f t="array" ref="E3415">INDEX(C:C,SMALL(IF(ISNUMBER(FIND(CELL("contents"),$C$2:$C$4852)),ROW($C$2:$C$4852),4^8),ROW(C3415)))&amp;""</f>
        <v>#N/A</v>
      </c>
    </row>
    <row r="3416" ht="14.100000000000001" customHeight="1">
      <c r="B3416" s="8" t="s">
        <v>6973</v>
      </c>
      <c r="C3416" s="8" t="s">
        <v>6974</v>
      </c>
      <c r="D3416" s="8" t="s">
        <v>6973</v>
      </c>
      <c r="E3416" s="20" t="e">
        <f t="array" ref="E3416">INDEX(C:C,SMALL(IF(ISNUMBER(FIND(CELL("contents"),$C$2:$C$4852)),ROW($C$2:$C$4852),4^8),ROW(C3416)))&amp;""</f>
        <v>#N/A</v>
      </c>
    </row>
    <row r="3417" ht="14.100000000000001" customHeight="1">
      <c r="B3417" s="8" t="s">
        <v>6975</v>
      </c>
      <c r="C3417" s="8" t="s">
        <v>6976</v>
      </c>
      <c r="D3417" s="8" t="s">
        <v>6975</v>
      </c>
      <c r="E3417" s="20" t="e">
        <f t="array" ref="E3417">INDEX(C:C,SMALL(IF(ISNUMBER(FIND(CELL("contents"),$C$2:$C$4852)),ROW($C$2:$C$4852),4^8),ROW(C3417)))&amp;""</f>
        <v>#N/A</v>
      </c>
    </row>
    <row r="3418" ht="14.100000000000001" customHeight="1">
      <c r="B3418" s="8" t="s">
        <v>6977</v>
      </c>
      <c r="C3418" s="8" t="s">
        <v>6978</v>
      </c>
      <c r="D3418" s="8" t="s">
        <v>6977</v>
      </c>
      <c r="E3418" s="20" t="e">
        <f t="array" ref="E3418">INDEX(C:C,SMALL(IF(ISNUMBER(FIND(CELL("contents"),$C$2:$C$4852)),ROW($C$2:$C$4852),4^8),ROW(C3418)))&amp;""</f>
        <v>#N/A</v>
      </c>
    </row>
    <row r="3419" ht="14.100000000000001" customHeight="1">
      <c r="B3419" s="8" t="s">
        <v>6979</v>
      </c>
      <c r="C3419" s="8" t="s">
        <v>6980</v>
      </c>
      <c r="D3419" s="8" t="s">
        <v>6979</v>
      </c>
      <c r="E3419" s="20" t="e">
        <f t="array" ref="E3419">INDEX(C:C,SMALL(IF(ISNUMBER(FIND(CELL("contents"),$C$2:$C$4852)),ROW($C$2:$C$4852),4^8),ROW(C3419)))&amp;""</f>
        <v>#N/A</v>
      </c>
    </row>
    <row r="3420" ht="14.100000000000001" customHeight="1">
      <c r="B3420" s="8" t="s">
        <v>6981</v>
      </c>
      <c r="C3420" s="8" t="s">
        <v>6982</v>
      </c>
      <c r="D3420" s="8" t="s">
        <v>6981</v>
      </c>
      <c r="E3420" s="20" t="e">
        <f t="array" ref="E3420">INDEX(C:C,SMALL(IF(ISNUMBER(FIND(CELL("contents"),$C$2:$C$4852)),ROW($C$2:$C$4852),4^8),ROW(C3420)))&amp;""</f>
        <v>#N/A</v>
      </c>
    </row>
    <row r="3421" ht="14.100000000000001" customHeight="1">
      <c r="B3421" s="8" t="s">
        <v>6983</v>
      </c>
      <c r="C3421" s="8" t="s">
        <v>6984</v>
      </c>
      <c r="D3421" s="8" t="s">
        <v>6983</v>
      </c>
      <c r="E3421" s="20" t="e">
        <f t="array" ref="E3421">INDEX(C:C,SMALL(IF(ISNUMBER(FIND(CELL("contents"),$C$2:$C$4852)),ROW($C$2:$C$4852),4^8),ROW(C3421)))&amp;""</f>
        <v>#N/A</v>
      </c>
    </row>
    <row r="3422" ht="14.100000000000001" customHeight="1">
      <c r="B3422" s="8" t="s">
        <v>6985</v>
      </c>
      <c r="C3422" s="8" t="s">
        <v>6986</v>
      </c>
      <c r="D3422" s="8" t="s">
        <v>6985</v>
      </c>
      <c r="E3422" s="20" t="e">
        <f t="array" ref="E3422">INDEX(C:C,SMALL(IF(ISNUMBER(FIND(CELL("contents"),$C$2:$C$4852)),ROW($C$2:$C$4852),4^8),ROW(C3422)))&amp;""</f>
        <v>#N/A</v>
      </c>
    </row>
    <row r="3423" ht="14.100000000000001" customHeight="1">
      <c r="B3423" s="8" t="s">
        <v>6987</v>
      </c>
      <c r="C3423" s="8" t="s">
        <v>6988</v>
      </c>
      <c r="D3423" s="8" t="s">
        <v>6987</v>
      </c>
      <c r="E3423" s="20" t="e">
        <f t="array" ref="E3423">INDEX(C:C,SMALL(IF(ISNUMBER(FIND(CELL("contents"),$C$2:$C$4852)),ROW($C$2:$C$4852),4^8),ROW(C3423)))&amp;""</f>
        <v>#N/A</v>
      </c>
    </row>
    <row r="3424" ht="14.100000000000001" customHeight="1">
      <c r="B3424" s="8" t="s">
        <v>6989</v>
      </c>
      <c r="C3424" s="8" t="s">
        <v>6990</v>
      </c>
      <c r="D3424" s="8" t="s">
        <v>6989</v>
      </c>
      <c r="E3424" s="20" t="e">
        <f t="array" ref="E3424">INDEX(C:C,SMALL(IF(ISNUMBER(FIND(CELL("contents"),$C$2:$C$4852)),ROW($C$2:$C$4852),4^8),ROW(C3424)))&amp;""</f>
        <v>#N/A</v>
      </c>
    </row>
    <row r="3425" ht="14.100000000000001" customHeight="1">
      <c r="B3425" s="8" t="s">
        <v>6991</v>
      </c>
      <c r="C3425" s="8" t="s">
        <v>6992</v>
      </c>
      <c r="D3425" s="8" t="s">
        <v>6991</v>
      </c>
      <c r="E3425" s="20" t="e">
        <f t="array" ref="E3425">INDEX(C:C,SMALL(IF(ISNUMBER(FIND(CELL("contents"),$C$2:$C$4852)),ROW($C$2:$C$4852),4^8),ROW(C3425)))&amp;""</f>
        <v>#N/A</v>
      </c>
    </row>
    <row r="3426" ht="14.100000000000001" customHeight="1">
      <c r="B3426" s="8" t="s">
        <v>6993</v>
      </c>
      <c r="C3426" s="8" t="s">
        <v>6994</v>
      </c>
      <c r="D3426" s="8" t="s">
        <v>6993</v>
      </c>
      <c r="E3426" s="20" t="e">
        <f t="array" ref="E3426">INDEX(C:C,SMALL(IF(ISNUMBER(FIND(CELL("contents"),$C$2:$C$4852)),ROW($C$2:$C$4852),4^8),ROW(C3426)))&amp;""</f>
        <v>#N/A</v>
      </c>
    </row>
    <row r="3427" ht="14.100000000000001" customHeight="1">
      <c r="B3427" s="8" t="s">
        <v>6995</v>
      </c>
      <c r="C3427" s="8" t="s">
        <v>6996</v>
      </c>
      <c r="D3427" s="8" t="s">
        <v>6995</v>
      </c>
      <c r="E3427" s="20" t="e">
        <f t="array" ref="E3427">INDEX(C:C,SMALL(IF(ISNUMBER(FIND(CELL("contents"),$C$2:$C$4852)),ROW($C$2:$C$4852),4^8),ROW(C3427)))&amp;""</f>
        <v>#N/A</v>
      </c>
    </row>
    <row r="3428" ht="14.100000000000001" customHeight="1">
      <c r="B3428" s="8" t="s">
        <v>6997</v>
      </c>
      <c r="C3428" s="8" t="s">
        <v>6998</v>
      </c>
      <c r="D3428" s="8" t="s">
        <v>6997</v>
      </c>
      <c r="E3428" s="20" t="e">
        <f t="array" ref="E3428">INDEX(C:C,SMALL(IF(ISNUMBER(FIND(CELL("contents"),$C$2:$C$4852)),ROW($C$2:$C$4852),4^8),ROW(C3428)))&amp;""</f>
        <v>#N/A</v>
      </c>
    </row>
    <row r="3429" ht="14.100000000000001" customHeight="1">
      <c r="B3429" s="8" t="s">
        <v>6999</v>
      </c>
      <c r="C3429" s="8" t="s">
        <v>7000</v>
      </c>
      <c r="D3429" s="8" t="s">
        <v>6999</v>
      </c>
      <c r="E3429" s="20" t="e">
        <f t="array" ref="E3429">INDEX(C:C,SMALL(IF(ISNUMBER(FIND(CELL("contents"),$C$2:$C$4852)),ROW($C$2:$C$4852),4^8),ROW(C3429)))&amp;""</f>
        <v>#N/A</v>
      </c>
    </row>
    <row r="3430" ht="14.100000000000001" customHeight="1">
      <c r="B3430" s="8" t="s">
        <v>7001</v>
      </c>
      <c r="C3430" s="8" t="s">
        <v>7002</v>
      </c>
      <c r="D3430" s="8" t="s">
        <v>7001</v>
      </c>
      <c r="E3430" s="20" t="e">
        <f t="array" ref="E3430">INDEX(C:C,SMALL(IF(ISNUMBER(FIND(CELL("contents"),$C$2:$C$4852)),ROW($C$2:$C$4852),4^8),ROW(C3430)))&amp;""</f>
        <v>#N/A</v>
      </c>
    </row>
    <row r="3431" ht="14.100000000000001" customHeight="1">
      <c r="B3431" s="8" t="s">
        <v>7003</v>
      </c>
      <c r="C3431" s="8" t="s">
        <v>7004</v>
      </c>
      <c r="D3431" s="8" t="s">
        <v>7003</v>
      </c>
      <c r="E3431" s="20" t="e">
        <f t="array" ref="E3431">INDEX(C:C,SMALL(IF(ISNUMBER(FIND(CELL("contents"),$C$2:$C$4852)),ROW($C$2:$C$4852),4^8),ROW(C3431)))&amp;""</f>
        <v>#N/A</v>
      </c>
    </row>
    <row r="3432" ht="14.100000000000001" customHeight="1">
      <c r="B3432" s="8" t="s">
        <v>7005</v>
      </c>
      <c r="C3432" s="8" t="s">
        <v>3126</v>
      </c>
      <c r="D3432" s="8" t="s">
        <v>7005</v>
      </c>
      <c r="E3432" s="20" t="e">
        <f t="array" ref="E3432">INDEX(C:C,SMALL(IF(ISNUMBER(FIND(CELL("contents"),$C$2:$C$4852)),ROW($C$2:$C$4852),4^8),ROW(C3432)))&amp;""</f>
        <v>#N/A</v>
      </c>
    </row>
    <row r="3433" ht="14.100000000000001" customHeight="1">
      <c r="B3433" s="8" t="s">
        <v>7006</v>
      </c>
      <c r="C3433" s="8" t="s">
        <v>7007</v>
      </c>
      <c r="D3433" s="8" t="s">
        <v>7006</v>
      </c>
      <c r="E3433" s="20" t="e">
        <f t="array" ref="E3433">INDEX(C:C,SMALL(IF(ISNUMBER(FIND(CELL("contents"),$C$2:$C$4852)),ROW($C$2:$C$4852),4^8),ROW(C3433)))&amp;""</f>
        <v>#N/A</v>
      </c>
    </row>
    <row r="3434" ht="14.100000000000001" customHeight="1">
      <c r="B3434" s="8" t="s">
        <v>7008</v>
      </c>
      <c r="C3434" s="8" t="s">
        <v>7009</v>
      </c>
      <c r="D3434" s="8" t="s">
        <v>7008</v>
      </c>
      <c r="E3434" s="20" t="e">
        <f t="array" ref="E3434">INDEX(C:C,SMALL(IF(ISNUMBER(FIND(CELL("contents"),$C$2:$C$4852)),ROW($C$2:$C$4852),4^8),ROW(C3434)))&amp;""</f>
        <v>#N/A</v>
      </c>
    </row>
    <row r="3435" ht="14.100000000000001" customHeight="1">
      <c r="B3435" s="8" t="s">
        <v>7010</v>
      </c>
      <c r="C3435" s="8" t="s">
        <v>7011</v>
      </c>
      <c r="D3435" s="8" t="s">
        <v>7010</v>
      </c>
      <c r="E3435" s="20" t="e">
        <f t="array" ref="E3435">INDEX(C:C,SMALL(IF(ISNUMBER(FIND(CELL("contents"),$C$2:$C$4852)),ROW($C$2:$C$4852),4^8),ROW(C3435)))&amp;""</f>
        <v>#N/A</v>
      </c>
    </row>
    <row r="3436" ht="14.100000000000001" customHeight="1">
      <c r="B3436" s="8" t="s">
        <v>7012</v>
      </c>
      <c r="C3436" s="8" t="s">
        <v>7013</v>
      </c>
      <c r="D3436" s="8" t="s">
        <v>7012</v>
      </c>
      <c r="E3436" s="20" t="e">
        <f t="array" ref="E3436">INDEX(C:C,SMALL(IF(ISNUMBER(FIND(CELL("contents"),$C$2:$C$4852)),ROW($C$2:$C$4852),4^8),ROW(C3436)))&amp;""</f>
        <v>#N/A</v>
      </c>
    </row>
    <row r="3437" ht="14.100000000000001" customHeight="1">
      <c r="B3437" s="8" t="s">
        <v>7014</v>
      </c>
      <c r="C3437" s="8" t="s">
        <v>7015</v>
      </c>
      <c r="D3437" s="8" t="s">
        <v>7014</v>
      </c>
      <c r="E3437" s="20" t="e">
        <f t="array" ref="E3437">INDEX(C:C,SMALL(IF(ISNUMBER(FIND(CELL("contents"),$C$2:$C$4852)),ROW($C$2:$C$4852),4^8),ROW(C3437)))&amp;""</f>
        <v>#N/A</v>
      </c>
    </row>
    <row r="3438" ht="14.100000000000001" customHeight="1">
      <c r="B3438" s="8" t="s">
        <v>7016</v>
      </c>
      <c r="C3438" s="8" t="s">
        <v>7017</v>
      </c>
      <c r="D3438" s="8" t="s">
        <v>7016</v>
      </c>
      <c r="E3438" s="20" t="e">
        <f t="array" ref="E3438">INDEX(C:C,SMALL(IF(ISNUMBER(FIND(CELL("contents"),$C$2:$C$4852)),ROW($C$2:$C$4852),4^8),ROW(C3438)))&amp;""</f>
        <v>#N/A</v>
      </c>
    </row>
    <row r="3439" ht="14.100000000000001" customHeight="1">
      <c r="B3439" s="8" t="s">
        <v>7018</v>
      </c>
      <c r="C3439" s="8" t="s">
        <v>7019</v>
      </c>
      <c r="D3439" s="8" t="s">
        <v>7018</v>
      </c>
      <c r="E3439" s="20" t="e">
        <f t="array" ref="E3439">INDEX(C:C,SMALL(IF(ISNUMBER(FIND(CELL("contents"),$C$2:$C$4852)),ROW($C$2:$C$4852),4^8),ROW(C3439)))&amp;""</f>
        <v>#N/A</v>
      </c>
    </row>
    <row r="3440" ht="14.100000000000001" customHeight="1">
      <c r="B3440" s="8" t="s">
        <v>7020</v>
      </c>
      <c r="C3440" s="8" t="s">
        <v>7021</v>
      </c>
      <c r="D3440" s="8" t="s">
        <v>7020</v>
      </c>
      <c r="E3440" s="20" t="e">
        <f t="array" ref="E3440">INDEX(C:C,SMALL(IF(ISNUMBER(FIND(CELL("contents"),$C$2:$C$4852)),ROW($C$2:$C$4852),4^8),ROW(C3440)))&amp;""</f>
        <v>#N/A</v>
      </c>
    </row>
    <row r="3441" ht="14.100000000000001" customHeight="1">
      <c r="B3441" s="8" t="s">
        <v>7022</v>
      </c>
      <c r="C3441" s="8" t="s">
        <v>7023</v>
      </c>
      <c r="D3441" s="8" t="s">
        <v>7022</v>
      </c>
      <c r="E3441" s="20" t="e">
        <f t="array" ref="E3441">INDEX(C:C,SMALL(IF(ISNUMBER(FIND(CELL("contents"),$C$2:$C$4852)),ROW($C$2:$C$4852),4^8),ROW(C3441)))&amp;""</f>
        <v>#N/A</v>
      </c>
    </row>
    <row r="3442" ht="14.100000000000001" customHeight="1">
      <c r="B3442" s="8" t="s">
        <v>7024</v>
      </c>
      <c r="C3442" s="8" t="s">
        <v>7025</v>
      </c>
      <c r="D3442" s="8" t="s">
        <v>7024</v>
      </c>
      <c r="E3442" s="20" t="e">
        <f t="array" ref="E3442">INDEX(C:C,SMALL(IF(ISNUMBER(FIND(CELL("contents"),$C$2:$C$4852)),ROW($C$2:$C$4852),4^8),ROW(C3442)))&amp;""</f>
        <v>#N/A</v>
      </c>
    </row>
    <row r="3443" ht="14.100000000000001" customHeight="1">
      <c r="B3443" s="8" t="s">
        <v>7026</v>
      </c>
      <c r="C3443" s="8" t="s">
        <v>7027</v>
      </c>
      <c r="D3443" s="8" t="s">
        <v>7026</v>
      </c>
      <c r="E3443" s="20" t="e">
        <f t="array" ref="E3443">INDEX(C:C,SMALL(IF(ISNUMBER(FIND(CELL("contents"),$C$2:$C$4852)),ROW($C$2:$C$4852),4^8),ROW(C3443)))&amp;""</f>
        <v>#N/A</v>
      </c>
    </row>
    <row r="3444" ht="14.100000000000001" customHeight="1">
      <c r="B3444" s="8" t="s">
        <v>7028</v>
      </c>
      <c r="C3444" s="8" t="s">
        <v>7029</v>
      </c>
      <c r="D3444" s="8" t="s">
        <v>7028</v>
      </c>
      <c r="E3444" s="20" t="e">
        <f t="array" ref="E3444">INDEX(C:C,SMALL(IF(ISNUMBER(FIND(CELL("contents"),$C$2:$C$4852)),ROW($C$2:$C$4852),4^8),ROW(C3444)))&amp;""</f>
        <v>#N/A</v>
      </c>
    </row>
    <row r="3445" ht="14.100000000000001" customHeight="1">
      <c r="B3445" s="8" t="s">
        <v>7030</v>
      </c>
      <c r="C3445" s="8" t="s">
        <v>7031</v>
      </c>
      <c r="D3445" s="8" t="s">
        <v>7030</v>
      </c>
      <c r="E3445" s="20" t="e">
        <f t="array" ref="E3445">INDEX(C:C,SMALL(IF(ISNUMBER(FIND(CELL("contents"),$C$2:$C$4852)),ROW($C$2:$C$4852),4^8),ROW(C3445)))&amp;""</f>
        <v>#N/A</v>
      </c>
    </row>
    <row r="3446" ht="14.100000000000001" customHeight="1">
      <c r="B3446" s="8" t="s">
        <v>7032</v>
      </c>
      <c r="C3446" s="8" t="s">
        <v>7033</v>
      </c>
      <c r="D3446" s="8" t="s">
        <v>7032</v>
      </c>
      <c r="E3446" s="20" t="e">
        <f t="array" ref="E3446">INDEX(C:C,SMALL(IF(ISNUMBER(FIND(CELL("contents"),$C$2:$C$4852)),ROW($C$2:$C$4852),4^8),ROW(C3446)))&amp;""</f>
        <v>#N/A</v>
      </c>
    </row>
    <row r="3447" ht="14.100000000000001" customHeight="1">
      <c r="B3447" s="8" t="s">
        <v>7034</v>
      </c>
      <c r="C3447" s="8" t="s">
        <v>7035</v>
      </c>
      <c r="D3447" s="8" t="s">
        <v>7034</v>
      </c>
      <c r="E3447" s="20" t="e">
        <f t="array" ref="E3447">INDEX(C:C,SMALL(IF(ISNUMBER(FIND(CELL("contents"),$C$2:$C$4852)),ROW($C$2:$C$4852),4^8),ROW(C3447)))&amp;""</f>
        <v>#N/A</v>
      </c>
    </row>
    <row r="3448" ht="14.100000000000001" customHeight="1">
      <c r="B3448" s="8" t="s">
        <v>7036</v>
      </c>
      <c r="C3448" s="8" t="s">
        <v>7037</v>
      </c>
      <c r="D3448" s="8" t="s">
        <v>7036</v>
      </c>
      <c r="E3448" s="20" t="e">
        <f t="array" ref="E3448">INDEX(C:C,SMALL(IF(ISNUMBER(FIND(CELL("contents"),$C$2:$C$4852)),ROW($C$2:$C$4852),4^8),ROW(C3448)))&amp;""</f>
        <v>#N/A</v>
      </c>
    </row>
    <row r="3449" ht="14.100000000000001" customHeight="1">
      <c r="B3449" s="8" t="s">
        <v>7038</v>
      </c>
      <c r="C3449" s="8" t="s">
        <v>7039</v>
      </c>
      <c r="D3449" s="8" t="s">
        <v>7038</v>
      </c>
      <c r="E3449" s="20" t="e">
        <f t="array" ref="E3449">INDEX(C:C,SMALL(IF(ISNUMBER(FIND(CELL("contents"),$C$2:$C$4852)),ROW($C$2:$C$4852),4^8),ROW(C3449)))&amp;""</f>
        <v>#N/A</v>
      </c>
    </row>
    <row r="3450" ht="14.100000000000001" customHeight="1">
      <c r="B3450" s="8" t="s">
        <v>7040</v>
      </c>
      <c r="C3450" s="8" t="s">
        <v>7041</v>
      </c>
      <c r="D3450" s="8" t="s">
        <v>7040</v>
      </c>
      <c r="E3450" s="20" t="e">
        <f t="array" ref="E3450">INDEX(C:C,SMALL(IF(ISNUMBER(FIND(CELL("contents"),$C$2:$C$4852)),ROW($C$2:$C$4852),4^8),ROW(C3450)))&amp;""</f>
        <v>#N/A</v>
      </c>
    </row>
    <row r="3451" ht="14.100000000000001" customHeight="1">
      <c r="B3451" s="8" t="s">
        <v>7042</v>
      </c>
      <c r="C3451" s="8" t="s">
        <v>7043</v>
      </c>
      <c r="D3451" s="8" t="s">
        <v>7042</v>
      </c>
      <c r="E3451" s="20" t="e">
        <f t="array" ref="E3451">INDEX(C:C,SMALL(IF(ISNUMBER(FIND(CELL("contents"),$C$2:$C$4852)),ROW($C$2:$C$4852),4^8),ROW(C3451)))&amp;""</f>
        <v>#N/A</v>
      </c>
    </row>
    <row r="3452" ht="14.100000000000001" customHeight="1">
      <c r="B3452" s="8" t="s">
        <v>7044</v>
      </c>
      <c r="C3452" s="8" t="s">
        <v>7045</v>
      </c>
      <c r="D3452" s="8" t="s">
        <v>7044</v>
      </c>
      <c r="E3452" s="20" t="e">
        <f t="array" ref="E3452">INDEX(C:C,SMALL(IF(ISNUMBER(FIND(CELL("contents"),$C$2:$C$4852)),ROW($C$2:$C$4852),4^8),ROW(C3452)))&amp;""</f>
        <v>#N/A</v>
      </c>
    </row>
    <row r="3453" ht="14.100000000000001" customHeight="1">
      <c r="B3453" s="8" t="s">
        <v>7046</v>
      </c>
      <c r="C3453" s="8" t="s">
        <v>7047</v>
      </c>
      <c r="D3453" s="8" t="s">
        <v>7046</v>
      </c>
      <c r="E3453" s="20" t="e">
        <f t="array" ref="E3453">INDEX(C:C,SMALL(IF(ISNUMBER(FIND(CELL("contents"),$C$2:$C$4852)),ROW($C$2:$C$4852),4^8),ROW(C3453)))&amp;""</f>
        <v>#N/A</v>
      </c>
    </row>
    <row r="3454" ht="14.100000000000001" customHeight="1">
      <c r="B3454" s="8" t="s">
        <v>7048</v>
      </c>
      <c r="C3454" s="8" t="s">
        <v>7049</v>
      </c>
      <c r="D3454" s="8" t="s">
        <v>7048</v>
      </c>
      <c r="E3454" s="20" t="e">
        <f t="array" ref="E3454">INDEX(C:C,SMALL(IF(ISNUMBER(FIND(CELL("contents"),$C$2:$C$4852)),ROW($C$2:$C$4852),4^8),ROW(C3454)))&amp;""</f>
        <v>#N/A</v>
      </c>
    </row>
    <row r="3455" ht="14.100000000000001" customHeight="1">
      <c r="B3455" s="8" t="s">
        <v>7050</v>
      </c>
      <c r="C3455" s="8" t="s">
        <v>7051</v>
      </c>
      <c r="D3455" s="8" t="s">
        <v>7050</v>
      </c>
      <c r="E3455" s="20" t="e">
        <f t="array" ref="E3455">INDEX(C:C,SMALL(IF(ISNUMBER(FIND(CELL("contents"),$C$2:$C$4852)),ROW($C$2:$C$4852),4^8),ROW(C3455)))&amp;""</f>
        <v>#N/A</v>
      </c>
    </row>
    <row r="3456" ht="14.100000000000001" customHeight="1">
      <c r="B3456" s="8" t="s">
        <v>7052</v>
      </c>
      <c r="C3456" s="8" t="s">
        <v>7053</v>
      </c>
      <c r="D3456" s="8" t="s">
        <v>7052</v>
      </c>
      <c r="E3456" s="20" t="e">
        <f t="array" ref="E3456">INDEX(C:C,SMALL(IF(ISNUMBER(FIND(CELL("contents"),$C$2:$C$4852)),ROW($C$2:$C$4852),4^8),ROW(C3456)))&amp;""</f>
        <v>#N/A</v>
      </c>
    </row>
    <row r="3457" ht="14.100000000000001" customHeight="1">
      <c r="B3457" s="8" t="s">
        <v>7054</v>
      </c>
      <c r="C3457" s="8" t="s">
        <v>7055</v>
      </c>
      <c r="D3457" s="8" t="s">
        <v>7054</v>
      </c>
      <c r="E3457" s="20" t="e">
        <f t="array" ref="E3457">INDEX(C:C,SMALL(IF(ISNUMBER(FIND(CELL("contents"),$C$2:$C$4852)),ROW($C$2:$C$4852),4^8),ROW(C3457)))&amp;""</f>
        <v>#N/A</v>
      </c>
    </row>
    <row r="3458" ht="14.100000000000001" customHeight="1">
      <c r="B3458" s="8" t="s">
        <v>7056</v>
      </c>
      <c r="C3458" s="8" t="s">
        <v>7057</v>
      </c>
      <c r="D3458" s="8" t="s">
        <v>7056</v>
      </c>
      <c r="E3458" s="20" t="e">
        <f t="array" ref="E3458">INDEX(C:C,SMALL(IF(ISNUMBER(FIND(CELL("contents"),$C$2:$C$4852)),ROW($C$2:$C$4852),4^8),ROW(C3458)))&amp;""</f>
        <v>#N/A</v>
      </c>
    </row>
    <row r="3459" ht="14.100000000000001" customHeight="1">
      <c r="B3459" s="8" t="s">
        <v>7058</v>
      </c>
      <c r="C3459" s="8" t="s">
        <v>7059</v>
      </c>
      <c r="D3459" s="8" t="s">
        <v>7058</v>
      </c>
      <c r="E3459" s="20" t="e">
        <f t="array" ref="E3459">INDEX(C:C,SMALL(IF(ISNUMBER(FIND(CELL("contents"),$C$2:$C$4852)),ROW($C$2:$C$4852),4^8),ROW(C3459)))&amp;""</f>
        <v>#N/A</v>
      </c>
    </row>
    <row r="3460" ht="14.100000000000001" customHeight="1">
      <c r="B3460" s="8" t="s">
        <v>7060</v>
      </c>
      <c r="C3460" s="8" t="s">
        <v>7061</v>
      </c>
      <c r="D3460" s="8" t="s">
        <v>7060</v>
      </c>
      <c r="E3460" s="20" t="e">
        <f t="array" ref="E3460">INDEX(C:C,SMALL(IF(ISNUMBER(FIND(CELL("contents"),$C$2:$C$4852)),ROW($C$2:$C$4852),4^8),ROW(C3460)))&amp;""</f>
        <v>#N/A</v>
      </c>
    </row>
    <row r="3461" ht="14.100000000000001" customHeight="1">
      <c r="B3461" s="8" t="s">
        <v>7062</v>
      </c>
      <c r="C3461" s="8" t="s">
        <v>7063</v>
      </c>
      <c r="D3461" s="8" t="s">
        <v>7062</v>
      </c>
      <c r="E3461" s="20" t="e">
        <f t="array" ref="E3461">INDEX(C:C,SMALL(IF(ISNUMBER(FIND(CELL("contents"),$C$2:$C$4852)),ROW($C$2:$C$4852),4^8),ROW(C3461)))&amp;""</f>
        <v>#N/A</v>
      </c>
    </row>
    <row r="3462" ht="14.100000000000001" customHeight="1">
      <c r="B3462" s="8" t="s">
        <v>7064</v>
      </c>
      <c r="C3462" s="8" t="s">
        <v>7065</v>
      </c>
      <c r="D3462" s="8" t="s">
        <v>7064</v>
      </c>
      <c r="E3462" s="20" t="e">
        <f t="array" ref="E3462">INDEX(C:C,SMALL(IF(ISNUMBER(FIND(CELL("contents"),$C$2:$C$4852)),ROW($C$2:$C$4852),4^8),ROW(C3462)))&amp;""</f>
        <v>#N/A</v>
      </c>
    </row>
    <row r="3463" ht="14.100000000000001" customHeight="1">
      <c r="B3463" s="8" t="s">
        <v>7066</v>
      </c>
      <c r="C3463" s="8" t="s">
        <v>7067</v>
      </c>
      <c r="D3463" s="8" t="s">
        <v>7066</v>
      </c>
      <c r="E3463" s="20" t="e">
        <f t="array" ref="E3463">INDEX(C:C,SMALL(IF(ISNUMBER(FIND(CELL("contents"),$C$2:$C$4852)),ROW($C$2:$C$4852),4^8),ROW(C3463)))&amp;""</f>
        <v>#N/A</v>
      </c>
    </row>
    <row r="3464" ht="14.100000000000001" customHeight="1">
      <c r="B3464" s="8" t="s">
        <v>7068</v>
      </c>
      <c r="C3464" s="8" t="s">
        <v>7069</v>
      </c>
      <c r="D3464" s="8" t="s">
        <v>7068</v>
      </c>
      <c r="E3464" s="20" t="e">
        <f t="array" ref="E3464">INDEX(C:C,SMALL(IF(ISNUMBER(FIND(CELL("contents"),$C$2:$C$4852)),ROW($C$2:$C$4852),4^8),ROW(C3464)))&amp;""</f>
        <v>#N/A</v>
      </c>
    </row>
    <row r="3465" ht="14.100000000000001" customHeight="1">
      <c r="B3465" s="8" t="s">
        <v>7070</v>
      </c>
      <c r="C3465" s="8" t="s">
        <v>7071</v>
      </c>
      <c r="D3465" s="8" t="s">
        <v>7070</v>
      </c>
      <c r="E3465" s="20" t="e">
        <f t="array" ref="E3465">INDEX(C:C,SMALL(IF(ISNUMBER(FIND(CELL("contents"),$C$2:$C$4852)),ROW($C$2:$C$4852),4^8),ROW(C3465)))&amp;""</f>
        <v>#N/A</v>
      </c>
    </row>
    <row r="3466" ht="14.100000000000001" customHeight="1">
      <c r="B3466" s="8" t="s">
        <v>7072</v>
      </c>
      <c r="C3466" s="8" t="s">
        <v>7073</v>
      </c>
      <c r="D3466" s="8" t="s">
        <v>7072</v>
      </c>
      <c r="E3466" s="20" t="e">
        <f t="array" ref="E3466">INDEX(C:C,SMALL(IF(ISNUMBER(FIND(CELL("contents"),$C$2:$C$4852)),ROW($C$2:$C$4852),4^8),ROW(C3466)))&amp;""</f>
        <v>#N/A</v>
      </c>
    </row>
    <row r="3467" ht="14.100000000000001" customHeight="1">
      <c r="B3467" s="8" t="s">
        <v>7074</v>
      </c>
      <c r="C3467" s="8" t="s">
        <v>7075</v>
      </c>
      <c r="D3467" s="8" t="s">
        <v>7074</v>
      </c>
      <c r="E3467" s="20" t="e">
        <f t="array" ref="E3467">INDEX(C:C,SMALL(IF(ISNUMBER(FIND(CELL("contents"),$C$2:$C$4852)),ROW($C$2:$C$4852),4^8),ROW(C3467)))&amp;""</f>
        <v>#N/A</v>
      </c>
    </row>
    <row r="3468" ht="14.100000000000001" customHeight="1">
      <c r="B3468" s="8" t="s">
        <v>7076</v>
      </c>
      <c r="C3468" s="8" t="s">
        <v>7077</v>
      </c>
      <c r="D3468" s="8" t="s">
        <v>7076</v>
      </c>
      <c r="E3468" s="20" t="e">
        <f t="array" ref="E3468">INDEX(C:C,SMALL(IF(ISNUMBER(FIND(CELL("contents"),$C$2:$C$4852)),ROW($C$2:$C$4852),4^8),ROW(C3468)))&amp;""</f>
        <v>#N/A</v>
      </c>
    </row>
    <row r="3469" ht="14.100000000000001" customHeight="1">
      <c r="B3469" s="8" t="s">
        <v>7078</v>
      </c>
      <c r="C3469" s="8" t="s">
        <v>7079</v>
      </c>
      <c r="D3469" s="8" t="s">
        <v>7078</v>
      </c>
      <c r="E3469" s="20" t="e">
        <f t="array" ref="E3469">INDEX(C:C,SMALL(IF(ISNUMBER(FIND(CELL("contents"),$C$2:$C$4852)),ROW($C$2:$C$4852),4^8),ROW(C3469)))&amp;""</f>
        <v>#N/A</v>
      </c>
    </row>
    <row r="3470" ht="14.100000000000001" customHeight="1">
      <c r="B3470" s="8" t="s">
        <v>7080</v>
      </c>
      <c r="C3470" s="8" t="s">
        <v>7081</v>
      </c>
      <c r="D3470" s="8" t="s">
        <v>7080</v>
      </c>
      <c r="E3470" s="20" t="e">
        <f t="array" ref="E3470">INDEX(C:C,SMALL(IF(ISNUMBER(FIND(CELL("contents"),$C$2:$C$4852)),ROW($C$2:$C$4852),4^8),ROW(C3470)))&amp;""</f>
        <v>#N/A</v>
      </c>
    </row>
    <row r="3471" ht="14.100000000000001" customHeight="1">
      <c r="B3471" s="8" t="s">
        <v>7082</v>
      </c>
      <c r="C3471" s="8" t="s">
        <v>7083</v>
      </c>
      <c r="D3471" s="8" t="s">
        <v>7082</v>
      </c>
      <c r="E3471" s="20" t="e">
        <f t="array" ref="E3471">INDEX(C:C,SMALL(IF(ISNUMBER(FIND(CELL("contents"),$C$2:$C$4852)),ROW($C$2:$C$4852),4^8),ROW(C3471)))&amp;""</f>
        <v>#N/A</v>
      </c>
    </row>
    <row r="3472" ht="14.100000000000001" customHeight="1">
      <c r="B3472" s="8" t="s">
        <v>7084</v>
      </c>
      <c r="C3472" s="8" t="s">
        <v>7085</v>
      </c>
      <c r="D3472" s="8" t="s">
        <v>7084</v>
      </c>
      <c r="E3472" s="20" t="e">
        <f t="array" ref="E3472">INDEX(C:C,SMALL(IF(ISNUMBER(FIND(CELL("contents"),$C$2:$C$4852)),ROW($C$2:$C$4852),4^8),ROW(C3472)))&amp;""</f>
        <v>#N/A</v>
      </c>
    </row>
    <row r="3473" ht="14.100000000000001" customHeight="1">
      <c r="B3473" s="8" t="s">
        <v>7086</v>
      </c>
      <c r="C3473" s="8" t="s">
        <v>7087</v>
      </c>
      <c r="D3473" s="8" t="s">
        <v>7086</v>
      </c>
      <c r="E3473" s="20" t="e">
        <f t="array" ref="E3473">INDEX(C:C,SMALL(IF(ISNUMBER(FIND(CELL("contents"),$C$2:$C$4852)),ROW($C$2:$C$4852),4^8),ROW(C3473)))&amp;""</f>
        <v>#N/A</v>
      </c>
    </row>
    <row r="3474" ht="14.100000000000001" customHeight="1">
      <c r="B3474" s="8" t="s">
        <v>7088</v>
      </c>
      <c r="C3474" s="8" t="s">
        <v>7089</v>
      </c>
      <c r="D3474" s="8" t="s">
        <v>7088</v>
      </c>
      <c r="E3474" s="20" t="e">
        <f t="array" ref="E3474">INDEX(C:C,SMALL(IF(ISNUMBER(FIND(CELL("contents"),$C$2:$C$4852)),ROW($C$2:$C$4852),4^8),ROW(C3474)))&amp;""</f>
        <v>#N/A</v>
      </c>
    </row>
    <row r="3475" ht="14.100000000000001" customHeight="1">
      <c r="B3475" s="8" t="s">
        <v>7090</v>
      </c>
      <c r="C3475" s="8" t="s">
        <v>7091</v>
      </c>
      <c r="D3475" s="8" t="s">
        <v>7090</v>
      </c>
      <c r="E3475" s="20" t="e">
        <f t="array" ref="E3475">INDEX(C:C,SMALL(IF(ISNUMBER(FIND(CELL("contents"),$C$2:$C$4852)),ROW($C$2:$C$4852),4^8),ROW(C3475)))&amp;""</f>
        <v>#N/A</v>
      </c>
    </row>
    <row r="3476" ht="14.100000000000001" customHeight="1">
      <c r="B3476" s="8" t="s">
        <v>7092</v>
      </c>
      <c r="C3476" s="8" t="s">
        <v>7093</v>
      </c>
      <c r="D3476" s="8" t="s">
        <v>7092</v>
      </c>
      <c r="E3476" s="20" t="e">
        <f t="array" ref="E3476">INDEX(C:C,SMALL(IF(ISNUMBER(FIND(CELL("contents"),$C$2:$C$4852)),ROW($C$2:$C$4852),4^8),ROW(C3476)))&amp;""</f>
        <v>#N/A</v>
      </c>
    </row>
    <row r="3477" ht="14.100000000000001" customHeight="1">
      <c r="B3477" s="8" t="s">
        <v>7094</v>
      </c>
      <c r="C3477" s="8" t="s">
        <v>7095</v>
      </c>
      <c r="D3477" s="8" t="s">
        <v>7094</v>
      </c>
      <c r="E3477" s="20" t="e">
        <f t="array" ref="E3477">INDEX(C:C,SMALL(IF(ISNUMBER(FIND(CELL("contents"),$C$2:$C$4852)),ROW($C$2:$C$4852),4^8),ROW(C3477)))&amp;""</f>
        <v>#N/A</v>
      </c>
    </row>
    <row r="3478" ht="14.100000000000001" customHeight="1">
      <c r="B3478" s="8" t="s">
        <v>7096</v>
      </c>
      <c r="C3478" s="8" t="s">
        <v>7097</v>
      </c>
      <c r="D3478" s="8" t="s">
        <v>7096</v>
      </c>
      <c r="E3478" s="20" t="e">
        <f t="array" ref="E3478">INDEX(C:C,SMALL(IF(ISNUMBER(FIND(CELL("contents"),$C$2:$C$4852)),ROW($C$2:$C$4852),4^8),ROW(C3478)))&amp;""</f>
        <v>#N/A</v>
      </c>
    </row>
    <row r="3479" ht="14.100000000000001" customHeight="1">
      <c r="B3479" s="8" t="s">
        <v>7098</v>
      </c>
      <c r="C3479" s="8" t="s">
        <v>7099</v>
      </c>
      <c r="D3479" s="8" t="s">
        <v>7098</v>
      </c>
      <c r="E3479" s="20" t="e">
        <f t="array" ref="E3479">INDEX(C:C,SMALL(IF(ISNUMBER(FIND(CELL("contents"),$C$2:$C$4852)),ROW($C$2:$C$4852),4^8),ROW(C3479)))&amp;""</f>
        <v>#N/A</v>
      </c>
    </row>
    <row r="3480" ht="14.100000000000001" customHeight="1">
      <c r="B3480" s="8" t="s">
        <v>7100</v>
      </c>
      <c r="C3480" s="8" t="s">
        <v>7101</v>
      </c>
      <c r="D3480" s="8" t="s">
        <v>7100</v>
      </c>
      <c r="E3480" s="20" t="e">
        <f t="array" ref="E3480">INDEX(C:C,SMALL(IF(ISNUMBER(FIND(CELL("contents"),$C$2:$C$4852)),ROW($C$2:$C$4852),4^8),ROW(C3480)))&amp;""</f>
        <v>#N/A</v>
      </c>
    </row>
    <row r="3481" ht="14.100000000000001" customHeight="1">
      <c r="B3481" s="8" t="s">
        <v>7102</v>
      </c>
      <c r="C3481" s="8" t="s">
        <v>7103</v>
      </c>
      <c r="D3481" s="8" t="s">
        <v>7102</v>
      </c>
      <c r="E3481" s="20" t="e">
        <f t="array" ref="E3481">INDEX(C:C,SMALL(IF(ISNUMBER(FIND(CELL("contents"),$C$2:$C$4852)),ROW($C$2:$C$4852),4^8),ROW(C3481)))&amp;""</f>
        <v>#N/A</v>
      </c>
    </row>
    <row r="3482" ht="14.100000000000001" customHeight="1">
      <c r="B3482" s="8" t="s">
        <v>7104</v>
      </c>
      <c r="C3482" s="8" t="s">
        <v>7105</v>
      </c>
      <c r="D3482" s="8" t="s">
        <v>7104</v>
      </c>
      <c r="E3482" s="20" t="e">
        <f t="array" ref="E3482">INDEX(C:C,SMALL(IF(ISNUMBER(FIND(CELL("contents"),$C$2:$C$4852)),ROW($C$2:$C$4852),4^8),ROW(C3482)))&amp;""</f>
        <v>#N/A</v>
      </c>
    </row>
    <row r="3483" ht="14.100000000000001" customHeight="1">
      <c r="B3483" s="8" t="s">
        <v>7106</v>
      </c>
      <c r="C3483" s="8" t="s">
        <v>7107</v>
      </c>
      <c r="D3483" s="8" t="s">
        <v>7106</v>
      </c>
      <c r="E3483" s="20" t="e">
        <f t="array" ref="E3483">INDEX(C:C,SMALL(IF(ISNUMBER(FIND(CELL("contents"),$C$2:$C$4852)),ROW($C$2:$C$4852),4^8),ROW(C3483)))&amp;""</f>
        <v>#N/A</v>
      </c>
    </row>
    <row r="3484" ht="14.100000000000001" customHeight="1">
      <c r="B3484" s="8" t="s">
        <v>7108</v>
      </c>
      <c r="C3484" s="8" t="s">
        <v>7109</v>
      </c>
      <c r="D3484" s="8" t="s">
        <v>7108</v>
      </c>
      <c r="E3484" s="20" t="e">
        <f t="array" ref="E3484">INDEX(C:C,SMALL(IF(ISNUMBER(FIND(CELL("contents"),$C$2:$C$4852)),ROW($C$2:$C$4852),4^8),ROW(C3484)))&amp;""</f>
        <v>#N/A</v>
      </c>
    </row>
    <row r="3485" ht="14.100000000000001" customHeight="1">
      <c r="B3485" s="8" t="s">
        <v>7110</v>
      </c>
      <c r="C3485" s="8" t="s">
        <v>7111</v>
      </c>
      <c r="D3485" s="8" t="s">
        <v>7110</v>
      </c>
      <c r="E3485" s="20" t="e">
        <f t="array" ref="E3485">INDEX(C:C,SMALL(IF(ISNUMBER(FIND(CELL("contents"),$C$2:$C$4852)),ROW($C$2:$C$4852),4^8),ROW(C3485)))&amp;""</f>
        <v>#N/A</v>
      </c>
    </row>
    <row r="3486" ht="14.100000000000001" customHeight="1">
      <c r="B3486" s="8" t="s">
        <v>7112</v>
      </c>
      <c r="C3486" s="8" t="s">
        <v>6742</v>
      </c>
      <c r="D3486" s="8" t="s">
        <v>7112</v>
      </c>
      <c r="E3486" s="20" t="e">
        <f t="array" ref="E3486">INDEX(C:C,SMALL(IF(ISNUMBER(FIND(CELL("contents"),$C$2:$C$4852)),ROW($C$2:$C$4852),4^8),ROW(C3486)))&amp;""</f>
        <v>#N/A</v>
      </c>
    </row>
    <row r="3487" ht="14.100000000000001" customHeight="1">
      <c r="B3487" s="8" t="s">
        <v>7113</v>
      </c>
      <c r="C3487" s="8" t="s">
        <v>7114</v>
      </c>
      <c r="D3487" s="8" t="s">
        <v>7113</v>
      </c>
      <c r="E3487" s="20" t="e">
        <f t="array" ref="E3487">INDEX(C:C,SMALL(IF(ISNUMBER(FIND(CELL("contents"),$C$2:$C$4852)),ROW($C$2:$C$4852),4^8),ROW(C3487)))&amp;""</f>
        <v>#N/A</v>
      </c>
    </row>
    <row r="3488" ht="14.100000000000001" customHeight="1">
      <c r="B3488" s="8" t="s">
        <v>7115</v>
      </c>
      <c r="C3488" s="8" t="s">
        <v>7116</v>
      </c>
      <c r="D3488" s="8" t="s">
        <v>7115</v>
      </c>
      <c r="E3488" s="20" t="e">
        <f t="array" ref="E3488">INDEX(C:C,SMALL(IF(ISNUMBER(FIND(CELL("contents"),$C$2:$C$4852)),ROW($C$2:$C$4852),4^8),ROW(C3488)))&amp;""</f>
        <v>#N/A</v>
      </c>
    </row>
    <row r="3489" ht="14.100000000000001" customHeight="1">
      <c r="B3489" s="8" t="s">
        <v>7117</v>
      </c>
      <c r="C3489" s="8" t="s">
        <v>7118</v>
      </c>
      <c r="D3489" s="8" t="s">
        <v>7117</v>
      </c>
      <c r="E3489" s="20" t="e">
        <f t="array" ref="E3489">INDEX(C:C,SMALL(IF(ISNUMBER(FIND(CELL("contents"),$C$2:$C$4852)),ROW($C$2:$C$4852),4^8),ROW(C3489)))&amp;""</f>
        <v>#N/A</v>
      </c>
    </row>
    <row r="3490" ht="14.100000000000001" customHeight="1">
      <c r="B3490" s="8" t="s">
        <v>7119</v>
      </c>
      <c r="C3490" s="8" t="s">
        <v>7120</v>
      </c>
      <c r="D3490" s="8" t="s">
        <v>7119</v>
      </c>
      <c r="E3490" s="20" t="e">
        <f t="array" ref="E3490">INDEX(C:C,SMALL(IF(ISNUMBER(FIND(CELL("contents"),$C$2:$C$4852)),ROW($C$2:$C$4852),4^8),ROW(C3490)))&amp;""</f>
        <v>#N/A</v>
      </c>
    </row>
    <row r="3491" ht="14.100000000000001" customHeight="1">
      <c r="B3491" s="8" t="s">
        <v>7121</v>
      </c>
      <c r="C3491" s="8" t="s">
        <v>7122</v>
      </c>
      <c r="D3491" s="8" t="s">
        <v>7121</v>
      </c>
      <c r="E3491" s="20" t="e">
        <f t="array" ref="E3491">INDEX(C:C,SMALL(IF(ISNUMBER(FIND(CELL("contents"),$C$2:$C$4852)),ROW($C$2:$C$4852),4^8),ROW(C3491)))&amp;""</f>
        <v>#N/A</v>
      </c>
    </row>
    <row r="3492" ht="14.100000000000001" customHeight="1">
      <c r="B3492" s="8" t="s">
        <v>7123</v>
      </c>
      <c r="C3492" s="8" t="s">
        <v>7124</v>
      </c>
      <c r="D3492" s="8" t="s">
        <v>7123</v>
      </c>
      <c r="E3492" s="20" t="e">
        <f t="array" ref="E3492">INDEX(C:C,SMALL(IF(ISNUMBER(FIND(CELL("contents"),$C$2:$C$4852)),ROW($C$2:$C$4852),4^8),ROW(C3492)))&amp;""</f>
        <v>#N/A</v>
      </c>
    </row>
    <row r="3493" ht="14.100000000000001" customHeight="1">
      <c r="B3493" s="8" t="s">
        <v>7125</v>
      </c>
      <c r="C3493" s="8" t="s">
        <v>7126</v>
      </c>
      <c r="D3493" s="8" t="s">
        <v>7125</v>
      </c>
      <c r="E3493" s="20" t="e">
        <f t="array" ref="E3493">INDEX(C:C,SMALL(IF(ISNUMBER(FIND(CELL("contents"),$C$2:$C$4852)),ROW($C$2:$C$4852),4^8),ROW(C3493)))&amp;""</f>
        <v>#N/A</v>
      </c>
    </row>
    <row r="3494" ht="14.100000000000001" customHeight="1">
      <c r="B3494" s="8" t="s">
        <v>7127</v>
      </c>
      <c r="C3494" s="8" t="s">
        <v>7128</v>
      </c>
      <c r="D3494" s="8" t="s">
        <v>7127</v>
      </c>
      <c r="E3494" s="20" t="e">
        <f t="array" ref="E3494">INDEX(C:C,SMALL(IF(ISNUMBER(FIND(CELL("contents"),$C$2:$C$4852)),ROW($C$2:$C$4852),4^8),ROW(C3494)))&amp;""</f>
        <v>#N/A</v>
      </c>
    </row>
    <row r="3495" ht="14.100000000000001" customHeight="1">
      <c r="B3495" s="8" t="s">
        <v>7129</v>
      </c>
      <c r="C3495" s="8" t="s">
        <v>7130</v>
      </c>
      <c r="D3495" s="8" t="s">
        <v>7129</v>
      </c>
      <c r="E3495" s="20" t="e">
        <f t="array" ref="E3495">INDEX(C:C,SMALL(IF(ISNUMBER(FIND(CELL("contents"),$C$2:$C$4852)),ROW($C$2:$C$4852),4^8),ROW(C3495)))&amp;""</f>
        <v>#N/A</v>
      </c>
    </row>
    <row r="3496" ht="14.100000000000001" customHeight="1">
      <c r="B3496" s="8" t="s">
        <v>7131</v>
      </c>
      <c r="C3496" s="8" t="s">
        <v>7132</v>
      </c>
      <c r="D3496" s="8" t="s">
        <v>7131</v>
      </c>
      <c r="E3496" s="20" t="e">
        <f t="array" ref="E3496">INDEX(C:C,SMALL(IF(ISNUMBER(FIND(CELL("contents"),$C$2:$C$4852)),ROW($C$2:$C$4852),4^8),ROW(C3496)))&amp;""</f>
        <v>#N/A</v>
      </c>
    </row>
    <row r="3497" ht="14.100000000000001" customHeight="1">
      <c r="B3497" s="8" t="s">
        <v>7133</v>
      </c>
      <c r="C3497" s="8" t="s">
        <v>7134</v>
      </c>
      <c r="D3497" s="8" t="s">
        <v>7133</v>
      </c>
      <c r="E3497" s="20" t="e">
        <f t="array" ref="E3497">INDEX(C:C,SMALL(IF(ISNUMBER(FIND(CELL("contents"),$C$2:$C$4852)),ROW($C$2:$C$4852),4^8),ROW(C3497)))&amp;""</f>
        <v>#N/A</v>
      </c>
    </row>
    <row r="3498" ht="14.100000000000001" customHeight="1">
      <c r="B3498" s="8" t="s">
        <v>7135</v>
      </c>
      <c r="C3498" s="8" t="s">
        <v>7136</v>
      </c>
      <c r="D3498" s="8" t="s">
        <v>7135</v>
      </c>
      <c r="E3498" s="20" t="e">
        <f t="array" ref="E3498">INDEX(C:C,SMALL(IF(ISNUMBER(FIND(CELL("contents"),$C$2:$C$4852)),ROW($C$2:$C$4852),4^8),ROW(C3498)))&amp;""</f>
        <v>#N/A</v>
      </c>
    </row>
    <row r="3499" ht="14.100000000000001" customHeight="1">
      <c r="B3499" s="8" t="s">
        <v>7137</v>
      </c>
      <c r="C3499" s="8" t="s">
        <v>7138</v>
      </c>
      <c r="D3499" s="8" t="s">
        <v>7137</v>
      </c>
      <c r="E3499" s="20" t="e">
        <f t="array" ref="E3499">INDEX(C:C,SMALL(IF(ISNUMBER(FIND(CELL("contents"),$C$2:$C$4852)),ROW($C$2:$C$4852),4^8),ROW(C3499)))&amp;""</f>
        <v>#N/A</v>
      </c>
    </row>
    <row r="3500" ht="14.100000000000001" customHeight="1">
      <c r="B3500" s="8" t="s">
        <v>7139</v>
      </c>
      <c r="C3500" s="8" t="s">
        <v>7140</v>
      </c>
      <c r="D3500" s="8" t="s">
        <v>7139</v>
      </c>
      <c r="E3500" s="20" t="e">
        <f t="array" ref="E3500">INDEX(C:C,SMALL(IF(ISNUMBER(FIND(CELL("contents"),$C$2:$C$4852)),ROW($C$2:$C$4852),4^8),ROW(C3500)))&amp;""</f>
        <v>#N/A</v>
      </c>
    </row>
    <row r="3501" ht="14.100000000000001" customHeight="1">
      <c r="B3501" s="8" t="s">
        <v>7141</v>
      </c>
      <c r="C3501" s="8" t="s">
        <v>7142</v>
      </c>
      <c r="D3501" s="8" t="s">
        <v>7141</v>
      </c>
      <c r="E3501" s="20" t="e">
        <f t="array" ref="E3501">INDEX(C:C,SMALL(IF(ISNUMBER(FIND(CELL("contents"),$C$2:$C$4852)),ROW($C$2:$C$4852),4^8),ROW(C3501)))&amp;""</f>
        <v>#N/A</v>
      </c>
    </row>
    <row r="3502" ht="14.100000000000001" customHeight="1">
      <c r="B3502" s="8" t="s">
        <v>7143</v>
      </c>
      <c r="C3502" s="8" t="s">
        <v>7144</v>
      </c>
      <c r="D3502" s="8" t="s">
        <v>7143</v>
      </c>
      <c r="E3502" s="20" t="e">
        <f t="array" ref="E3502">INDEX(C:C,SMALL(IF(ISNUMBER(FIND(CELL("contents"),$C$2:$C$4852)),ROW($C$2:$C$4852),4^8),ROW(C3502)))&amp;""</f>
        <v>#N/A</v>
      </c>
    </row>
    <row r="3503" ht="14.100000000000001" customHeight="1">
      <c r="B3503" s="8" t="s">
        <v>7145</v>
      </c>
      <c r="C3503" s="8" t="s">
        <v>7146</v>
      </c>
      <c r="D3503" s="8" t="s">
        <v>7145</v>
      </c>
      <c r="E3503" s="20" t="e">
        <f t="array" ref="E3503">INDEX(C:C,SMALL(IF(ISNUMBER(FIND(CELL("contents"),$C$2:$C$4852)),ROW($C$2:$C$4852),4^8),ROW(C3503)))&amp;""</f>
        <v>#N/A</v>
      </c>
    </row>
    <row r="3504" ht="14.100000000000001" customHeight="1">
      <c r="B3504" s="8" t="s">
        <v>7147</v>
      </c>
      <c r="C3504" s="8" t="s">
        <v>7148</v>
      </c>
      <c r="D3504" s="8" t="s">
        <v>7147</v>
      </c>
      <c r="E3504" s="20" t="e">
        <f t="array" ref="E3504">INDEX(C:C,SMALL(IF(ISNUMBER(FIND(CELL("contents"),$C$2:$C$4852)),ROW($C$2:$C$4852),4^8),ROW(C3504)))&amp;""</f>
        <v>#N/A</v>
      </c>
    </row>
    <row r="3505" ht="14.100000000000001" customHeight="1">
      <c r="B3505" s="8" t="s">
        <v>7149</v>
      </c>
      <c r="C3505" s="8" t="s">
        <v>7150</v>
      </c>
      <c r="D3505" s="8" t="s">
        <v>7149</v>
      </c>
      <c r="E3505" s="20" t="e">
        <f t="array" ref="E3505">INDEX(C:C,SMALL(IF(ISNUMBER(FIND(CELL("contents"),$C$2:$C$4852)),ROW($C$2:$C$4852),4^8),ROW(C3505)))&amp;""</f>
        <v>#N/A</v>
      </c>
    </row>
    <row r="3506" ht="14.100000000000001" customHeight="1">
      <c r="B3506" s="8" t="s">
        <v>7151</v>
      </c>
      <c r="C3506" s="8" t="s">
        <v>7152</v>
      </c>
      <c r="D3506" s="8" t="s">
        <v>7151</v>
      </c>
      <c r="E3506" s="20" t="e">
        <f t="array" ref="E3506">INDEX(C:C,SMALL(IF(ISNUMBER(FIND(CELL("contents"),$C$2:$C$4852)),ROW($C$2:$C$4852),4^8),ROW(C3506)))&amp;""</f>
        <v>#N/A</v>
      </c>
    </row>
    <row r="3507" ht="14.100000000000001" customHeight="1">
      <c r="B3507" s="8" t="s">
        <v>7153</v>
      </c>
      <c r="C3507" s="8" t="s">
        <v>7154</v>
      </c>
      <c r="D3507" s="8" t="s">
        <v>7153</v>
      </c>
      <c r="E3507" s="20" t="e">
        <f t="array" ref="E3507">INDEX(C:C,SMALL(IF(ISNUMBER(FIND(CELL("contents"),$C$2:$C$4852)),ROW($C$2:$C$4852),4^8),ROW(C3507)))&amp;""</f>
        <v>#N/A</v>
      </c>
    </row>
    <row r="3508" ht="14.100000000000001" customHeight="1">
      <c r="B3508" s="8" t="s">
        <v>7155</v>
      </c>
      <c r="C3508" s="8" t="s">
        <v>7156</v>
      </c>
      <c r="D3508" s="8" t="s">
        <v>7155</v>
      </c>
      <c r="E3508" s="20" t="e">
        <f t="array" ref="E3508">INDEX(C:C,SMALL(IF(ISNUMBER(FIND(CELL("contents"),$C$2:$C$4852)),ROW($C$2:$C$4852),4^8),ROW(C3508)))&amp;""</f>
        <v>#N/A</v>
      </c>
    </row>
    <row r="3509" ht="14.100000000000001" customHeight="1">
      <c r="B3509" s="8" t="s">
        <v>7157</v>
      </c>
      <c r="C3509" s="8" t="s">
        <v>7158</v>
      </c>
      <c r="D3509" s="8" t="s">
        <v>7157</v>
      </c>
      <c r="E3509" s="20" t="e">
        <f t="array" ref="E3509">INDEX(C:C,SMALL(IF(ISNUMBER(FIND(CELL("contents"),$C$2:$C$4852)),ROW($C$2:$C$4852),4^8),ROW(C3509)))&amp;""</f>
        <v>#N/A</v>
      </c>
    </row>
    <row r="3510" ht="14.100000000000001" customHeight="1">
      <c r="B3510" s="8" t="s">
        <v>7159</v>
      </c>
      <c r="C3510" s="8" t="s">
        <v>7160</v>
      </c>
      <c r="D3510" s="8" t="s">
        <v>7159</v>
      </c>
      <c r="E3510" s="20" t="e">
        <f t="array" ref="E3510">INDEX(C:C,SMALL(IF(ISNUMBER(FIND(CELL("contents"),$C$2:$C$4852)),ROW($C$2:$C$4852),4^8),ROW(C3510)))&amp;""</f>
        <v>#N/A</v>
      </c>
    </row>
    <row r="3511" ht="14.100000000000001" customHeight="1">
      <c r="B3511" s="8" t="s">
        <v>7161</v>
      </c>
      <c r="C3511" s="8" t="s">
        <v>7162</v>
      </c>
      <c r="D3511" s="8" t="s">
        <v>7161</v>
      </c>
      <c r="E3511" s="20" t="e">
        <f t="array" ref="E3511">INDEX(C:C,SMALL(IF(ISNUMBER(FIND(CELL("contents"),$C$2:$C$4852)),ROW($C$2:$C$4852),4^8),ROW(C3511)))&amp;""</f>
        <v>#N/A</v>
      </c>
    </row>
    <row r="3512" ht="14.100000000000001" customHeight="1">
      <c r="B3512" s="8" t="s">
        <v>7163</v>
      </c>
      <c r="C3512" s="8" t="s">
        <v>7164</v>
      </c>
      <c r="D3512" s="8" t="s">
        <v>7163</v>
      </c>
      <c r="E3512" s="20" t="e">
        <f t="array" ref="E3512">INDEX(C:C,SMALL(IF(ISNUMBER(FIND(CELL("contents"),$C$2:$C$4852)),ROW($C$2:$C$4852),4^8),ROW(C3512)))&amp;""</f>
        <v>#N/A</v>
      </c>
    </row>
    <row r="3513" ht="14.100000000000001" customHeight="1">
      <c r="B3513" s="8" t="s">
        <v>7165</v>
      </c>
      <c r="C3513" s="8" t="s">
        <v>7166</v>
      </c>
      <c r="D3513" s="8" t="s">
        <v>7165</v>
      </c>
      <c r="E3513" s="20" t="e">
        <f t="array" ref="E3513">INDEX(C:C,SMALL(IF(ISNUMBER(FIND(CELL("contents"),$C$2:$C$4852)),ROW($C$2:$C$4852),4^8),ROW(C3513)))&amp;""</f>
        <v>#N/A</v>
      </c>
    </row>
    <row r="3514" ht="14.100000000000001" customHeight="1">
      <c r="B3514" s="8" t="s">
        <v>7167</v>
      </c>
      <c r="C3514" s="8" t="s">
        <v>7168</v>
      </c>
      <c r="D3514" s="8" t="s">
        <v>7167</v>
      </c>
      <c r="E3514" s="20" t="e">
        <f t="array" ref="E3514">INDEX(C:C,SMALL(IF(ISNUMBER(FIND(CELL("contents"),$C$2:$C$4852)),ROW($C$2:$C$4852),4^8),ROW(C3514)))&amp;""</f>
        <v>#N/A</v>
      </c>
    </row>
    <row r="3515" ht="14.100000000000001" customHeight="1">
      <c r="B3515" s="8" t="s">
        <v>7169</v>
      </c>
      <c r="C3515" s="8" t="s">
        <v>7170</v>
      </c>
      <c r="D3515" s="8" t="s">
        <v>7169</v>
      </c>
      <c r="E3515" s="20" t="e">
        <f t="array" ref="E3515">INDEX(C:C,SMALL(IF(ISNUMBER(FIND(CELL("contents"),$C$2:$C$4852)),ROW($C$2:$C$4852),4^8),ROW(C3515)))&amp;""</f>
        <v>#N/A</v>
      </c>
    </row>
    <row r="3516" ht="14.100000000000001" customHeight="1">
      <c r="B3516" s="8" t="s">
        <v>7171</v>
      </c>
      <c r="C3516" s="8" t="s">
        <v>7172</v>
      </c>
      <c r="D3516" s="8" t="s">
        <v>7171</v>
      </c>
      <c r="E3516" s="20" t="e">
        <f t="array" ref="E3516">INDEX(C:C,SMALL(IF(ISNUMBER(FIND(CELL("contents"),$C$2:$C$4852)),ROW($C$2:$C$4852),4^8),ROW(C3516)))&amp;""</f>
        <v>#N/A</v>
      </c>
    </row>
    <row r="3517" ht="14.100000000000001" customHeight="1">
      <c r="B3517" s="8" t="s">
        <v>7173</v>
      </c>
      <c r="C3517" s="8" t="s">
        <v>7174</v>
      </c>
      <c r="D3517" s="8" t="s">
        <v>7173</v>
      </c>
      <c r="E3517" s="20" t="e">
        <f t="array" ref="E3517">INDEX(C:C,SMALL(IF(ISNUMBER(FIND(CELL("contents"),$C$2:$C$4852)),ROW($C$2:$C$4852),4^8),ROW(C3517)))&amp;""</f>
        <v>#N/A</v>
      </c>
    </row>
    <row r="3518" ht="14.100000000000001" customHeight="1">
      <c r="B3518" s="8" t="s">
        <v>7175</v>
      </c>
      <c r="C3518" s="8" t="s">
        <v>7176</v>
      </c>
      <c r="D3518" s="8" t="s">
        <v>7175</v>
      </c>
      <c r="E3518" s="20" t="e">
        <f t="array" ref="E3518">INDEX(C:C,SMALL(IF(ISNUMBER(FIND(CELL("contents"),$C$2:$C$4852)),ROW($C$2:$C$4852),4^8),ROW(C3518)))&amp;""</f>
        <v>#N/A</v>
      </c>
    </row>
    <row r="3519" ht="14.100000000000001" customHeight="1">
      <c r="B3519" s="8" t="s">
        <v>7177</v>
      </c>
      <c r="C3519" s="8" t="s">
        <v>7178</v>
      </c>
      <c r="D3519" s="8" t="s">
        <v>7177</v>
      </c>
      <c r="E3519" s="20" t="e">
        <f t="array" ref="E3519">INDEX(C:C,SMALL(IF(ISNUMBER(FIND(CELL("contents"),$C$2:$C$4852)),ROW($C$2:$C$4852),4^8),ROW(C3519)))&amp;""</f>
        <v>#N/A</v>
      </c>
    </row>
    <row r="3520" ht="14.100000000000001" customHeight="1">
      <c r="B3520" s="8" t="s">
        <v>7179</v>
      </c>
      <c r="C3520" s="8" t="s">
        <v>7180</v>
      </c>
      <c r="D3520" s="8" t="s">
        <v>7179</v>
      </c>
      <c r="E3520" s="20" t="e">
        <f t="array" ref="E3520">INDEX(C:C,SMALL(IF(ISNUMBER(FIND(CELL("contents"),$C$2:$C$4852)),ROW($C$2:$C$4852),4^8),ROW(C3520)))&amp;""</f>
        <v>#N/A</v>
      </c>
    </row>
    <row r="3521" ht="14.100000000000001" customHeight="1">
      <c r="B3521" s="8" t="s">
        <v>7181</v>
      </c>
      <c r="C3521" s="8" t="s">
        <v>7182</v>
      </c>
      <c r="D3521" s="8" t="s">
        <v>7181</v>
      </c>
      <c r="E3521" s="20" t="e">
        <f t="array" ref="E3521">INDEX(C:C,SMALL(IF(ISNUMBER(FIND(CELL("contents"),$C$2:$C$4852)),ROW($C$2:$C$4852),4^8),ROW(C3521)))&amp;""</f>
        <v>#N/A</v>
      </c>
    </row>
    <row r="3522" ht="14.100000000000001" customHeight="1">
      <c r="B3522" s="8" t="s">
        <v>7183</v>
      </c>
      <c r="C3522" s="8" t="s">
        <v>7184</v>
      </c>
      <c r="D3522" s="8" t="s">
        <v>7183</v>
      </c>
      <c r="E3522" s="20" t="e">
        <f t="array" ref="E3522">INDEX(C:C,SMALL(IF(ISNUMBER(FIND(CELL("contents"),$C$2:$C$4852)),ROW($C$2:$C$4852),4^8),ROW(C3522)))&amp;""</f>
        <v>#N/A</v>
      </c>
    </row>
    <row r="3523" ht="14.100000000000001" customHeight="1">
      <c r="B3523" s="8" t="s">
        <v>7185</v>
      </c>
      <c r="C3523" s="8" t="s">
        <v>7186</v>
      </c>
      <c r="D3523" s="8" t="s">
        <v>7185</v>
      </c>
      <c r="E3523" s="20" t="e">
        <f t="array" ref="E3523">INDEX(C:C,SMALL(IF(ISNUMBER(FIND(CELL("contents"),$C$2:$C$4852)),ROW($C$2:$C$4852),4^8),ROW(C3523)))&amp;""</f>
        <v>#N/A</v>
      </c>
    </row>
    <row r="3524" ht="14.100000000000001" customHeight="1">
      <c r="B3524" s="8" t="s">
        <v>7187</v>
      </c>
      <c r="C3524" s="8" t="s">
        <v>7188</v>
      </c>
      <c r="D3524" s="8" t="s">
        <v>7187</v>
      </c>
      <c r="E3524" s="20" t="e">
        <f t="array" ref="E3524">INDEX(C:C,SMALL(IF(ISNUMBER(FIND(CELL("contents"),$C$2:$C$4852)),ROW($C$2:$C$4852),4^8),ROW(C3524)))&amp;""</f>
        <v>#N/A</v>
      </c>
    </row>
    <row r="3525" ht="14.100000000000001" customHeight="1">
      <c r="B3525" s="8" t="s">
        <v>7189</v>
      </c>
      <c r="C3525" s="8" t="s">
        <v>7190</v>
      </c>
      <c r="D3525" s="8" t="s">
        <v>7189</v>
      </c>
      <c r="E3525" s="20" t="e">
        <f t="array" ref="E3525">INDEX(C:C,SMALL(IF(ISNUMBER(FIND(CELL("contents"),$C$2:$C$4852)),ROW($C$2:$C$4852),4^8),ROW(C3525)))&amp;""</f>
        <v>#N/A</v>
      </c>
    </row>
    <row r="3526" ht="14.100000000000001" customHeight="1">
      <c r="B3526" s="8" t="s">
        <v>7191</v>
      </c>
      <c r="C3526" s="8" t="s">
        <v>7192</v>
      </c>
      <c r="D3526" s="8" t="s">
        <v>7191</v>
      </c>
      <c r="E3526" s="20" t="e">
        <f t="array" ref="E3526">INDEX(C:C,SMALL(IF(ISNUMBER(FIND(CELL("contents"),$C$2:$C$4852)),ROW($C$2:$C$4852),4^8),ROW(C3526)))&amp;""</f>
        <v>#N/A</v>
      </c>
    </row>
    <row r="3527" ht="14.100000000000001" customHeight="1">
      <c r="B3527" s="8" t="s">
        <v>7193</v>
      </c>
      <c r="C3527" s="8" t="s">
        <v>7194</v>
      </c>
      <c r="D3527" s="8" t="s">
        <v>7193</v>
      </c>
      <c r="E3527" s="20" t="e">
        <f t="array" ref="E3527">INDEX(C:C,SMALL(IF(ISNUMBER(FIND(CELL("contents"),$C$2:$C$4852)),ROW($C$2:$C$4852),4^8),ROW(C3527)))&amp;""</f>
        <v>#N/A</v>
      </c>
    </row>
    <row r="3528" ht="14.100000000000001" customHeight="1">
      <c r="B3528" s="8" t="s">
        <v>7195</v>
      </c>
      <c r="C3528" s="8" t="s">
        <v>7196</v>
      </c>
      <c r="D3528" s="8" t="s">
        <v>7195</v>
      </c>
      <c r="E3528" s="20" t="e">
        <f t="array" ref="E3528">INDEX(C:C,SMALL(IF(ISNUMBER(FIND(CELL("contents"),$C$2:$C$4852)),ROW($C$2:$C$4852),4^8),ROW(C3528)))&amp;""</f>
        <v>#N/A</v>
      </c>
    </row>
    <row r="3529" ht="14.100000000000001" customHeight="1">
      <c r="B3529" s="8" t="s">
        <v>7197</v>
      </c>
      <c r="C3529" s="8" t="s">
        <v>7198</v>
      </c>
      <c r="D3529" s="8" t="s">
        <v>7197</v>
      </c>
      <c r="E3529" s="20" t="e">
        <f t="array" ref="E3529">INDEX(C:C,SMALL(IF(ISNUMBER(FIND(CELL("contents"),$C$2:$C$4852)),ROW($C$2:$C$4852),4^8),ROW(C3529)))&amp;""</f>
        <v>#N/A</v>
      </c>
    </row>
    <row r="3530" ht="14.100000000000001" customHeight="1">
      <c r="B3530" s="8" t="s">
        <v>7199</v>
      </c>
      <c r="C3530" s="8" t="s">
        <v>7200</v>
      </c>
      <c r="D3530" s="8" t="s">
        <v>7199</v>
      </c>
      <c r="E3530" s="20" t="e">
        <f t="array" ref="E3530">INDEX(C:C,SMALL(IF(ISNUMBER(FIND(CELL("contents"),$C$2:$C$4852)),ROW($C$2:$C$4852),4^8),ROW(C3530)))&amp;""</f>
        <v>#N/A</v>
      </c>
    </row>
    <row r="3531" ht="14.100000000000001" customHeight="1">
      <c r="B3531" s="8" t="s">
        <v>7201</v>
      </c>
      <c r="C3531" s="8" t="s">
        <v>7202</v>
      </c>
      <c r="D3531" s="8" t="s">
        <v>7201</v>
      </c>
      <c r="E3531" s="20" t="e">
        <f t="array" ref="E3531">INDEX(C:C,SMALL(IF(ISNUMBER(FIND(CELL("contents"),$C$2:$C$4852)),ROW($C$2:$C$4852),4^8),ROW(C3531)))&amp;""</f>
        <v>#N/A</v>
      </c>
    </row>
    <row r="3532" ht="14.100000000000001" customHeight="1">
      <c r="B3532" s="8" t="s">
        <v>7203</v>
      </c>
      <c r="C3532" s="8" t="s">
        <v>7204</v>
      </c>
      <c r="D3532" s="8" t="s">
        <v>7203</v>
      </c>
      <c r="E3532" s="20" t="e">
        <f t="array" ref="E3532">INDEX(C:C,SMALL(IF(ISNUMBER(FIND(CELL("contents"),$C$2:$C$4852)),ROW($C$2:$C$4852),4^8),ROW(C3532)))&amp;""</f>
        <v>#N/A</v>
      </c>
    </row>
    <row r="3533" ht="14.100000000000001" customHeight="1">
      <c r="B3533" s="8" t="s">
        <v>7205</v>
      </c>
      <c r="C3533" s="8" t="s">
        <v>7206</v>
      </c>
      <c r="D3533" s="8" t="s">
        <v>7205</v>
      </c>
      <c r="E3533" s="20" t="e">
        <f t="array" ref="E3533">INDEX(C:C,SMALL(IF(ISNUMBER(FIND(CELL("contents"),$C$2:$C$4852)),ROW($C$2:$C$4852),4^8),ROW(C3533)))&amp;""</f>
        <v>#N/A</v>
      </c>
    </row>
    <row r="3534" ht="14.100000000000001" customHeight="1">
      <c r="B3534" s="8" t="s">
        <v>7207</v>
      </c>
      <c r="C3534" s="8" t="s">
        <v>7208</v>
      </c>
      <c r="D3534" s="8" t="s">
        <v>7207</v>
      </c>
      <c r="E3534" s="20" t="e">
        <f t="array" ref="E3534">INDEX(C:C,SMALL(IF(ISNUMBER(FIND(CELL("contents"),$C$2:$C$4852)),ROW($C$2:$C$4852),4^8),ROW(C3534)))&amp;""</f>
        <v>#N/A</v>
      </c>
    </row>
    <row r="3535" ht="14.100000000000001" customHeight="1">
      <c r="B3535" s="8" t="s">
        <v>7209</v>
      </c>
      <c r="C3535" s="8" t="s">
        <v>7210</v>
      </c>
      <c r="D3535" s="8" t="s">
        <v>7209</v>
      </c>
      <c r="E3535" s="20" t="e">
        <f t="array" ref="E3535">INDEX(C:C,SMALL(IF(ISNUMBER(FIND(CELL("contents"),$C$2:$C$4852)),ROW($C$2:$C$4852),4^8),ROW(C3535)))&amp;""</f>
        <v>#N/A</v>
      </c>
    </row>
    <row r="3536" ht="14.100000000000001" customHeight="1">
      <c r="B3536" s="8" t="s">
        <v>7211</v>
      </c>
      <c r="C3536" s="8" t="s">
        <v>7212</v>
      </c>
      <c r="D3536" s="8" t="s">
        <v>7211</v>
      </c>
      <c r="E3536" s="20" t="e">
        <f t="array" ref="E3536">INDEX(C:C,SMALL(IF(ISNUMBER(FIND(CELL("contents"),$C$2:$C$4852)),ROW($C$2:$C$4852),4^8),ROW(C3536)))&amp;""</f>
        <v>#N/A</v>
      </c>
    </row>
    <row r="3537" ht="14.100000000000001" customHeight="1">
      <c r="B3537" s="8" t="s">
        <v>7213</v>
      </c>
      <c r="C3537" s="8" t="s">
        <v>7214</v>
      </c>
      <c r="D3537" s="8" t="s">
        <v>7213</v>
      </c>
      <c r="E3537" s="20" t="e">
        <f t="array" ref="E3537">INDEX(C:C,SMALL(IF(ISNUMBER(FIND(CELL("contents"),$C$2:$C$4852)),ROW($C$2:$C$4852),4^8),ROW(C3537)))&amp;""</f>
        <v>#N/A</v>
      </c>
    </row>
    <row r="3538" ht="14.100000000000001" customHeight="1">
      <c r="B3538" s="8" t="s">
        <v>7215</v>
      </c>
      <c r="C3538" s="8" t="s">
        <v>7216</v>
      </c>
      <c r="D3538" s="8" t="s">
        <v>7215</v>
      </c>
      <c r="E3538" s="20" t="e">
        <f t="array" ref="E3538">INDEX(C:C,SMALL(IF(ISNUMBER(FIND(CELL("contents"),$C$2:$C$4852)),ROW($C$2:$C$4852),4^8),ROW(C3538)))&amp;""</f>
        <v>#N/A</v>
      </c>
    </row>
    <row r="3539" ht="14.100000000000001" customHeight="1">
      <c r="B3539" s="8" t="s">
        <v>7217</v>
      </c>
      <c r="C3539" s="8" t="s">
        <v>7218</v>
      </c>
      <c r="D3539" s="8" t="s">
        <v>7217</v>
      </c>
      <c r="E3539" s="20" t="e">
        <f t="array" ref="E3539">INDEX(C:C,SMALL(IF(ISNUMBER(FIND(CELL("contents"),$C$2:$C$4852)),ROW($C$2:$C$4852),4^8),ROW(C3539)))&amp;""</f>
        <v>#N/A</v>
      </c>
    </row>
    <row r="3540" ht="14.100000000000001" customHeight="1">
      <c r="B3540" s="8" t="s">
        <v>7219</v>
      </c>
      <c r="C3540" s="8" t="s">
        <v>7220</v>
      </c>
      <c r="D3540" s="8" t="s">
        <v>7219</v>
      </c>
      <c r="E3540" s="20" t="e">
        <f t="array" ref="E3540">INDEX(C:C,SMALL(IF(ISNUMBER(FIND(CELL("contents"),$C$2:$C$4852)),ROW($C$2:$C$4852),4^8),ROW(C3540)))&amp;""</f>
        <v>#N/A</v>
      </c>
    </row>
    <row r="3541" ht="14.100000000000001" customHeight="1">
      <c r="B3541" s="8" t="s">
        <v>7221</v>
      </c>
      <c r="C3541" s="8" t="s">
        <v>7222</v>
      </c>
      <c r="D3541" s="8" t="s">
        <v>7221</v>
      </c>
      <c r="E3541" s="20" t="e">
        <f t="array" ref="E3541">INDEX(C:C,SMALL(IF(ISNUMBER(FIND(CELL("contents"),$C$2:$C$4852)),ROW($C$2:$C$4852),4^8),ROW(C3541)))&amp;""</f>
        <v>#N/A</v>
      </c>
    </row>
    <row r="3542" ht="14.100000000000001" customHeight="1">
      <c r="B3542" s="8" t="s">
        <v>7223</v>
      </c>
      <c r="C3542" s="8" t="s">
        <v>7224</v>
      </c>
      <c r="D3542" s="8" t="s">
        <v>7223</v>
      </c>
      <c r="E3542" s="20" t="e">
        <f t="array" ref="E3542">INDEX(C:C,SMALL(IF(ISNUMBER(FIND(CELL("contents"),$C$2:$C$4852)),ROW($C$2:$C$4852),4^8),ROW(C3542)))&amp;""</f>
        <v>#N/A</v>
      </c>
    </row>
    <row r="3543" ht="14.100000000000001" customHeight="1">
      <c r="B3543" s="8" t="s">
        <v>7225</v>
      </c>
      <c r="C3543" s="8" t="s">
        <v>7226</v>
      </c>
      <c r="D3543" s="8" t="s">
        <v>7225</v>
      </c>
      <c r="E3543" s="20" t="e">
        <f t="array" ref="E3543">INDEX(C:C,SMALL(IF(ISNUMBER(FIND(CELL("contents"),$C$2:$C$4852)),ROW($C$2:$C$4852),4^8),ROW(C3543)))&amp;""</f>
        <v>#N/A</v>
      </c>
    </row>
    <row r="3544" ht="14.100000000000001" customHeight="1">
      <c r="B3544" s="8" t="s">
        <v>7227</v>
      </c>
      <c r="C3544" s="8" t="s">
        <v>7228</v>
      </c>
      <c r="D3544" s="8" t="s">
        <v>7227</v>
      </c>
      <c r="E3544" s="20" t="e">
        <f t="array" ref="E3544">INDEX(C:C,SMALL(IF(ISNUMBER(FIND(CELL("contents"),$C$2:$C$4852)),ROW($C$2:$C$4852),4^8),ROW(C3544)))&amp;""</f>
        <v>#N/A</v>
      </c>
    </row>
    <row r="3545" ht="14.100000000000001" customHeight="1">
      <c r="B3545" s="8" t="s">
        <v>7229</v>
      </c>
      <c r="C3545" s="8" t="s">
        <v>7230</v>
      </c>
      <c r="D3545" s="8" t="s">
        <v>7229</v>
      </c>
      <c r="E3545" s="20" t="e">
        <f t="array" ref="E3545">INDEX(C:C,SMALL(IF(ISNUMBER(FIND(CELL("contents"),$C$2:$C$4852)),ROW($C$2:$C$4852),4^8),ROW(C3545)))&amp;""</f>
        <v>#N/A</v>
      </c>
    </row>
    <row r="3546" ht="14.100000000000001" customHeight="1">
      <c r="B3546" s="8" t="s">
        <v>7231</v>
      </c>
      <c r="C3546" s="8" t="s">
        <v>7232</v>
      </c>
      <c r="D3546" s="8" t="s">
        <v>7231</v>
      </c>
      <c r="E3546" s="20" t="e">
        <f t="array" ref="E3546">INDEX(C:C,SMALL(IF(ISNUMBER(FIND(CELL("contents"),$C$2:$C$4852)),ROW($C$2:$C$4852),4^8),ROW(C3546)))&amp;""</f>
        <v>#N/A</v>
      </c>
    </row>
    <row r="3547" ht="14.100000000000001" customHeight="1">
      <c r="B3547" s="8" t="s">
        <v>7233</v>
      </c>
      <c r="C3547" s="8" t="s">
        <v>7234</v>
      </c>
      <c r="D3547" s="8" t="s">
        <v>7233</v>
      </c>
      <c r="E3547" s="20" t="e">
        <f t="array" ref="E3547">INDEX(C:C,SMALL(IF(ISNUMBER(FIND(CELL("contents"),$C$2:$C$4852)),ROW($C$2:$C$4852),4^8),ROW(C3547)))&amp;""</f>
        <v>#N/A</v>
      </c>
    </row>
    <row r="3548" ht="14.100000000000001" customHeight="1">
      <c r="B3548" s="8" t="s">
        <v>7235</v>
      </c>
      <c r="C3548" s="8" t="s">
        <v>7236</v>
      </c>
      <c r="D3548" s="8" t="s">
        <v>7235</v>
      </c>
      <c r="E3548" s="20" t="e">
        <f t="array" ref="E3548">INDEX(C:C,SMALL(IF(ISNUMBER(FIND(CELL("contents"),$C$2:$C$4852)),ROW($C$2:$C$4852),4^8),ROW(C3548)))&amp;""</f>
        <v>#N/A</v>
      </c>
    </row>
    <row r="3549" ht="14.100000000000001" customHeight="1">
      <c r="B3549" s="8" t="s">
        <v>7237</v>
      </c>
      <c r="C3549" s="8" t="s">
        <v>7238</v>
      </c>
      <c r="D3549" s="8" t="s">
        <v>7237</v>
      </c>
      <c r="E3549" s="20" t="e">
        <f t="array" ref="E3549">INDEX(C:C,SMALL(IF(ISNUMBER(FIND(CELL("contents"),$C$2:$C$4852)),ROW($C$2:$C$4852),4^8),ROW(C3549)))&amp;""</f>
        <v>#N/A</v>
      </c>
    </row>
    <row r="3550" ht="14.100000000000001" customHeight="1">
      <c r="B3550" s="8" t="s">
        <v>7239</v>
      </c>
      <c r="C3550" s="8" t="s">
        <v>7240</v>
      </c>
      <c r="D3550" s="8" t="s">
        <v>7239</v>
      </c>
      <c r="E3550" s="20" t="e">
        <f t="array" ref="E3550">INDEX(C:C,SMALL(IF(ISNUMBER(FIND(CELL("contents"),$C$2:$C$4852)),ROW($C$2:$C$4852),4^8),ROW(C3550)))&amp;""</f>
        <v>#N/A</v>
      </c>
    </row>
    <row r="3551" ht="14.100000000000001" customHeight="1">
      <c r="B3551" s="8" t="s">
        <v>7241</v>
      </c>
      <c r="C3551" s="8" t="s">
        <v>7242</v>
      </c>
      <c r="D3551" s="8" t="s">
        <v>7241</v>
      </c>
      <c r="E3551" s="20" t="e">
        <f t="array" ref="E3551">INDEX(C:C,SMALL(IF(ISNUMBER(FIND(CELL("contents"),$C$2:$C$4852)),ROW($C$2:$C$4852),4^8),ROW(C3551)))&amp;""</f>
        <v>#N/A</v>
      </c>
    </row>
    <row r="3552" ht="14.100000000000001" customHeight="1">
      <c r="B3552" s="8" t="s">
        <v>7243</v>
      </c>
      <c r="C3552" s="8" t="s">
        <v>7244</v>
      </c>
      <c r="D3552" s="8" t="s">
        <v>7243</v>
      </c>
      <c r="E3552" s="20" t="e">
        <f t="array" ref="E3552">INDEX(C:C,SMALL(IF(ISNUMBER(FIND(CELL("contents"),$C$2:$C$4852)),ROW($C$2:$C$4852),4^8),ROW(C3552)))&amp;""</f>
        <v>#N/A</v>
      </c>
    </row>
    <row r="3553" ht="14.100000000000001" customHeight="1">
      <c r="B3553" s="8" t="s">
        <v>7245</v>
      </c>
      <c r="C3553" s="8" t="s">
        <v>7246</v>
      </c>
      <c r="D3553" s="8" t="s">
        <v>7245</v>
      </c>
      <c r="E3553" s="20" t="e">
        <f t="array" ref="E3553">INDEX(C:C,SMALL(IF(ISNUMBER(FIND(CELL("contents"),$C$2:$C$4852)),ROW($C$2:$C$4852),4^8),ROW(C3553)))&amp;""</f>
        <v>#N/A</v>
      </c>
    </row>
    <row r="3554" ht="14.100000000000001" customHeight="1">
      <c r="B3554" s="8" t="s">
        <v>7247</v>
      </c>
      <c r="C3554" s="8" t="s">
        <v>7248</v>
      </c>
      <c r="D3554" s="8" t="s">
        <v>7247</v>
      </c>
      <c r="E3554" s="20" t="e">
        <f t="array" ref="E3554">INDEX(C:C,SMALL(IF(ISNUMBER(FIND(CELL("contents"),$C$2:$C$4852)),ROW($C$2:$C$4852),4^8),ROW(C3554)))&amp;""</f>
        <v>#N/A</v>
      </c>
    </row>
    <row r="3555" ht="14.100000000000001" customHeight="1">
      <c r="B3555" s="8" t="s">
        <v>7249</v>
      </c>
      <c r="C3555" s="8" t="s">
        <v>7250</v>
      </c>
      <c r="D3555" s="8" t="s">
        <v>7249</v>
      </c>
      <c r="E3555" s="20" t="e">
        <f t="array" ref="E3555">INDEX(C:C,SMALL(IF(ISNUMBER(FIND(CELL("contents"),$C$2:$C$4852)),ROW($C$2:$C$4852),4^8),ROW(C3555)))&amp;""</f>
        <v>#N/A</v>
      </c>
    </row>
    <row r="3556" ht="14.100000000000001" customHeight="1">
      <c r="B3556" s="8" t="s">
        <v>7251</v>
      </c>
      <c r="C3556" s="8" t="s">
        <v>7252</v>
      </c>
      <c r="D3556" s="8" t="s">
        <v>7251</v>
      </c>
      <c r="E3556" s="20" t="e">
        <f t="array" ref="E3556">INDEX(C:C,SMALL(IF(ISNUMBER(FIND(CELL("contents"),$C$2:$C$4852)),ROW($C$2:$C$4852),4^8),ROW(C3556)))&amp;""</f>
        <v>#N/A</v>
      </c>
    </row>
    <row r="3557" ht="14.100000000000001" customHeight="1">
      <c r="B3557" s="8" t="s">
        <v>7253</v>
      </c>
      <c r="C3557" s="8" t="s">
        <v>7254</v>
      </c>
      <c r="D3557" s="8" t="s">
        <v>7253</v>
      </c>
      <c r="E3557" s="20" t="e">
        <f t="array" ref="E3557">INDEX(C:C,SMALL(IF(ISNUMBER(FIND(CELL("contents"),$C$2:$C$4852)),ROW($C$2:$C$4852),4^8),ROW(C3557)))&amp;""</f>
        <v>#N/A</v>
      </c>
    </row>
    <row r="3558" ht="14.100000000000001" customHeight="1">
      <c r="B3558" s="8" t="s">
        <v>7255</v>
      </c>
      <c r="C3558" s="8" t="s">
        <v>7256</v>
      </c>
      <c r="D3558" s="8" t="s">
        <v>7255</v>
      </c>
      <c r="E3558" s="20" t="e">
        <f t="array" ref="E3558">INDEX(C:C,SMALL(IF(ISNUMBER(FIND(CELL("contents"),$C$2:$C$4852)),ROW($C$2:$C$4852),4^8),ROW(C3558)))&amp;""</f>
        <v>#N/A</v>
      </c>
    </row>
    <row r="3559" ht="14.100000000000001" customHeight="1">
      <c r="B3559" s="8" t="s">
        <v>7257</v>
      </c>
      <c r="C3559" s="8" t="s">
        <v>7258</v>
      </c>
      <c r="D3559" s="8" t="s">
        <v>7257</v>
      </c>
      <c r="E3559" s="20" t="e">
        <f t="array" ref="E3559">INDEX(C:C,SMALL(IF(ISNUMBER(FIND(CELL("contents"),$C$2:$C$4852)),ROW($C$2:$C$4852),4^8),ROW(C3559)))&amp;""</f>
        <v>#N/A</v>
      </c>
    </row>
    <row r="3560" ht="14.100000000000001" customHeight="1">
      <c r="B3560" s="8" t="s">
        <v>7259</v>
      </c>
      <c r="C3560" s="8" t="s">
        <v>7260</v>
      </c>
      <c r="D3560" s="8" t="s">
        <v>7259</v>
      </c>
      <c r="E3560" s="20" t="e">
        <f t="array" ref="E3560">INDEX(C:C,SMALL(IF(ISNUMBER(FIND(CELL("contents"),$C$2:$C$4852)),ROW($C$2:$C$4852),4^8),ROW(C3560)))&amp;""</f>
        <v>#N/A</v>
      </c>
    </row>
    <row r="3561" ht="14.100000000000001" customHeight="1">
      <c r="B3561" s="8" t="s">
        <v>7261</v>
      </c>
      <c r="C3561" s="8" t="s">
        <v>7262</v>
      </c>
      <c r="D3561" s="8" t="s">
        <v>7261</v>
      </c>
      <c r="E3561" s="20" t="e">
        <f t="array" ref="E3561">INDEX(C:C,SMALL(IF(ISNUMBER(FIND(CELL("contents"),$C$2:$C$4852)),ROW($C$2:$C$4852),4^8),ROW(C3561)))&amp;""</f>
        <v>#N/A</v>
      </c>
    </row>
    <row r="3562" ht="14.100000000000001" customHeight="1">
      <c r="B3562" s="8" t="s">
        <v>7263</v>
      </c>
      <c r="C3562" s="8" t="s">
        <v>7264</v>
      </c>
      <c r="D3562" s="8" t="s">
        <v>7263</v>
      </c>
      <c r="E3562" s="20" t="e">
        <f t="array" ref="E3562">INDEX(C:C,SMALL(IF(ISNUMBER(FIND(CELL("contents"),$C$2:$C$4852)),ROW($C$2:$C$4852),4^8),ROW(C3562)))&amp;""</f>
        <v>#N/A</v>
      </c>
    </row>
    <row r="3563" ht="14.100000000000001" customHeight="1">
      <c r="B3563" s="8" t="s">
        <v>7265</v>
      </c>
      <c r="C3563" s="8" t="s">
        <v>7266</v>
      </c>
      <c r="D3563" s="8" t="s">
        <v>7265</v>
      </c>
      <c r="E3563" s="20" t="e">
        <f t="array" ref="E3563">INDEX(C:C,SMALL(IF(ISNUMBER(FIND(CELL("contents"),$C$2:$C$4852)),ROW($C$2:$C$4852),4^8),ROW(C3563)))&amp;""</f>
        <v>#N/A</v>
      </c>
    </row>
    <row r="3564" ht="14.100000000000001" customHeight="1">
      <c r="B3564" s="8" t="s">
        <v>7267</v>
      </c>
      <c r="C3564" s="8" t="s">
        <v>7268</v>
      </c>
      <c r="D3564" s="8" t="s">
        <v>7267</v>
      </c>
      <c r="E3564" s="20" t="e">
        <f t="array" ref="E3564">INDEX(C:C,SMALL(IF(ISNUMBER(FIND(CELL("contents"),$C$2:$C$4852)),ROW($C$2:$C$4852),4^8),ROW(C3564)))&amp;""</f>
        <v>#N/A</v>
      </c>
    </row>
    <row r="3565" ht="14.100000000000001" customHeight="1">
      <c r="B3565" s="8" t="s">
        <v>7269</v>
      </c>
      <c r="C3565" s="8" t="s">
        <v>7270</v>
      </c>
      <c r="D3565" s="8" t="s">
        <v>7269</v>
      </c>
      <c r="E3565" s="20" t="e">
        <f t="array" ref="E3565">INDEX(C:C,SMALL(IF(ISNUMBER(FIND(CELL("contents"),$C$2:$C$4852)),ROW($C$2:$C$4852),4^8),ROW(C3565)))&amp;""</f>
        <v>#N/A</v>
      </c>
    </row>
    <row r="3566" ht="14.100000000000001" customHeight="1">
      <c r="B3566" s="8" t="s">
        <v>7271</v>
      </c>
      <c r="C3566" s="8" t="s">
        <v>7272</v>
      </c>
      <c r="D3566" s="8" t="s">
        <v>7271</v>
      </c>
      <c r="E3566" s="20" t="e">
        <f t="array" ref="E3566">INDEX(C:C,SMALL(IF(ISNUMBER(FIND(CELL("contents"),$C$2:$C$4852)),ROW($C$2:$C$4852),4^8),ROW(C3566)))&amp;""</f>
        <v>#N/A</v>
      </c>
    </row>
    <row r="3567" ht="14.100000000000001" customHeight="1">
      <c r="B3567" s="8" t="s">
        <v>7273</v>
      </c>
      <c r="C3567" s="8" t="s">
        <v>7274</v>
      </c>
      <c r="D3567" s="8" t="s">
        <v>7273</v>
      </c>
      <c r="E3567" s="20" t="e">
        <f t="array" ref="E3567">INDEX(C:C,SMALL(IF(ISNUMBER(FIND(CELL("contents"),$C$2:$C$4852)),ROW($C$2:$C$4852),4^8),ROW(C3567)))&amp;""</f>
        <v>#N/A</v>
      </c>
    </row>
    <row r="3568" ht="14.100000000000001" customHeight="1">
      <c r="B3568" s="8" t="s">
        <v>7275</v>
      </c>
      <c r="C3568" s="8" t="s">
        <v>7276</v>
      </c>
      <c r="D3568" s="8" t="s">
        <v>7275</v>
      </c>
      <c r="E3568" s="20" t="e">
        <f t="array" ref="E3568">INDEX(C:C,SMALL(IF(ISNUMBER(FIND(CELL("contents"),$C$2:$C$4852)),ROW($C$2:$C$4852),4^8),ROW(C3568)))&amp;""</f>
        <v>#N/A</v>
      </c>
    </row>
    <row r="3569" ht="14.100000000000001" customHeight="1">
      <c r="B3569" s="8" t="s">
        <v>7277</v>
      </c>
      <c r="C3569" s="8" t="s">
        <v>7278</v>
      </c>
      <c r="D3569" s="8" t="s">
        <v>7277</v>
      </c>
      <c r="E3569" s="20" t="e">
        <f t="array" ref="E3569">INDEX(C:C,SMALL(IF(ISNUMBER(FIND(CELL("contents"),$C$2:$C$4852)),ROW($C$2:$C$4852),4^8),ROW(C3569)))&amp;""</f>
        <v>#N/A</v>
      </c>
    </row>
    <row r="3570" ht="14.100000000000001" customHeight="1">
      <c r="B3570" s="8" t="s">
        <v>7279</v>
      </c>
      <c r="C3570" s="8" t="s">
        <v>7280</v>
      </c>
      <c r="D3570" s="8" t="s">
        <v>7279</v>
      </c>
      <c r="E3570" s="20" t="e">
        <f t="array" ref="E3570">INDEX(C:C,SMALL(IF(ISNUMBER(FIND(CELL("contents"),$C$2:$C$4852)),ROW($C$2:$C$4852),4^8),ROW(C3570)))&amp;""</f>
        <v>#N/A</v>
      </c>
    </row>
    <row r="3571" ht="14.100000000000001" customHeight="1">
      <c r="B3571" s="8" t="s">
        <v>7281</v>
      </c>
      <c r="C3571" s="8" t="s">
        <v>7282</v>
      </c>
      <c r="D3571" s="8" t="s">
        <v>7281</v>
      </c>
      <c r="E3571" s="20" t="e">
        <f t="array" ref="E3571">INDEX(C:C,SMALL(IF(ISNUMBER(FIND(CELL("contents"),$C$2:$C$4852)),ROW($C$2:$C$4852),4^8),ROW(C3571)))&amp;""</f>
        <v>#N/A</v>
      </c>
    </row>
    <row r="3572" ht="14.100000000000001" customHeight="1">
      <c r="B3572" s="8" t="s">
        <v>7283</v>
      </c>
      <c r="C3572" s="8" t="s">
        <v>7284</v>
      </c>
      <c r="D3572" s="8" t="s">
        <v>7283</v>
      </c>
      <c r="E3572" s="20" t="e">
        <f t="array" ref="E3572">INDEX(C:C,SMALL(IF(ISNUMBER(FIND(CELL("contents"),$C$2:$C$4852)),ROW($C$2:$C$4852),4^8),ROW(C3572)))&amp;""</f>
        <v>#N/A</v>
      </c>
    </row>
    <row r="3573" ht="14.100000000000001" customHeight="1">
      <c r="B3573" s="8" t="s">
        <v>7285</v>
      </c>
      <c r="C3573" s="8" t="s">
        <v>7286</v>
      </c>
      <c r="D3573" s="8" t="s">
        <v>7285</v>
      </c>
      <c r="E3573" s="20" t="e">
        <f t="array" ref="E3573">INDEX(C:C,SMALL(IF(ISNUMBER(FIND(CELL("contents"),$C$2:$C$4852)),ROW($C$2:$C$4852),4^8),ROW(C3573)))&amp;""</f>
        <v>#N/A</v>
      </c>
    </row>
    <row r="3574" ht="14.100000000000001" customHeight="1">
      <c r="B3574" s="8" t="s">
        <v>7287</v>
      </c>
      <c r="C3574" s="8" t="s">
        <v>7288</v>
      </c>
      <c r="D3574" s="8" t="s">
        <v>7287</v>
      </c>
      <c r="E3574" s="20" t="e">
        <f t="array" ref="E3574">INDEX(C:C,SMALL(IF(ISNUMBER(FIND(CELL("contents"),$C$2:$C$4852)),ROW($C$2:$C$4852),4^8),ROW(C3574)))&amp;""</f>
        <v>#N/A</v>
      </c>
    </row>
    <row r="3575" ht="14.100000000000001" customHeight="1">
      <c r="B3575" s="8" t="s">
        <v>7289</v>
      </c>
      <c r="C3575" s="8" t="s">
        <v>7290</v>
      </c>
      <c r="D3575" s="8" t="s">
        <v>7289</v>
      </c>
      <c r="E3575" s="20" t="e">
        <f t="array" ref="E3575">INDEX(C:C,SMALL(IF(ISNUMBER(FIND(CELL("contents"),$C$2:$C$4852)),ROW($C$2:$C$4852),4^8),ROW(C3575)))&amp;""</f>
        <v>#N/A</v>
      </c>
    </row>
    <row r="3576" ht="14.100000000000001" customHeight="1">
      <c r="B3576" s="8" t="s">
        <v>7291</v>
      </c>
      <c r="C3576" s="8" t="s">
        <v>7292</v>
      </c>
      <c r="D3576" s="8" t="s">
        <v>7291</v>
      </c>
      <c r="E3576" s="20" t="e">
        <f t="array" ref="E3576">INDEX(C:C,SMALL(IF(ISNUMBER(FIND(CELL("contents"),$C$2:$C$4852)),ROW($C$2:$C$4852),4^8),ROW(C3576)))&amp;""</f>
        <v>#N/A</v>
      </c>
    </row>
    <row r="3577" ht="14.100000000000001" customHeight="1">
      <c r="B3577" s="8" t="s">
        <v>7293</v>
      </c>
      <c r="C3577" s="8" t="s">
        <v>7294</v>
      </c>
      <c r="D3577" s="8" t="s">
        <v>7293</v>
      </c>
      <c r="E3577" s="20" t="e">
        <f t="array" ref="E3577">INDEX(C:C,SMALL(IF(ISNUMBER(FIND(CELL("contents"),$C$2:$C$4852)),ROW($C$2:$C$4852),4^8),ROW(C3577)))&amp;""</f>
        <v>#N/A</v>
      </c>
    </row>
    <row r="3578" ht="14.100000000000001" customHeight="1">
      <c r="B3578" s="8" t="s">
        <v>7295</v>
      </c>
      <c r="C3578" s="8" t="s">
        <v>7296</v>
      </c>
      <c r="D3578" s="8" t="s">
        <v>7295</v>
      </c>
      <c r="E3578" s="20" t="e">
        <f t="array" ref="E3578">INDEX(C:C,SMALL(IF(ISNUMBER(FIND(CELL("contents"),$C$2:$C$4852)),ROW($C$2:$C$4852),4^8),ROW(C3578)))&amp;""</f>
        <v>#N/A</v>
      </c>
    </row>
    <row r="3579" ht="14.100000000000001" customHeight="1">
      <c r="B3579" s="8" t="s">
        <v>7297</v>
      </c>
      <c r="C3579" s="8" t="s">
        <v>7298</v>
      </c>
      <c r="D3579" s="8" t="s">
        <v>7297</v>
      </c>
      <c r="E3579" s="20" t="e">
        <f t="array" ref="E3579">INDEX(C:C,SMALL(IF(ISNUMBER(FIND(CELL("contents"),$C$2:$C$4852)),ROW($C$2:$C$4852),4^8),ROW(C3579)))&amp;""</f>
        <v>#N/A</v>
      </c>
    </row>
    <row r="3580" ht="14.100000000000001" customHeight="1">
      <c r="B3580" s="8" t="s">
        <v>7299</v>
      </c>
      <c r="C3580" s="8" t="s">
        <v>7300</v>
      </c>
      <c r="D3580" s="8" t="s">
        <v>7299</v>
      </c>
      <c r="E3580" s="20" t="e">
        <f t="array" ref="E3580">INDEX(C:C,SMALL(IF(ISNUMBER(FIND(CELL("contents"),$C$2:$C$4852)),ROW($C$2:$C$4852),4^8),ROW(C3580)))&amp;""</f>
        <v>#N/A</v>
      </c>
    </row>
    <row r="3581" ht="14.100000000000001" customHeight="1">
      <c r="B3581" s="8" t="s">
        <v>7301</v>
      </c>
      <c r="C3581" s="8" t="s">
        <v>7302</v>
      </c>
      <c r="D3581" s="8" t="s">
        <v>7301</v>
      </c>
      <c r="E3581" s="20" t="e">
        <f t="array" ref="E3581">INDEX(C:C,SMALL(IF(ISNUMBER(FIND(CELL("contents"),$C$2:$C$4852)),ROW($C$2:$C$4852),4^8),ROW(C3581)))&amp;""</f>
        <v>#N/A</v>
      </c>
    </row>
    <row r="3582" ht="14.100000000000001" customHeight="1">
      <c r="B3582" s="8" t="s">
        <v>7303</v>
      </c>
      <c r="C3582" s="8" t="s">
        <v>7304</v>
      </c>
      <c r="D3582" s="8" t="s">
        <v>7303</v>
      </c>
      <c r="E3582" s="20" t="e">
        <f t="array" ref="E3582">INDEX(C:C,SMALL(IF(ISNUMBER(FIND(CELL("contents"),$C$2:$C$4852)),ROW($C$2:$C$4852),4^8),ROW(C3582)))&amp;""</f>
        <v>#N/A</v>
      </c>
    </row>
    <row r="3583" ht="14.100000000000001" customHeight="1">
      <c r="B3583" s="8" t="s">
        <v>7305</v>
      </c>
      <c r="C3583" s="8" t="s">
        <v>7306</v>
      </c>
      <c r="D3583" s="8" t="s">
        <v>7305</v>
      </c>
      <c r="E3583" s="20" t="e">
        <f t="array" ref="E3583">INDEX(C:C,SMALL(IF(ISNUMBER(FIND(CELL("contents"),$C$2:$C$4852)),ROW($C$2:$C$4852),4^8),ROW(C3583)))&amp;""</f>
        <v>#N/A</v>
      </c>
    </row>
    <row r="3584" ht="14.100000000000001" customHeight="1">
      <c r="B3584" s="8" t="s">
        <v>7307</v>
      </c>
      <c r="C3584" s="8" t="s">
        <v>7308</v>
      </c>
      <c r="D3584" s="8" t="s">
        <v>7307</v>
      </c>
      <c r="E3584" s="20" t="e">
        <f t="array" ref="E3584">INDEX(C:C,SMALL(IF(ISNUMBER(FIND(CELL("contents"),$C$2:$C$4852)),ROW($C$2:$C$4852),4^8),ROW(C3584)))&amp;""</f>
        <v>#N/A</v>
      </c>
    </row>
    <row r="3585" ht="14.100000000000001" customHeight="1">
      <c r="B3585" s="8" t="s">
        <v>7309</v>
      </c>
      <c r="C3585" s="8" t="s">
        <v>7310</v>
      </c>
      <c r="D3585" s="8" t="s">
        <v>7309</v>
      </c>
      <c r="E3585" s="20" t="e">
        <f t="array" ref="E3585">INDEX(C:C,SMALL(IF(ISNUMBER(FIND(CELL("contents"),$C$2:$C$4852)),ROW($C$2:$C$4852),4^8),ROW(C3585)))&amp;""</f>
        <v>#N/A</v>
      </c>
    </row>
    <row r="3586" ht="14.100000000000001" customHeight="1">
      <c r="B3586" s="8" t="s">
        <v>7311</v>
      </c>
      <c r="C3586" s="8" t="s">
        <v>7312</v>
      </c>
      <c r="D3586" s="8" t="s">
        <v>7311</v>
      </c>
      <c r="E3586" s="20" t="e">
        <f t="array" ref="E3586">INDEX(C:C,SMALL(IF(ISNUMBER(FIND(CELL("contents"),$C$2:$C$4852)),ROW($C$2:$C$4852),4^8),ROW(C3586)))&amp;""</f>
        <v>#N/A</v>
      </c>
    </row>
    <row r="3587" ht="14.100000000000001" customHeight="1">
      <c r="B3587" s="8" t="s">
        <v>7313</v>
      </c>
      <c r="C3587" s="8" t="s">
        <v>7314</v>
      </c>
      <c r="D3587" s="8" t="s">
        <v>7313</v>
      </c>
      <c r="E3587" s="20" t="e">
        <f t="array" ref="E3587">INDEX(C:C,SMALL(IF(ISNUMBER(FIND(CELL("contents"),$C$2:$C$4852)),ROW($C$2:$C$4852),4^8),ROW(C3587)))&amp;""</f>
        <v>#N/A</v>
      </c>
    </row>
    <row r="3588" ht="14.100000000000001" customHeight="1">
      <c r="B3588" s="8" t="s">
        <v>7315</v>
      </c>
      <c r="C3588" s="8" t="s">
        <v>7316</v>
      </c>
      <c r="D3588" s="8" t="s">
        <v>7315</v>
      </c>
      <c r="E3588" s="20" t="e">
        <f t="array" ref="E3588">INDEX(C:C,SMALL(IF(ISNUMBER(FIND(CELL("contents"),$C$2:$C$4852)),ROW($C$2:$C$4852),4^8),ROW(C3588)))&amp;""</f>
        <v>#N/A</v>
      </c>
    </row>
    <row r="3589" ht="14.100000000000001" customHeight="1">
      <c r="B3589" s="8" t="s">
        <v>7317</v>
      </c>
      <c r="C3589" s="8" t="s">
        <v>7318</v>
      </c>
      <c r="D3589" s="8" t="s">
        <v>7317</v>
      </c>
      <c r="E3589" s="20" t="e">
        <f t="array" ref="E3589">INDEX(C:C,SMALL(IF(ISNUMBER(FIND(CELL("contents"),$C$2:$C$4852)),ROW($C$2:$C$4852),4^8),ROW(C3589)))&amp;""</f>
        <v>#N/A</v>
      </c>
    </row>
    <row r="3590" ht="14.100000000000001" customHeight="1">
      <c r="B3590" s="8" t="s">
        <v>7319</v>
      </c>
      <c r="C3590" s="8" t="s">
        <v>7320</v>
      </c>
      <c r="D3590" s="8" t="s">
        <v>7319</v>
      </c>
      <c r="E3590" s="20" t="e">
        <f t="array" ref="E3590">INDEX(C:C,SMALL(IF(ISNUMBER(FIND(CELL("contents"),$C$2:$C$4852)),ROW($C$2:$C$4852),4^8),ROW(C3590)))&amp;""</f>
        <v>#N/A</v>
      </c>
    </row>
    <row r="3591" ht="14.100000000000001" customHeight="1">
      <c r="B3591" s="8" t="s">
        <v>7321</v>
      </c>
      <c r="C3591" s="8" t="s">
        <v>7322</v>
      </c>
      <c r="D3591" s="8" t="s">
        <v>7321</v>
      </c>
      <c r="E3591" s="20" t="e">
        <f t="array" ref="E3591">INDEX(C:C,SMALL(IF(ISNUMBER(FIND(CELL("contents"),$C$2:$C$4852)),ROW($C$2:$C$4852),4^8),ROW(C3591)))&amp;""</f>
        <v>#N/A</v>
      </c>
    </row>
    <row r="3592" ht="14.100000000000001" customHeight="1">
      <c r="B3592" s="8" t="s">
        <v>7323</v>
      </c>
      <c r="C3592" s="8" t="s">
        <v>7324</v>
      </c>
      <c r="D3592" s="8" t="s">
        <v>7323</v>
      </c>
      <c r="E3592" s="20" t="e">
        <f t="array" ref="E3592">INDEX(C:C,SMALL(IF(ISNUMBER(FIND(CELL("contents"),$C$2:$C$4852)),ROW($C$2:$C$4852),4^8),ROW(C3592)))&amp;""</f>
        <v>#N/A</v>
      </c>
    </row>
    <row r="3593" ht="14.100000000000001" customHeight="1">
      <c r="B3593" s="8" t="s">
        <v>7325</v>
      </c>
      <c r="C3593" s="8" t="s">
        <v>7326</v>
      </c>
      <c r="D3593" s="8" t="s">
        <v>7325</v>
      </c>
      <c r="E3593" s="20" t="e">
        <f t="array" ref="E3593">INDEX(C:C,SMALL(IF(ISNUMBER(FIND(CELL("contents"),$C$2:$C$4852)),ROW($C$2:$C$4852),4^8),ROW(C3593)))&amp;""</f>
        <v>#N/A</v>
      </c>
    </row>
    <row r="3594" ht="14.100000000000001" customHeight="1">
      <c r="B3594" s="8" t="s">
        <v>7327</v>
      </c>
      <c r="C3594" s="8" t="s">
        <v>7328</v>
      </c>
      <c r="D3594" s="8" t="s">
        <v>7327</v>
      </c>
      <c r="E3594" s="20" t="e">
        <f t="array" ref="E3594">INDEX(C:C,SMALL(IF(ISNUMBER(FIND(CELL("contents"),$C$2:$C$4852)),ROW($C$2:$C$4852),4^8),ROW(C3594)))&amp;""</f>
        <v>#N/A</v>
      </c>
    </row>
    <row r="3595" ht="14.100000000000001" customHeight="1">
      <c r="B3595" s="8" t="s">
        <v>7329</v>
      </c>
      <c r="C3595" s="8" t="s">
        <v>7330</v>
      </c>
      <c r="D3595" s="8" t="s">
        <v>7329</v>
      </c>
      <c r="E3595" s="20" t="e">
        <f t="array" ref="E3595">INDEX(C:C,SMALL(IF(ISNUMBER(FIND(CELL("contents"),$C$2:$C$4852)),ROW($C$2:$C$4852),4^8),ROW(C3595)))&amp;""</f>
        <v>#N/A</v>
      </c>
    </row>
    <row r="3596" ht="14.100000000000001" customHeight="1">
      <c r="B3596" s="8" t="s">
        <v>7331</v>
      </c>
      <c r="C3596" s="8" t="s">
        <v>7332</v>
      </c>
      <c r="D3596" s="8" t="s">
        <v>7331</v>
      </c>
      <c r="E3596" s="20" t="e">
        <f t="array" ref="E3596">INDEX(C:C,SMALL(IF(ISNUMBER(FIND(CELL("contents"),$C$2:$C$4852)),ROW($C$2:$C$4852),4^8),ROW(C3596)))&amp;""</f>
        <v>#N/A</v>
      </c>
    </row>
    <row r="3597" ht="14.100000000000001" customHeight="1">
      <c r="B3597" s="8" t="s">
        <v>7333</v>
      </c>
      <c r="C3597" s="8" t="s">
        <v>7334</v>
      </c>
      <c r="D3597" s="8" t="s">
        <v>7333</v>
      </c>
      <c r="E3597" s="20" t="e">
        <f t="array" ref="E3597">INDEX(C:C,SMALL(IF(ISNUMBER(FIND(CELL("contents"),$C$2:$C$4852)),ROW($C$2:$C$4852),4^8),ROW(C3597)))&amp;""</f>
        <v>#N/A</v>
      </c>
    </row>
    <row r="3598" ht="14.100000000000001" customHeight="1">
      <c r="B3598" s="8" t="s">
        <v>7335</v>
      </c>
      <c r="C3598" s="8" t="s">
        <v>7336</v>
      </c>
      <c r="D3598" s="8" t="s">
        <v>7335</v>
      </c>
      <c r="E3598" s="20" t="e">
        <f t="array" ref="E3598">INDEX(C:C,SMALL(IF(ISNUMBER(FIND(CELL("contents"),$C$2:$C$4852)),ROW($C$2:$C$4852),4^8),ROW(C3598)))&amp;""</f>
        <v>#N/A</v>
      </c>
    </row>
    <row r="3599" ht="14.100000000000001" customHeight="1">
      <c r="B3599" s="8" t="s">
        <v>7337</v>
      </c>
      <c r="C3599" s="8" t="s">
        <v>7338</v>
      </c>
      <c r="D3599" s="8" t="s">
        <v>7337</v>
      </c>
      <c r="E3599" s="20" t="e">
        <f t="array" ref="E3599">INDEX(C:C,SMALL(IF(ISNUMBER(FIND(CELL("contents"),$C$2:$C$4852)),ROW($C$2:$C$4852),4^8),ROW(C3599)))&amp;""</f>
        <v>#N/A</v>
      </c>
    </row>
    <row r="3600" ht="14.100000000000001" customHeight="1">
      <c r="B3600" s="8" t="s">
        <v>7339</v>
      </c>
      <c r="C3600" s="8" t="s">
        <v>7340</v>
      </c>
      <c r="D3600" s="8" t="s">
        <v>7339</v>
      </c>
      <c r="E3600" s="20" t="e">
        <f t="array" ref="E3600">INDEX(C:C,SMALL(IF(ISNUMBER(FIND(CELL("contents"),$C$2:$C$4852)),ROW($C$2:$C$4852),4^8),ROW(C3600)))&amp;""</f>
        <v>#N/A</v>
      </c>
    </row>
    <row r="3601" ht="14.100000000000001" customHeight="1">
      <c r="B3601" s="8" t="s">
        <v>7341</v>
      </c>
      <c r="C3601" s="8" t="s">
        <v>7342</v>
      </c>
      <c r="D3601" s="8" t="s">
        <v>7341</v>
      </c>
      <c r="E3601" s="20" t="e">
        <f t="array" ref="E3601">INDEX(C:C,SMALL(IF(ISNUMBER(FIND(CELL("contents"),$C$2:$C$4852)),ROW($C$2:$C$4852),4^8),ROW(C3601)))&amp;""</f>
        <v>#N/A</v>
      </c>
    </row>
    <row r="3602" ht="14.100000000000001" customHeight="1">
      <c r="B3602" s="8" t="s">
        <v>7343</v>
      </c>
      <c r="C3602" s="8" t="s">
        <v>7344</v>
      </c>
      <c r="D3602" s="8" t="s">
        <v>7343</v>
      </c>
      <c r="E3602" s="20" t="e">
        <f t="array" ref="E3602">INDEX(C:C,SMALL(IF(ISNUMBER(FIND(CELL("contents"),$C$2:$C$4852)),ROW($C$2:$C$4852),4^8),ROW(C3602)))&amp;""</f>
        <v>#N/A</v>
      </c>
    </row>
    <row r="3603" ht="14.100000000000001" customHeight="1">
      <c r="B3603" s="8" t="s">
        <v>7345</v>
      </c>
      <c r="C3603" s="8" t="s">
        <v>7346</v>
      </c>
      <c r="D3603" s="8" t="s">
        <v>7345</v>
      </c>
      <c r="E3603" s="20" t="e">
        <f t="array" ref="E3603">INDEX(C:C,SMALL(IF(ISNUMBER(FIND(CELL("contents"),$C$2:$C$4852)),ROW($C$2:$C$4852),4^8),ROW(C3603)))&amp;""</f>
        <v>#N/A</v>
      </c>
    </row>
    <row r="3604" ht="14.100000000000001" customHeight="1">
      <c r="B3604" s="8" t="s">
        <v>7347</v>
      </c>
      <c r="C3604" s="8" t="s">
        <v>7348</v>
      </c>
      <c r="D3604" s="8" t="s">
        <v>7347</v>
      </c>
      <c r="E3604" s="20" t="e">
        <f t="array" ref="E3604">INDEX(C:C,SMALL(IF(ISNUMBER(FIND(CELL("contents"),$C$2:$C$4852)),ROW($C$2:$C$4852),4^8),ROW(C3604)))&amp;""</f>
        <v>#N/A</v>
      </c>
    </row>
    <row r="3605" ht="14.100000000000001" customHeight="1">
      <c r="B3605" s="8" t="s">
        <v>7349</v>
      </c>
      <c r="C3605" s="8" t="s">
        <v>7350</v>
      </c>
      <c r="D3605" s="8" t="s">
        <v>7349</v>
      </c>
      <c r="E3605" s="20" t="e">
        <f t="array" ref="E3605">INDEX(C:C,SMALL(IF(ISNUMBER(FIND(CELL("contents"),$C$2:$C$4852)),ROW($C$2:$C$4852),4^8),ROW(C3605)))&amp;""</f>
        <v>#N/A</v>
      </c>
    </row>
    <row r="3606" ht="14.100000000000001" customHeight="1">
      <c r="B3606" s="8" t="s">
        <v>7351</v>
      </c>
      <c r="C3606" s="8" t="s">
        <v>7352</v>
      </c>
      <c r="D3606" s="8" t="s">
        <v>7351</v>
      </c>
      <c r="E3606" s="20" t="e">
        <f t="array" ref="E3606">INDEX(C:C,SMALL(IF(ISNUMBER(FIND(CELL("contents"),$C$2:$C$4852)),ROW($C$2:$C$4852),4^8),ROW(C3606)))&amp;""</f>
        <v>#N/A</v>
      </c>
    </row>
    <row r="3607" ht="14.100000000000001" customHeight="1">
      <c r="B3607" s="8" t="s">
        <v>7353</v>
      </c>
      <c r="C3607" s="8" t="s">
        <v>7354</v>
      </c>
      <c r="D3607" s="8" t="s">
        <v>7353</v>
      </c>
      <c r="E3607" s="20" t="e">
        <f t="array" ref="E3607">INDEX(C:C,SMALL(IF(ISNUMBER(FIND(CELL("contents"),$C$2:$C$4852)),ROW($C$2:$C$4852),4^8),ROW(C3607)))&amp;""</f>
        <v>#N/A</v>
      </c>
    </row>
    <row r="3608" ht="14.100000000000001" customHeight="1">
      <c r="B3608" s="8" t="s">
        <v>7355</v>
      </c>
      <c r="C3608" s="8" t="s">
        <v>7356</v>
      </c>
      <c r="D3608" s="8" t="s">
        <v>7355</v>
      </c>
      <c r="E3608" s="20" t="e">
        <f t="array" ref="E3608">INDEX(C:C,SMALL(IF(ISNUMBER(FIND(CELL("contents"),$C$2:$C$4852)),ROW($C$2:$C$4852),4^8),ROW(C3608)))&amp;""</f>
        <v>#N/A</v>
      </c>
    </row>
    <row r="3609" ht="14.100000000000001" customHeight="1">
      <c r="B3609" s="8" t="s">
        <v>7357</v>
      </c>
      <c r="C3609" s="8" t="s">
        <v>7358</v>
      </c>
      <c r="D3609" s="8" t="s">
        <v>7357</v>
      </c>
      <c r="E3609" s="20" t="e">
        <f t="array" ref="E3609">INDEX(C:C,SMALL(IF(ISNUMBER(FIND(CELL("contents"),$C$2:$C$4852)),ROW($C$2:$C$4852),4^8),ROW(C3609)))&amp;""</f>
        <v>#N/A</v>
      </c>
    </row>
    <row r="3610" ht="14.100000000000001" customHeight="1">
      <c r="B3610" s="8" t="s">
        <v>7359</v>
      </c>
      <c r="C3610" s="8" t="s">
        <v>7360</v>
      </c>
      <c r="D3610" s="8" t="s">
        <v>7359</v>
      </c>
      <c r="E3610" s="20" t="e">
        <f t="array" ref="E3610">INDEX(C:C,SMALL(IF(ISNUMBER(FIND(CELL("contents"),$C$2:$C$4852)),ROW($C$2:$C$4852),4^8),ROW(C3610)))&amp;""</f>
        <v>#N/A</v>
      </c>
    </row>
    <row r="3611" ht="14.100000000000001" customHeight="1">
      <c r="B3611" s="8" t="s">
        <v>7361</v>
      </c>
      <c r="C3611" s="8" t="s">
        <v>7362</v>
      </c>
      <c r="D3611" s="8" t="s">
        <v>7361</v>
      </c>
      <c r="E3611" s="20" t="e">
        <f t="array" ref="E3611">INDEX(C:C,SMALL(IF(ISNUMBER(FIND(CELL("contents"),$C$2:$C$4852)),ROW($C$2:$C$4852),4^8),ROW(C3611)))&amp;""</f>
        <v>#N/A</v>
      </c>
    </row>
    <row r="3612" ht="14.100000000000001" customHeight="1">
      <c r="B3612" s="8" t="s">
        <v>7363</v>
      </c>
      <c r="C3612" s="8" t="s">
        <v>7364</v>
      </c>
      <c r="D3612" s="8" t="s">
        <v>7363</v>
      </c>
      <c r="E3612" s="20" t="e">
        <f t="array" ref="E3612">INDEX(C:C,SMALL(IF(ISNUMBER(FIND(CELL("contents"),$C$2:$C$4852)),ROW($C$2:$C$4852),4^8),ROW(C3612)))&amp;""</f>
        <v>#N/A</v>
      </c>
    </row>
    <row r="3613" ht="14.100000000000001" customHeight="1">
      <c r="B3613" s="8" t="s">
        <v>7365</v>
      </c>
      <c r="C3613" s="8" t="s">
        <v>7366</v>
      </c>
      <c r="D3613" s="8" t="s">
        <v>7365</v>
      </c>
      <c r="E3613" s="20" t="e">
        <f t="array" ref="E3613">INDEX(C:C,SMALL(IF(ISNUMBER(FIND(CELL("contents"),$C$2:$C$4852)),ROW($C$2:$C$4852),4^8),ROW(C3613)))&amp;""</f>
        <v>#N/A</v>
      </c>
    </row>
    <row r="3614" ht="14.100000000000001" customHeight="1">
      <c r="B3614" s="8" t="s">
        <v>7367</v>
      </c>
      <c r="C3614" s="8" t="s">
        <v>7368</v>
      </c>
      <c r="D3614" s="8" t="s">
        <v>7367</v>
      </c>
      <c r="E3614" s="20" t="e">
        <f t="array" ref="E3614">INDEX(C:C,SMALL(IF(ISNUMBER(FIND(CELL("contents"),$C$2:$C$4852)),ROW($C$2:$C$4852),4^8),ROW(C3614)))&amp;""</f>
        <v>#N/A</v>
      </c>
    </row>
    <row r="3615" ht="14.100000000000001" customHeight="1">
      <c r="B3615" s="8" t="s">
        <v>7369</v>
      </c>
      <c r="C3615" s="8" t="s">
        <v>7370</v>
      </c>
      <c r="D3615" s="8" t="s">
        <v>7369</v>
      </c>
      <c r="E3615" s="20" t="e">
        <f t="array" ref="E3615">INDEX(C:C,SMALL(IF(ISNUMBER(FIND(CELL("contents"),$C$2:$C$4852)),ROW($C$2:$C$4852),4^8),ROW(C3615)))&amp;""</f>
        <v>#N/A</v>
      </c>
    </row>
    <row r="3616" ht="14.100000000000001" customHeight="1">
      <c r="B3616" s="8" t="s">
        <v>7371</v>
      </c>
      <c r="C3616" s="8" t="s">
        <v>7372</v>
      </c>
      <c r="D3616" s="8" t="s">
        <v>7371</v>
      </c>
      <c r="E3616" s="20" t="e">
        <f t="array" ref="E3616">INDEX(C:C,SMALL(IF(ISNUMBER(FIND(CELL("contents"),$C$2:$C$4852)),ROW($C$2:$C$4852),4^8),ROW(C3616)))&amp;""</f>
        <v>#N/A</v>
      </c>
    </row>
    <row r="3617" ht="14.100000000000001" customHeight="1">
      <c r="B3617" s="8" t="s">
        <v>7373</v>
      </c>
      <c r="C3617" s="8" t="s">
        <v>7374</v>
      </c>
      <c r="D3617" s="8" t="s">
        <v>7373</v>
      </c>
      <c r="E3617" s="20" t="e">
        <f t="array" ref="E3617">INDEX(C:C,SMALL(IF(ISNUMBER(FIND(CELL("contents"),$C$2:$C$4852)),ROW($C$2:$C$4852),4^8),ROW(C3617)))&amp;""</f>
        <v>#N/A</v>
      </c>
    </row>
    <row r="3618" ht="14.100000000000001" customHeight="1">
      <c r="B3618" s="8" t="s">
        <v>7375</v>
      </c>
      <c r="C3618" s="8" t="s">
        <v>7376</v>
      </c>
      <c r="D3618" s="8" t="s">
        <v>7375</v>
      </c>
      <c r="E3618" s="20" t="e">
        <f t="array" ref="E3618">INDEX(C:C,SMALL(IF(ISNUMBER(FIND(CELL("contents"),$C$2:$C$4852)),ROW($C$2:$C$4852),4^8),ROW(C3618)))&amp;""</f>
        <v>#N/A</v>
      </c>
    </row>
    <row r="3619" ht="14.100000000000001" customHeight="1">
      <c r="B3619" s="8" t="s">
        <v>7377</v>
      </c>
      <c r="C3619" s="8" t="s">
        <v>7378</v>
      </c>
      <c r="D3619" s="8" t="s">
        <v>7377</v>
      </c>
      <c r="E3619" s="20" t="e">
        <f t="array" ref="E3619">INDEX(C:C,SMALL(IF(ISNUMBER(FIND(CELL("contents"),$C$2:$C$4852)),ROW($C$2:$C$4852),4^8),ROW(C3619)))&amp;""</f>
        <v>#N/A</v>
      </c>
    </row>
    <row r="3620" ht="14.100000000000001" customHeight="1">
      <c r="B3620" s="8" t="s">
        <v>7379</v>
      </c>
      <c r="C3620" s="8" t="s">
        <v>7380</v>
      </c>
      <c r="D3620" s="8" t="s">
        <v>7379</v>
      </c>
      <c r="E3620" s="20" t="e">
        <f t="array" ref="E3620">INDEX(C:C,SMALL(IF(ISNUMBER(FIND(CELL("contents"),$C$2:$C$4852)),ROW($C$2:$C$4852),4^8),ROW(C3620)))&amp;""</f>
        <v>#N/A</v>
      </c>
    </row>
    <row r="3621" ht="14.100000000000001" customHeight="1">
      <c r="B3621" s="8" t="s">
        <v>7381</v>
      </c>
      <c r="C3621" s="8" t="s">
        <v>7382</v>
      </c>
      <c r="D3621" s="8" t="s">
        <v>7381</v>
      </c>
      <c r="E3621" s="20" t="e">
        <f t="array" ref="E3621">INDEX(C:C,SMALL(IF(ISNUMBER(FIND(CELL("contents"),$C$2:$C$4852)),ROW($C$2:$C$4852),4^8),ROW(C3621)))&amp;""</f>
        <v>#N/A</v>
      </c>
    </row>
    <row r="3622" ht="14.100000000000001" customHeight="1">
      <c r="B3622" s="8" t="s">
        <v>7383</v>
      </c>
      <c r="C3622" s="8" t="s">
        <v>7384</v>
      </c>
      <c r="D3622" s="8" t="s">
        <v>7383</v>
      </c>
      <c r="E3622" s="20" t="e">
        <f t="array" ref="E3622">INDEX(C:C,SMALL(IF(ISNUMBER(FIND(CELL("contents"),$C$2:$C$4852)),ROW($C$2:$C$4852),4^8),ROW(C3622)))&amp;""</f>
        <v>#N/A</v>
      </c>
    </row>
    <row r="3623" ht="14.100000000000001" customHeight="1">
      <c r="B3623" s="8" t="s">
        <v>7385</v>
      </c>
      <c r="C3623" s="8" t="s">
        <v>7386</v>
      </c>
      <c r="D3623" s="8" t="s">
        <v>7385</v>
      </c>
      <c r="E3623" s="20" t="e">
        <f t="array" ref="E3623">INDEX(C:C,SMALL(IF(ISNUMBER(FIND(CELL("contents"),$C$2:$C$4852)),ROW($C$2:$C$4852),4^8),ROW(C3623)))&amp;""</f>
        <v>#N/A</v>
      </c>
    </row>
    <row r="3624" ht="14.100000000000001" customHeight="1">
      <c r="B3624" s="8" t="s">
        <v>7387</v>
      </c>
      <c r="C3624" s="8" t="s">
        <v>7388</v>
      </c>
      <c r="D3624" s="8" t="s">
        <v>7387</v>
      </c>
      <c r="E3624" s="20" t="e">
        <f t="array" ref="E3624">INDEX(C:C,SMALL(IF(ISNUMBER(FIND(CELL("contents"),$C$2:$C$4852)),ROW($C$2:$C$4852),4^8),ROW(C3624)))&amp;""</f>
        <v>#N/A</v>
      </c>
    </row>
    <row r="3625" ht="14.100000000000001" customHeight="1">
      <c r="B3625" s="8" t="s">
        <v>7389</v>
      </c>
      <c r="C3625" s="8" t="s">
        <v>7390</v>
      </c>
      <c r="D3625" s="8" t="s">
        <v>7389</v>
      </c>
      <c r="E3625" s="20" t="e">
        <f t="array" ref="E3625">INDEX(C:C,SMALL(IF(ISNUMBER(FIND(CELL("contents"),$C$2:$C$4852)),ROW($C$2:$C$4852),4^8),ROW(C3625)))&amp;""</f>
        <v>#N/A</v>
      </c>
    </row>
    <row r="3626" ht="14.100000000000001" customHeight="1">
      <c r="B3626" s="8" t="s">
        <v>7391</v>
      </c>
      <c r="C3626" s="8" t="s">
        <v>7392</v>
      </c>
      <c r="D3626" s="8" t="s">
        <v>7391</v>
      </c>
      <c r="E3626" s="20" t="e">
        <f t="array" ref="E3626">INDEX(C:C,SMALL(IF(ISNUMBER(FIND(CELL("contents"),$C$2:$C$4852)),ROW($C$2:$C$4852),4^8),ROW(C3626)))&amp;""</f>
        <v>#N/A</v>
      </c>
    </row>
    <row r="3627" ht="14.100000000000001" customHeight="1">
      <c r="B3627" s="8" t="s">
        <v>7393</v>
      </c>
      <c r="C3627" s="8" t="s">
        <v>7394</v>
      </c>
      <c r="D3627" s="8" t="s">
        <v>7393</v>
      </c>
      <c r="E3627" s="20" t="e">
        <f t="array" ref="E3627">INDEX(C:C,SMALL(IF(ISNUMBER(FIND(CELL("contents"),$C$2:$C$4852)),ROW($C$2:$C$4852),4^8),ROW(C3627)))&amp;""</f>
        <v>#N/A</v>
      </c>
    </row>
    <row r="3628" ht="14.100000000000001" customHeight="1">
      <c r="B3628" s="8" t="s">
        <v>7395</v>
      </c>
      <c r="C3628" s="8" t="s">
        <v>1720</v>
      </c>
      <c r="D3628" s="8" t="s">
        <v>7395</v>
      </c>
      <c r="E3628" s="20" t="e">
        <f t="array" ref="E3628">INDEX(C:C,SMALL(IF(ISNUMBER(FIND(CELL("contents"),$C$2:$C$4852)),ROW($C$2:$C$4852),4^8),ROW(C3628)))&amp;""</f>
        <v>#N/A</v>
      </c>
    </row>
    <row r="3629" ht="14.100000000000001" customHeight="1">
      <c r="B3629" s="8" t="s">
        <v>7396</v>
      </c>
      <c r="C3629" s="8" t="s">
        <v>7397</v>
      </c>
      <c r="D3629" s="8" t="s">
        <v>7396</v>
      </c>
      <c r="E3629" s="20" t="e">
        <f t="array" ref="E3629">INDEX(C:C,SMALL(IF(ISNUMBER(FIND(CELL("contents"),$C$2:$C$4852)),ROW($C$2:$C$4852),4^8),ROW(C3629)))&amp;""</f>
        <v>#N/A</v>
      </c>
    </row>
    <row r="3630" ht="14.100000000000001" customHeight="1">
      <c r="B3630" s="8" t="s">
        <v>7398</v>
      </c>
      <c r="C3630" s="8" t="s">
        <v>7399</v>
      </c>
      <c r="D3630" s="8" t="s">
        <v>7398</v>
      </c>
      <c r="E3630" s="20" t="e">
        <f t="array" ref="E3630">INDEX(C:C,SMALL(IF(ISNUMBER(FIND(CELL("contents"),$C$2:$C$4852)),ROW($C$2:$C$4852),4^8),ROW(C3630)))&amp;""</f>
        <v>#N/A</v>
      </c>
    </row>
    <row r="3631" ht="14.100000000000001" customHeight="1">
      <c r="B3631" s="8" t="s">
        <v>7400</v>
      </c>
      <c r="C3631" s="8" t="s">
        <v>7401</v>
      </c>
      <c r="D3631" s="8" t="s">
        <v>7400</v>
      </c>
      <c r="E3631" s="20" t="e">
        <f t="array" ref="E3631">INDEX(C:C,SMALL(IF(ISNUMBER(FIND(CELL("contents"),$C$2:$C$4852)),ROW($C$2:$C$4852),4^8),ROW(C3631)))&amp;""</f>
        <v>#N/A</v>
      </c>
    </row>
    <row r="3632" ht="14.100000000000001" customHeight="1">
      <c r="B3632" s="8" t="s">
        <v>7402</v>
      </c>
      <c r="C3632" s="8" t="s">
        <v>7403</v>
      </c>
      <c r="D3632" s="8" t="s">
        <v>7402</v>
      </c>
      <c r="E3632" s="20" t="e">
        <f t="array" ref="E3632">INDEX(C:C,SMALL(IF(ISNUMBER(FIND(CELL("contents"),$C$2:$C$4852)),ROW($C$2:$C$4852),4^8),ROW(C3632)))&amp;""</f>
        <v>#N/A</v>
      </c>
    </row>
    <row r="3633" ht="14.100000000000001" customHeight="1">
      <c r="B3633" s="8" t="s">
        <v>7404</v>
      </c>
      <c r="C3633" s="8" t="s">
        <v>7405</v>
      </c>
      <c r="D3633" s="8" t="s">
        <v>7404</v>
      </c>
      <c r="E3633" s="20" t="e">
        <f t="array" ref="E3633">INDEX(C:C,SMALL(IF(ISNUMBER(FIND(CELL("contents"),$C$2:$C$4852)),ROW($C$2:$C$4852),4^8),ROW(C3633)))&amp;""</f>
        <v>#N/A</v>
      </c>
    </row>
    <row r="3634" ht="14.100000000000001" customHeight="1">
      <c r="B3634" s="8" t="s">
        <v>7406</v>
      </c>
      <c r="C3634" s="8" t="s">
        <v>7407</v>
      </c>
      <c r="D3634" s="8" t="s">
        <v>7406</v>
      </c>
      <c r="E3634" s="20" t="e">
        <f t="array" ref="E3634">INDEX(C:C,SMALL(IF(ISNUMBER(FIND(CELL("contents"),$C$2:$C$4852)),ROW($C$2:$C$4852),4^8),ROW(C3634)))&amp;""</f>
        <v>#N/A</v>
      </c>
    </row>
    <row r="3635" ht="14.100000000000001" customHeight="1">
      <c r="B3635" s="8" t="s">
        <v>7408</v>
      </c>
      <c r="C3635" s="8" t="s">
        <v>7409</v>
      </c>
      <c r="D3635" s="8" t="s">
        <v>7408</v>
      </c>
      <c r="E3635" s="20" t="e">
        <f t="array" ref="E3635">INDEX(C:C,SMALL(IF(ISNUMBER(FIND(CELL("contents"),$C$2:$C$4852)),ROW($C$2:$C$4852),4^8),ROW(C3635)))&amp;""</f>
        <v>#N/A</v>
      </c>
    </row>
    <row r="3636" ht="14.100000000000001" customHeight="1">
      <c r="B3636" s="8" t="s">
        <v>7410</v>
      </c>
      <c r="C3636" s="8" t="s">
        <v>7411</v>
      </c>
      <c r="D3636" s="8" t="s">
        <v>7410</v>
      </c>
      <c r="E3636" s="20" t="e">
        <f t="array" ref="E3636">INDEX(C:C,SMALL(IF(ISNUMBER(FIND(CELL("contents"),$C$2:$C$4852)),ROW($C$2:$C$4852),4^8),ROW(C3636)))&amp;""</f>
        <v>#N/A</v>
      </c>
    </row>
    <row r="3637" ht="14.100000000000001" customHeight="1">
      <c r="B3637" s="8" t="s">
        <v>7412</v>
      </c>
      <c r="C3637" s="8" t="s">
        <v>7413</v>
      </c>
      <c r="D3637" s="8" t="s">
        <v>7412</v>
      </c>
      <c r="E3637" s="20" t="e">
        <f t="array" ref="E3637">INDEX(C:C,SMALL(IF(ISNUMBER(FIND(CELL("contents"),$C$2:$C$4852)),ROW($C$2:$C$4852),4^8),ROW(C3637)))&amp;""</f>
        <v>#N/A</v>
      </c>
    </row>
    <row r="3638" ht="14.100000000000001" customHeight="1">
      <c r="B3638" s="8" t="s">
        <v>7414</v>
      </c>
      <c r="C3638" s="8" t="s">
        <v>7415</v>
      </c>
      <c r="D3638" s="8" t="s">
        <v>7414</v>
      </c>
      <c r="E3638" s="20" t="e">
        <f t="array" ref="E3638">INDEX(C:C,SMALL(IF(ISNUMBER(FIND(CELL("contents"),$C$2:$C$4852)),ROW($C$2:$C$4852),4^8),ROW(C3638)))&amp;""</f>
        <v>#N/A</v>
      </c>
    </row>
    <row r="3639" ht="14.100000000000001" customHeight="1">
      <c r="B3639" s="8" t="s">
        <v>7416</v>
      </c>
      <c r="C3639" s="8" t="s">
        <v>7417</v>
      </c>
      <c r="D3639" s="8" t="s">
        <v>7416</v>
      </c>
      <c r="E3639" s="20" t="e">
        <f t="array" ref="E3639">INDEX(C:C,SMALL(IF(ISNUMBER(FIND(CELL("contents"),$C$2:$C$4852)),ROW($C$2:$C$4852),4^8),ROW(C3639)))&amp;""</f>
        <v>#N/A</v>
      </c>
    </row>
    <row r="3640" ht="14.100000000000001" customHeight="1">
      <c r="B3640" s="8" t="s">
        <v>7418</v>
      </c>
      <c r="C3640" s="8" t="s">
        <v>7419</v>
      </c>
      <c r="D3640" s="8" t="s">
        <v>7418</v>
      </c>
      <c r="E3640" s="20" t="e">
        <f t="array" ref="E3640">INDEX(C:C,SMALL(IF(ISNUMBER(FIND(CELL("contents"),$C$2:$C$4852)),ROW($C$2:$C$4852),4^8),ROW(C3640)))&amp;""</f>
        <v>#N/A</v>
      </c>
    </row>
    <row r="3641" ht="14.100000000000001" customHeight="1">
      <c r="B3641" s="8" t="s">
        <v>7420</v>
      </c>
      <c r="C3641" s="8" t="s">
        <v>7421</v>
      </c>
      <c r="D3641" s="8" t="s">
        <v>7420</v>
      </c>
      <c r="E3641" s="20" t="e">
        <f t="array" ref="E3641">INDEX(C:C,SMALL(IF(ISNUMBER(FIND(CELL("contents"),$C$2:$C$4852)),ROW($C$2:$C$4852),4^8),ROW(C3641)))&amp;""</f>
        <v>#N/A</v>
      </c>
    </row>
    <row r="3642" ht="14.100000000000001" customHeight="1">
      <c r="B3642" s="8" t="s">
        <v>7422</v>
      </c>
      <c r="C3642" s="8" t="s">
        <v>7423</v>
      </c>
      <c r="D3642" s="8" t="s">
        <v>7422</v>
      </c>
      <c r="E3642" s="20" t="e">
        <f t="array" ref="E3642">INDEX(C:C,SMALL(IF(ISNUMBER(FIND(CELL("contents"),$C$2:$C$4852)),ROW($C$2:$C$4852),4^8),ROW(C3642)))&amp;""</f>
        <v>#N/A</v>
      </c>
    </row>
    <row r="3643" ht="14.100000000000001" customHeight="1">
      <c r="B3643" s="8" t="s">
        <v>7424</v>
      </c>
      <c r="C3643" s="8" t="s">
        <v>7425</v>
      </c>
      <c r="D3643" s="8" t="s">
        <v>7424</v>
      </c>
      <c r="E3643" s="20" t="e">
        <f t="array" ref="E3643">INDEX(C:C,SMALL(IF(ISNUMBER(FIND(CELL("contents"),$C$2:$C$4852)),ROW($C$2:$C$4852),4^8),ROW(C3643)))&amp;""</f>
        <v>#N/A</v>
      </c>
    </row>
    <row r="3644" ht="14.100000000000001" customHeight="1">
      <c r="B3644" s="8" t="s">
        <v>7426</v>
      </c>
      <c r="C3644" s="8" t="s">
        <v>7427</v>
      </c>
      <c r="D3644" s="8" t="s">
        <v>7426</v>
      </c>
      <c r="E3644" s="20" t="e">
        <f t="array" ref="E3644">INDEX(C:C,SMALL(IF(ISNUMBER(FIND(CELL("contents"),$C$2:$C$4852)),ROW($C$2:$C$4852),4^8),ROW(C3644)))&amp;""</f>
        <v>#N/A</v>
      </c>
    </row>
    <row r="3645" ht="14.100000000000001" customHeight="1">
      <c r="B3645" s="8" t="s">
        <v>7428</v>
      </c>
      <c r="C3645" s="8" t="s">
        <v>7429</v>
      </c>
      <c r="D3645" s="8" t="s">
        <v>7428</v>
      </c>
      <c r="E3645" s="20" t="e">
        <f t="array" ref="E3645">INDEX(C:C,SMALL(IF(ISNUMBER(FIND(CELL("contents"),$C$2:$C$4852)),ROW($C$2:$C$4852),4^8),ROW(C3645)))&amp;""</f>
        <v>#N/A</v>
      </c>
    </row>
    <row r="3646" ht="14.100000000000001" customHeight="1">
      <c r="B3646" s="8" t="s">
        <v>7430</v>
      </c>
      <c r="C3646" s="8" t="s">
        <v>7431</v>
      </c>
      <c r="D3646" s="8" t="s">
        <v>7430</v>
      </c>
      <c r="E3646" s="20" t="e">
        <f t="array" ref="E3646">INDEX(C:C,SMALL(IF(ISNUMBER(FIND(CELL("contents"),$C$2:$C$4852)),ROW($C$2:$C$4852),4^8),ROW(C3646)))&amp;""</f>
        <v>#N/A</v>
      </c>
    </row>
    <row r="3647" ht="14.100000000000001" customHeight="1">
      <c r="B3647" s="8" t="s">
        <v>7432</v>
      </c>
      <c r="C3647" s="8" t="s">
        <v>7433</v>
      </c>
      <c r="D3647" s="8" t="s">
        <v>7432</v>
      </c>
      <c r="E3647" s="20" t="e">
        <f t="array" ref="E3647">INDEX(C:C,SMALL(IF(ISNUMBER(FIND(CELL("contents"),$C$2:$C$4852)),ROW($C$2:$C$4852),4^8),ROW(C3647)))&amp;""</f>
        <v>#N/A</v>
      </c>
    </row>
    <row r="3648" ht="14.100000000000001" customHeight="1">
      <c r="B3648" s="8" t="s">
        <v>7434</v>
      </c>
      <c r="C3648" s="8" t="s">
        <v>7435</v>
      </c>
      <c r="D3648" s="8" t="s">
        <v>7434</v>
      </c>
      <c r="E3648" s="20" t="e">
        <f t="array" ref="E3648">INDEX(C:C,SMALL(IF(ISNUMBER(FIND(CELL("contents"),$C$2:$C$4852)),ROW($C$2:$C$4852),4^8),ROW(C3648)))&amp;""</f>
        <v>#N/A</v>
      </c>
    </row>
    <row r="3649" ht="14.100000000000001" customHeight="1">
      <c r="B3649" s="8" t="s">
        <v>7436</v>
      </c>
      <c r="C3649" s="8" t="s">
        <v>7437</v>
      </c>
      <c r="D3649" s="8" t="s">
        <v>7436</v>
      </c>
      <c r="E3649" s="20" t="e">
        <f t="array" ref="E3649">INDEX(C:C,SMALL(IF(ISNUMBER(FIND(CELL("contents"),$C$2:$C$4852)),ROW($C$2:$C$4852),4^8),ROW(C3649)))&amp;""</f>
        <v>#N/A</v>
      </c>
    </row>
    <row r="3650" ht="14.100000000000001" customHeight="1">
      <c r="B3650" s="8" t="s">
        <v>7438</v>
      </c>
      <c r="C3650" s="8" t="s">
        <v>7439</v>
      </c>
      <c r="D3650" s="8" t="s">
        <v>7438</v>
      </c>
      <c r="E3650" s="20" t="e">
        <f t="array" ref="E3650">INDEX(C:C,SMALL(IF(ISNUMBER(FIND(CELL("contents"),$C$2:$C$4852)),ROW($C$2:$C$4852),4^8),ROW(C3650)))&amp;""</f>
        <v>#N/A</v>
      </c>
    </row>
    <row r="3651" ht="14.100000000000001" customHeight="1">
      <c r="B3651" s="8" t="s">
        <v>7440</v>
      </c>
      <c r="C3651" s="8" t="s">
        <v>7441</v>
      </c>
      <c r="D3651" s="8" t="s">
        <v>7440</v>
      </c>
      <c r="E3651" s="20" t="e">
        <f t="array" ref="E3651">INDEX(C:C,SMALL(IF(ISNUMBER(FIND(CELL("contents"),$C$2:$C$4852)),ROW($C$2:$C$4852),4^8),ROW(C3651)))&amp;""</f>
        <v>#N/A</v>
      </c>
    </row>
    <row r="3652" ht="14.100000000000001" customHeight="1">
      <c r="B3652" s="8" t="s">
        <v>7442</v>
      </c>
      <c r="C3652" s="8" t="s">
        <v>7443</v>
      </c>
      <c r="D3652" s="8" t="s">
        <v>7442</v>
      </c>
      <c r="E3652" s="20" t="e">
        <f t="array" ref="E3652">INDEX(C:C,SMALL(IF(ISNUMBER(FIND(CELL("contents"),$C$2:$C$4852)),ROW($C$2:$C$4852),4^8),ROW(C3652)))&amp;""</f>
        <v>#N/A</v>
      </c>
    </row>
    <row r="3653" ht="14.100000000000001" customHeight="1">
      <c r="B3653" s="8" t="s">
        <v>7444</v>
      </c>
      <c r="C3653" s="8" t="s">
        <v>7445</v>
      </c>
      <c r="D3653" s="8" t="s">
        <v>7444</v>
      </c>
      <c r="E3653" s="20" t="e">
        <f t="array" ref="E3653">INDEX(C:C,SMALL(IF(ISNUMBER(FIND(CELL("contents"),$C$2:$C$4852)),ROW($C$2:$C$4852),4^8),ROW(C3653)))&amp;""</f>
        <v>#N/A</v>
      </c>
    </row>
    <row r="3654" ht="14.100000000000001" customHeight="1">
      <c r="B3654" s="8" t="s">
        <v>7446</v>
      </c>
      <c r="C3654" s="8" t="s">
        <v>7447</v>
      </c>
      <c r="D3654" s="8" t="s">
        <v>7446</v>
      </c>
      <c r="E3654" s="20" t="e">
        <f t="array" ref="E3654">INDEX(C:C,SMALL(IF(ISNUMBER(FIND(CELL("contents"),$C$2:$C$4852)),ROW($C$2:$C$4852),4^8),ROW(C3654)))&amp;""</f>
        <v>#N/A</v>
      </c>
    </row>
    <row r="3655" ht="14.100000000000001" customHeight="1">
      <c r="B3655" s="8" t="s">
        <v>7448</v>
      </c>
      <c r="C3655" s="8" t="s">
        <v>7449</v>
      </c>
      <c r="D3655" s="8" t="s">
        <v>7448</v>
      </c>
      <c r="E3655" s="20" t="e">
        <f t="array" ref="E3655">INDEX(C:C,SMALL(IF(ISNUMBER(FIND(CELL("contents"),$C$2:$C$4852)),ROW($C$2:$C$4852),4^8),ROW(C3655)))&amp;""</f>
        <v>#N/A</v>
      </c>
    </row>
    <row r="3656" ht="14.100000000000001" customHeight="1">
      <c r="B3656" s="8" t="s">
        <v>7450</v>
      </c>
      <c r="C3656" s="8" t="s">
        <v>7451</v>
      </c>
      <c r="D3656" s="8" t="s">
        <v>7450</v>
      </c>
      <c r="E3656" s="20" t="e">
        <f t="array" ref="E3656">INDEX(C:C,SMALL(IF(ISNUMBER(FIND(CELL("contents"),$C$2:$C$4852)),ROW($C$2:$C$4852),4^8),ROW(C3656)))&amp;""</f>
        <v>#N/A</v>
      </c>
    </row>
    <row r="3657" ht="14.100000000000001" customHeight="1">
      <c r="B3657" s="8" t="s">
        <v>7452</v>
      </c>
      <c r="C3657" s="8" t="s">
        <v>7453</v>
      </c>
      <c r="D3657" s="8" t="s">
        <v>7452</v>
      </c>
      <c r="E3657" s="20" t="e">
        <f t="array" ref="E3657">INDEX(C:C,SMALL(IF(ISNUMBER(FIND(CELL("contents"),$C$2:$C$4852)),ROW($C$2:$C$4852),4^8),ROW(C3657)))&amp;""</f>
        <v>#N/A</v>
      </c>
    </row>
    <row r="3658" ht="14.100000000000001" customHeight="1">
      <c r="B3658" s="8" t="s">
        <v>7454</v>
      </c>
      <c r="C3658" s="8" t="s">
        <v>7455</v>
      </c>
      <c r="D3658" s="8" t="s">
        <v>7454</v>
      </c>
      <c r="E3658" s="20" t="e">
        <f t="array" ref="E3658">INDEX(C:C,SMALL(IF(ISNUMBER(FIND(CELL("contents"),$C$2:$C$4852)),ROW($C$2:$C$4852),4^8),ROW(C3658)))&amp;""</f>
        <v>#N/A</v>
      </c>
    </row>
    <row r="3659" ht="14.100000000000001" customHeight="1">
      <c r="B3659" s="8" t="s">
        <v>7456</v>
      </c>
      <c r="C3659" s="8" t="s">
        <v>7457</v>
      </c>
      <c r="D3659" s="8" t="s">
        <v>7456</v>
      </c>
      <c r="E3659" s="20" t="e">
        <f t="array" ref="E3659">INDEX(C:C,SMALL(IF(ISNUMBER(FIND(CELL("contents"),$C$2:$C$4852)),ROW($C$2:$C$4852),4^8),ROW(C3659)))&amp;""</f>
        <v>#N/A</v>
      </c>
    </row>
    <row r="3660" ht="14.100000000000001" customHeight="1">
      <c r="B3660" s="8" t="s">
        <v>7458</v>
      </c>
      <c r="C3660" s="8" t="s">
        <v>7459</v>
      </c>
      <c r="D3660" s="8" t="s">
        <v>7458</v>
      </c>
      <c r="E3660" s="20" t="e">
        <f t="array" ref="E3660">INDEX(C:C,SMALL(IF(ISNUMBER(FIND(CELL("contents"),$C$2:$C$4852)),ROW($C$2:$C$4852),4^8),ROW(C3660)))&amp;""</f>
        <v>#N/A</v>
      </c>
    </row>
    <row r="3661" ht="14.100000000000001" customHeight="1">
      <c r="B3661" s="8" t="s">
        <v>7460</v>
      </c>
      <c r="C3661" s="8" t="s">
        <v>7461</v>
      </c>
      <c r="D3661" s="8" t="s">
        <v>7460</v>
      </c>
      <c r="E3661" s="20" t="e">
        <f t="array" ref="E3661">INDEX(C:C,SMALL(IF(ISNUMBER(FIND(CELL("contents"),$C$2:$C$4852)),ROW($C$2:$C$4852),4^8),ROW(C3661)))&amp;""</f>
        <v>#N/A</v>
      </c>
    </row>
    <row r="3662" ht="14.100000000000001" customHeight="1">
      <c r="B3662" s="8" t="s">
        <v>7462</v>
      </c>
      <c r="C3662" s="8" t="s">
        <v>7463</v>
      </c>
      <c r="D3662" s="8" t="s">
        <v>7462</v>
      </c>
      <c r="E3662" s="20" t="e">
        <f t="array" ref="E3662">INDEX(C:C,SMALL(IF(ISNUMBER(FIND(CELL("contents"),$C$2:$C$4852)),ROW($C$2:$C$4852),4^8),ROW(C3662)))&amp;""</f>
        <v>#N/A</v>
      </c>
    </row>
    <row r="3663" ht="14.100000000000001" customHeight="1">
      <c r="B3663" s="8" t="s">
        <v>7464</v>
      </c>
      <c r="C3663" s="8" t="s">
        <v>7465</v>
      </c>
      <c r="D3663" s="8" t="s">
        <v>7464</v>
      </c>
      <c r="E3663" s="20" t="e">
        <f t="array" ref="E3663">INDEX(C:C,SMALL(IF(ISNUMBER(FIND(CELL("contents"),$C$2:$C$4852)),ROW($C$2:$C$4852),4^8),ROW(C3663)))&amp;""</f>
        <v>#N/A</v>
      </c>
    </row>
    <row r="3664" ht="14.100000000000001" customHeight="1">
      <c r="B3664" s="8" t="s">
        <v>7466</v>
      </c>
      <c r="C3664" s="8" t="s">
        <v>7467</v>
      </c>
      <c r="D3664" s="8" t="s">
        <v>7466</v>
      </c>
      <c r="E3664" s="20" t="e">
        <f t="array" ref="E3664">INDEX(C:C,SMALL(IF(ISNUMBER(FIND(CELL("contents"),$C$2:$C$4852)),ROW($C$2:$C$4852),4^8),ROW(C3664)))&amp;""</f>
        <v>#N/A</v>
      </c>
    </row>
    <row r="3665" ht="14.100000000000001" customHeight="1">
      <c r="B3665" s="8" t="s">
        <v>7468</v>
      </c>
      <c r="C3665" s="8" t="s">
        <v>7469</v>
      </c>
      <c r="D3665" s="8" t="s">
        <v>7468</v>
      </c>
      <c r="E3665" s="20" t="e">
        <f t="array" ref="E3665">INDEX(C:C,SMALL(IF(ISNUMBER(FIND(CELL("contents"),$C$2:$C$4852)),ROW($C$2:$C$4852),4^8),ROW(C3665)))&amp;""</f>
        <v>#N/A</v>
      </c>
    </row>
    <row r="3666" ht="14.100000000000001" customHeight="1">
      <c r="B3666" s="8" t="s">
        <v>7470</v>
      </c>
      <c r="C3666" s="8" t="s">
        <v>7471</v>
      </c>
      <c r="D3666" s="8" t="s">
        <v>7470</v>
      </c>
      <c r="E3666" s="20" t="e">
        <f t="array" ref="E3666">INDEX(C:C,SMALL(IF(ISNUMBER(FIND(CELL("contents"),$C$2:$C$4852)),ROW($C$2:$C$4852),4^8),ROW(C3666)))&amp;""</f>
        <v>#N/A</v>
      </c>
    </row>
    <row r="3667" ht="14.100000000000001" customHeight="1">
      <c r="B3667" s="8" t="s">
        <v>7472</v>
      </c>
      <c r="C3667" s="8" t="s">
        <v>7473</v>
      </c>
      <c r="D3667" s="8" t="s">
        <v>7472</v>
      </c>
      <c r="E3667" s="20" t="e">
        <f t="array" ref="E3667">INDEX(C:C,SMALL(IF(ISNUMBER(FIND(CELL("contents"),$C$2:$C$4852)),ROW($C$2:$C$4852),4^8),ROW(C3667)))&amp;""</f>
        <v>#N/A</v>
      </c>
    </row>
    <row r="3668" ht="14.100000000000001" customHeight="1">
      <c r="B3668" s="8" t="s">
        <v>7474</v>
      </c>
      <c r="C3668" s="8" t="s">
        <v>7475</v>
      </c>
      <c r="D3668" s="8" t="s">
        <v>7474</v>
      </c>
      <c r="E3668" s="20" t="e">
        <f t="array" ref="E3668">INDEX(C:C,SMALL(IF(ISNUMBER(FIND(CELL("contents"),$C$2:$C$4852)),ROW($C$2:$C$4852),4^8),ROW(C3668)))&amp;""</f>
        <v>#N/A</v>
      </c>
    </row>
    <row r="3669" ht="14.100000000000001" customHeight="1">
      <c r="B3669" s="8" t="s">
        <v>7476</v>
      </c>
      <c r="C3669" s="8" t="s">
        <v>7477</v>
      </c>
      <c r="D3669" s="8" t="s">
        <v>7476</v>
      </c>
      <c r="E3669" s="20" t="e">
        <f t="array" ref="E3669">INDEX(C:C,SMALL(IF(ISNUMBER(FIND(CELL("contents"),$C$2:$C$4852)),ROW($C$2:$C$4852),4^8),ROW(C3669)))&amp;""</f>
        <v>#N/A</v>
      </c>
    </row>
    <row r="3670" ht="14.100000000000001" customHeight="1">
      <c r="B3670" s="8" t="s">
        <v>7478</v>
      </c>
      <c r="C3670" s="8" t="s">
        <v>7479</v>
      </c>
      <c r="D3670" s="8" t="s">
        <v>7478</v>
      </c>
      <c r="E3670" s="20" t="e">
        <f t="array" ref="E3670">INDEX(C:C,SMALL(IF(ISNUMBER(FIND(CELL("contents"),$C$2:$C$4852)),ROW($C$2:$C$4852),4^8),ROW(C3670)))&amp;""</f>
        <v>#N/A</v>
      </c>
    </row>
    <row r="3671" ht="14.100000000000001" customHeight="1">
      <c r="B3671" s="8" t="s">
        <v>7480</v>
      </c>
      <c r="C3671" s="8" t="s">
        <v>7481</v>
      </c>
      <c r="D3671" s="8" t="s">
        <v>7480</v>
      </c>
      <c r="E3671" s="20" t="e">
        <f t="array" ref="E3671">INDEX(C:C,SMALL(IF(ISNUMBER(FIND(CELL("contents"),$C$2:$C$4852)),ROW($C$2:$C$4852),4^8),ROW(C3671)))&amp;""</f>
        <v>#N/A</v>
      </c>
    </row>
    <row r="3672" ht="14.100000000000001" customHeight="1">
      <c r="B3672" s="8" t="s">
        <v>7482</v>
      </c>
      <c r="C3672" s="8" t="s">
        <v>7483</v>
      </c>
      <c r="D3672" s="8" t="s">
        <v>7482</v>
      </c>
      <c r="E3672" s="20" t="e">
        <f t="array" ref="E3672">INDEX(C:C,SMALL(IF(ISNUMBER(FIND(CELL("contents"),$C$2:$C$4852)),ROW($C$2:$C$4852),4^8),ROW(C3672)))&amp;""</f>
        <v>#N/A</v>
      </c>
    </row>
    <row r="3673" ht="14.100000000000001" customHeight="1">
      <c r="B3673" s="8" t="s">
        <v>7484</v>
      </c>
      <c r="C3673" s="8" t="s">
        <v>7485</v>
      </c>
      <c r="D3673" s="8" t="s">
        <v>7484</v>
      </c>
      <c r="E3673" s="20" t="e">
        <f t="array" ref="E3673">INDEX(C:C,SMALL(IF(ISNUMBER(FIND(CELL("contents"),$C$2:$C$4852)),ROW($C$2:$C$4852),4^8),ROW(C3673)))&amp;""</f>
        <v>#N/A</v>
      </c>
    </row>
    <row r="3674" ht="14.100000000000001" customHeight="1">
      <c r="B3674" s="8" t="s">
        <v>7486</v>
      </c>
      <c r="C3674" s="8" t="s">
        <v>7487</v>
      </c>
      <c r="D3674" s="8" t="s">
        <v>7486</v>
      </c>
      <c r="E3674" s="20" t="e">
        <f t="array" ref="E3674">INDEX(C:C,SMALL(IF(ISNUMBER(FIND(CELL("contents"),$C$2:$C$4852)),ROW($C$2:$C$4852),4^8),ROW(C3674)))&amp;""</f>
        <v>#N/A</v>
      </c>
    </row>
    <row r="3675" ht="14.100000000000001" customHeight="1">
      <c r="B3675" s="8" t="s">
        <v>7488</v>
      </c>
      <c r="C3675" s="8" t="s">
        <v>7489</v>
      </c>
      <c r="D3675" s="8" t="s">
        <v>7488</v>
      </c>
      <c r="E3675" s="20" t="e">
        <f t="array" ref="E3675">INDEX(C:C,SMALL(IF(ISNUMBER(FIND(CELL("contents"),$C$2:$C$4852)),ROW($C$2:$C$4852),4^8),ROW(C3675)))&amp;""</f>
        <v>#N/A</v>
      </c>
    </row>
    <row r="3676" ht="14.100000000000001" customHeight="1">
      <c r="B3676" s="8" t="s">
        <v>7490</v>
      </c>
      <c r="C3676" s="8" t="s">
        <v>7491</v>
      </c>
      <c r="D3676" s="8" t="s">
        <v>7490</v>
      </c>
      <c r="E3676" s="20" t="e">
        <f t="array" ref="E3676">INDEX(C:C,SMALL(IF(ISNUMBER(FIND(CELL("contents"),$C$2:$C$4852)),ROW($C$2:$C$4852),4^8),ROW(C3676)))&amp;""</f>
        <v>#N/A</v>
      </c>
    </row>
    <row r="3677" ht="14.100000000000001" customHeight="1">
      <c r="B3677" s="8" t="s">
        <v>7492</v>
      </c>
      <c r="C3677" s="8" t="s">
        <v>7493</v>
      </c>
      <c r="D3677" s="8" t="s">
        <v>7492</v>
      </c>
      <c r="E3677" s="20" t="e">
        <f t="array" ref="E3677">INDEX(C:C,SMALL(IF(ISNUMBER(FIND(CELL("contents"),$C$2:$C$4852)),ROW($C$2:$C$4852),4^8),ROW(C3677)))&amp;""</f>
        <v>#N/A</v>
      </c>
    </row>
    <row r="3678" ht="14.100000000000001" customHeight="1">
      <c r="B3678" s="8" t="s">
        <v>7494</v>
      </c>
      <c r="C3678" s="8" t="s">
        <v>7495</v>
      </c>
      <c r="D3678" s="8" t="s">
        <v>7494</v>
      </c>
      <c r="E3678" s="20" t="e">
        <f t="array" ref="E3678">INDEX(C:C,SMALL(IF(ISNUMBER(FIND(CELL("contents"),$C$2:$C$4852)),ROW($C$2:$C$4852),4^8),ROW(C3678)))&amp;""</f>
        <v>#N/A</v>
      </c>
    </row>
    <row r="3679" ht="14.100000000000001" customHeight="1">
      <c r="B3679" s="8" t="s">
        <v>7496</v>
      </c>
      <c r="C3679" s="8" t="s">
        <v>7497</v>
      </c>
      <c r="D3679" s="8" t="s">
        <v>7496</v>
      </c>
      <c r="E3679" s="20" t="e">
        <f t="array" ref="E3679">INDEX(C:C,SMALL(IF(ISNUMBER(FIND(CELL("contents"),$C$2:$C$4852)),ROW($C$2:$C$4852),4^8),ROW(C3679)))&amp;""</f>
        <v>#N/A</v>
      </c>
    </row>
    <row r="3680" ht="14.100000000000001" customHeight="1">
      <c r="B3680" s="8" t="s">
        <v>7498</v>
      </c>
      <c r="C3680" s="8" t="s">
        <v>7499</v>
      </c>
      <c r="D3680" s="8" t="s">
        <v>7498</v>
      </c>
      <c r="E3680" s="20" t="e">
        <f t="array" ref="E3680">INDEX(C:C,SMALL(IF(ISNUMBER(FIND(CELL("contents"),$C$2:$C$4852)),ROW($C$2:$C$4852),4^8),ROW(C3680)))&amp;""</f>
        <v>#N/A</v>
      </c>
    </row>
    <row r="3681" ht="14.100000000000001" customHeight="1">
      <c r="B3681" s="8" t="s">
        <v>7500</v>
      </c>
      <c r="C3681" s="8" t="s">
        <v>7501</v>
      </c>
      <c r="D3681" s="8" t="s">
        <v>7500</v>
      </c>
      <c r="E3681" s="20" t="e">
        <f t="array" ref="E3681">INDEX(C:C,SMALL(IF(ISNUMBER(FIND(CELL("contents"),$C$2:$C$4852)),ROW($C$2:$C$4852),4^8),ROW(C3681)))&amp;""</f>
        <v>#N/A</v>
      </c>
    </row>
    <row r="3682" ht="14.100000000000001" customHeight="1">
      <c r="B3682" s="8" t="s">
        <v>7502</v>
      </c>
      <c r="C3682" s="8" t="s">
        <v>7503</v>
      </c>
      <c r="D3682" s="8" t="s">
        <v>7502</v>
      </c>
      <c r="E3682" s="20" t="e">
        <f t="array" ref="E3682">INDEX(C:C,SMALL(IF(ISNUMBER(FIND(CELL("contents"),$C$2:$C$4852)),ROW($C$2:$C$4852),4^8),ROW(C3682)))&amp;""</f>
        <v>#N/A</v>
      </c>
    </row>
    <row r="3683" ht="14.100000000000001" customHeight="1">
      <c r="B3683" s="8" t="s">
        <v>7504</v>
      </c>
      <c r="C3683" s="8" t="s">
        <v>7505</v>
      </c>
      <c r="D3683" s="8" t="s">
        <v>7504</v>
      </c>
      <c r="E3683" s="20" t="e">
        <f t="array" ref="E3683">INDEX(C:C,SMALL(IF(ISNUMBER(FIND(CELL("contents"),$C$2:$C$4852)),ROW($C$2:$C$4852),4^8),ROW(C3683)))&amp;""</f>
        <v>#N/A</v>
      </c>
    </row>
    <row r="3684" ht="14.100000000000001" customHeight="1">
      <c r="B3684" s="8" t="s">
        <v>7506</v>
      </c>
      <c r="C3684" s="8" t="s">
        <v>7507</v>
      </c>
      <c r="D3684" s="8" t="s">
        <v>7506</v>
      </c>
      <c r="E3684" s="20" t="e">
        <f t="array" ref="E3684">INDEX(C:C,SMALL(IF(ISNUMBER(FIND(CELL("contents"),$C$2:$C$4852)),ROW($C$2:$C$4852),4^8),ROW(C3684)))&amp;""</f>
        <v>#N/A</v>
      </c>
    </row>
    <row r="3685" ht="14.100000000000001" customHeight="1">
      <c r="B3685" s="8" t="s">
        <v>7508</v>
      </c>
      <c r="C3685" s="8" t="s">
        <v>7509</v>
      </c>
      <c r="D3685" s="8" t="s">
        <v>7508</v>
      </c>
      <c r="E3685" s="20" t="e">
        <f t="array" ref="E3685">INDEX(C:C,SMALL(IF(ISNUMBER(FIND(CELL("contents"),$C$2:$C$4852)),ROW($C$2:$C$4852),4^8),ROW(C3685)))&amp;""</f>
        <v>#N/A</v>
      </c>
    </row>
    <row r="3686" ht="14.100000000000001" customHeight="1">
      <c r="B3686" s="8" t="s">
        <v>7510</v>
      </c>
      <c r="C3686" s="8" t="s">
        <v>7511</v>
      </c>
      <c r="D3686" s="8" t="s">
        <v>7510</v>
      </c>
      <c r="E3686" s="20" t="e">
        <f t="array" ref="E3686">INDEX(C:C,SMALL(IF(ISNUMBER(FIND(CELL("contents"),$C$2:$C$4852)),ROW($C$2:$C$4852),4^8),ROW(C3686)))&amp;""</f>
        <v>#N/A</v>
      </c>
    </row>
    <row r="3687" ht="14.100000000000001" customHeight="1">
      <c r="B3687" s="8" t="s">
        <v>7512</v>
      </c>
      <c r="C3687" s="8" t="s">
        <v>7513</v>
      </c>
      <c r="D3687" s="8" t="s">
        <v>7512</v>
      </c>
      <c r="E3687" s="20" t="e">
        <f t="array" ref="E3687">INDEX(C:C,SMALL(IF(ISNUMBER(FIND(CELL("contents"),$C$2:$C$4852)),ROW($C$2:$C$4852),4^8),ROW(C3687)))&amp;""</f>
        <v>#N/A</v>
      </c>
    </row>
    <row r="3688" ht="14.100000000000001" customHeight="1">
      <c r="B3688" s="8" t="s">
        <v>7514</v>
      </c>
      <c r="C3688" s="8" t="s">
        <v>7515</v>
      </c>
      <c r="D3688" s="8" t="s">
        <v>7514</v>
      </c>
      <c r="E3688" s="20" t="e">
        <f t="array" ref="E3688">INDEX(C:C,SMALL(IF(ISNUMBER(FIND(CELL("contents"),$C$2:$C$4852)),ROW($C$2:$C$4852),4^8),ROW(C3688)))&amp;""</f>
        <v>#N/A</v>
      </c>
    </row>
    <row r="3689" ht="14.100000000000001" customHeight="1">
      <c r="B3689" s="8" t="s">
        <v>7516</v>
      </c>
      <c r="C3689" s="8" t="s">
        <v>7517</v>
      </c>
      <c r="D3689" s="8" t="s">
        <v>7516</v>
      </c>
      <c r="E3689" s="20" t="e">
        <f t="array" ref="E3689">INDEX(C:C,SMALL(IF(ISNUMBER(FIND(CELL("contents"),$C$2:$C$4852)),ROW($C$2:$C$4852),4^8),ROW(C3689)))&amp;""</f>
        <v>#N/A</v>
      </c>
    </row>
    <row r="3690" ht="14.100000000000001" customHeight="1">
      <c r="B3690" s="8" t="s">
        <v>7518</v>
      </c>
      <c r="C3690" s="8" t="s">
        <v>7519</v>
      </c>
      <c r="D3690" s="8" t="s">
        <v>7518</v>
      </c>
      <c r="E3690" s="20" t="e">
        <f t="array" ref="E3690">INDEX(C:C,SMALL(IF(ISNUMBER(FIND(CELL("contents"),$C$2:$C$4852)),ROW($C$2:$C$4852),4^8),ROW(C3690)))&amp;""</f>
        <v>#N/A</v>
      </c>
    </row>
    <row r="3691" ht="14.100000000000001" customHeight="1">
      <c r="B3691" s="8" t="s">
        <v>7520</v>
      </c>
      <c r="C3691" s="8" t="s">
        <v>7521</v>
      </c>
      <c r="D3691" s="8" t="s">
        <v>7520</v>
      </c>
      <c r="E3691" s="20" t="e">
        <f t="array" ref="E3691">INDEX(C:C,SMALL(IF(ISNUMBER(FIND(CELL("contents"),$C$2:$C$4852)),ROW($C$2:$C$4852),4^8),ROW(C3691)))&amp;""</f>
        <v>#N/A</v>
      </c>
    </row>
    <row r="3692" ht="14.100000000000001" customHeight="1">
      <c r="B3692" s="8" t="s">
        <v>7522</v>
      </c>
      <c r="C3692" s="8" t="s">
        <v>7523</v>
      </c>
      <c r="D3692" s="8" t="s">
        <v>7522</v>
      </c>
      <c r="E3692" s="20" t="e">
        <f t="array" ref="E3692">INDEX(C:C,SMALL(IF(ISNUMBER(FIND(CELL("contents"),$C$2:$C$4852)),ROW($C$2:$C$4852),4^8),ROW(C3692)))&amp;""</f>
        <v>#N/A</v>
      </c>
    </row>
    <row r="3693" ht="14.100000000000001" customHeight="1">
      <c r="B3693" s="8" t="s">
        <v>7524</v>
      </c>
      <c r="C3693" s="8" t="s">
        <v>7525</v>
      </c>
      <c r="D3693" s="8" t="s">
        <v>7524</v>
      </c>
      <c r="E3693" s="20" t="e">
        <f t="array" ref="E3693">INDEX(C:C,SMALL(IF(ISNUMBER(FIND(CELL("contents"),$C$2:$C$4852)),ROW($C$2:$C$4852),4^8),ROW(C3693)))&amp;""</f>
        <v>#N/A</v>
      </c>
    </row>
    <row r="3694" ht="14.100000000000001" customHeight="1">
      <c r="B3694" s="8" t="s">
        <v>7526</v>
      </c>
      <c r="C3694" s="8" t="s">
        <v>7527</v>
      </c>
      <c r="D3694" s="8" t="s">
        <v>7526</v>
      </c>
      <c r="E3694" s="20" t="e">
        <f t="array" ref="E3694">INDEX(C:C,SMALL(IF(ISNUMBER(FIND(CELL("contents"),$C$2:$C$4852)),ROW($C$2:$C$4852),4^8),ROW(C3694)))&amp;""</f>
        <v>#N/A</v>
      </c>
    </row>
    <row r="3695" ht="14.100000000000001" customHeight="1">
      <c r="B3695" s="8" t="s">
        <v>7528</v>
      </c>
      <c r="C3695" s="8" t="s">
        <v>7529</v>
      </c>
      <c r="D3695" s="8" t="s">
        <v>7528</v>
      </c>
      <c r="E3695" s="20" t="e">
        <f t="array" ref="E3695">INDEX(C:C,SMALL(IF(ISNUMBER(FIND(CELL("contents"),$C$2:$C$4852)),ROW($C$2:$C$4852),4^8),ROW(C3695)))&amp;""</f>
        <v>#N/A</v>
      </c>
    </row>
    <row r="3696" ht="14.100000000000001" customHeight="1">
      <c r="B3696" s="8" t="s">
        <v>7530</v>
      </c>
      <c r="C3696" s="8" t="s">
        <v>7531</v>
      </c>
      <c r="D3696" s="8" t="s">
        <v>7530</v>
      </c>
      <c r="E3696" s="20" t="e">
        <f t="array" ref="E3696">INDEX(C:C,SMALL(IF(ISNUMBER(FIND(CELL("contents"),$C$2:$C$4852)),ROW($C$2:$C$4852),4^8),ROW(C3696)))&amp;""</f>
        <v>#N/A</v>
      </c>
    </row>
    <row r="3697" ht="14.100000000000001" customHeight="1">
      <c r="B3697" s="8" t="s">
        <v>7532</v>
      </c>
      <c r="C3697" s="8" t="s">
        <v>7533</v>
      </c>
      <c r="D3697" s="8" t="s">
        <v>7532</v>
      </c>
      <c r="E3697" s="20" t="e">
        <f t="array" ref="E3697">INDEX(C:C,SMALL(IF(ISNUMBER(FIND(CELL("contents"),$C$2:$C$4852)),ROW($C$2:$C$4852),4^8),ROW(C3697)))&amp;""</f>
        <v>#N/A</v>
      </c>
    </row>
    <row r="3698" ht="14.100000000000001" customHeight="1">
      <c r="B3698" s="8" t="s">
        <v>7534</v>
      </c>
      <c r="C3698" s="8" t="s">
        <v>7535</v>
      </c>
      <c r="D3698" s="8" t="s">
        <v>7534</v>
      </c>
      <c r="E3698" s="20" t="e">
        <f t="array" ref="E3698">INDEX(C:C,SMALL(IF(ISNUMBER(FIND(CELL("contents"),$C$2:$C$4852)),ROW($C$2:$C$4852),4^8),ROW(C3698)))&amp;""</f>
        <v>#N/A</v>
      </c>
    </row>
    <row r="3699" ht="14.100000000000001" customHeight="1">
      <c r="B3699" s="8" t="s">
        <v>7536</v>
      </c>
      <c r="C3699" s="8" t="s">
        <v>7537</v>
      </c>
      <c r="D3699" s="8" t="s">
        <v>7536</v>
      </c>
      <c r="E3699" s="20" t="e">
        <f t="array" ref="E3699">INDEX(C:C,SMALL(IF(ISNUMBER(FIND(CELL("contents"),$C$2:$C$4852)),ROW($C$2:$C$4852),4^8),ROW(C3699)))&amp;""</f>
        <v>#N/A</v>
      </c>
    </row>
    <row r="3700" ht="14.100000000000001" customHeight="1">
      <c r="B3700" s="8" t="s">
        <v>7538</v>
      </c>
      <c r="C3700" s="8" t="s">
        <v>7539</v>
      </c>
      <c r="D3700" s="8" t="s">
        <v>7538</v>
      </c>
      <c r="E3700" s="20" t="e">
        <f t="array" ref="E3700">INDEX(C:C,SMALL(IF(ISNUMBER(FIND(CELL("contents"),$C$2:$C$4852)),ROW($C$2:$C$4852),4^8),ROW(C3700)))&amp;""</f>
        <v>#N/A</v>
      </c>
    </row>
    <row r="3701" ht="14.100000000000001" customHeight="1">
      <c r="B3701" s="8" t="s">
        <v>7540</v>
      </c>
      <c r="C3701" s="8" t="s">
        <v>7541</v>
      </c>
      <c r="D3701" s="8" t="s">
        <v>7540</v>
      </c>
      <c r="E3701" s="20" t="e">
        <f t="array" ref="E3701">INDEX(C:C,SMALL(IF(ISNUMBER(FIND(CELL("contents"),$C$2:$C$4852)),ROW($C$2:$C$4852),4^8),ROW(C3701)))&amp;""</f>
        <v>#N/A</v>
      </c>
    </row>
    <row r="3702" ht="14.100000000000001" customHeight="1">
      <c r="B3702" s="8" t="s">
        <v>7542</v>
      </c>
      <c r="C3702" s="8" t="s">
        <v>7543</v>
      </c>
      <c r="D3702" s="8" t="s">
        <v>7542</v>
      </c>
      <c r="E3702" s="20" t="e">
        <f t="array" ref="E3702">INDEX(C:C,SMALL(IF(ISNUMBER(FIND(CELL("contents"),$C$2:$C$4852)),ROW($C$2:$C$4852),4^8),ROW(C3702)))&amp;""</f>
        <v>#N/A</v>
      </c>
    </row>
    <row r="3703" ht="14.100000000000001" customHeight="1">
      <c r="B3703" s="8" t="s">
        <v>7544</v>
      </c>
      <c r="C3703" s="8" t="s">
        <v>7545</v>
      </c>
      <c r="D3703" s="8" t="s">
        <v>7544</v>
      </c>
      <c r="E3703" s="20" t="e">
        <f t="array" ref="E3703">INDEX(C:C,SMALL(IF(ISNUMBER(FIND(CELL("contents"),$C$2:$C$4852)),ROW($C$2:$C$4852),4^8),ROW(C3703)))&amp;""</f>
        <v>#N/A</v>
      </c>
    </row>
    <row r="3704" ht="14.100000000000001" customHeight="1">
      <c r="B3704" s="8" t="s">
        <v>7546</v>
      </c>
      <c r="C3704" s="8" t="s">
        <v>7547</v>
      </c>
      <c r="D3704" s="8" t="s">
        <v>7546</v>
      </c>
      <c r="E3704" s="20" t="e">
        <f t="array" ref="E3704">INDEX(C:C,SMALL(IF(ISNUMBER(FIND(CELL("contents"),$C$2:$C$4852)),ROW($C$2:$C$4852),4^8),ROW(C3704)))&amp;""</f>
        <v>#N/A</v>
      </c>
    </row>
    <row r="3705" ht="14.100000000000001" customHeight="1">
      <c r="B3705" s="8" t="s">
        <v>7548</v>
      </c>
      <c r="C3705" s="8" t="s">
        <v>7549</v>
      </c>
      <c r="D3705" s="8" t="s">
        <v>7548</v>
      </c>
      <c r="E3705" s="20" t="e">
        <f t="array" ref="E3705">INDEX(C:C,SMALL(IF(ISNUMBER(FIND(CELL("contents"),$C$2:$C$4852)),ROW($C$2:$C$4852),4^8),ROW(C3705)))&amp;""</f>
        <v>#N/A</v>
      </c>
    </row>
    <row r="3706" ht="14.100000000000001" customHeight="1">
      <c r="B3706" s="8" t="s">
        <v>7550</v>
      </c>
      <c r="C3706" s="8" t="s">
        <v>7551</v>
      </c>
      <c r="D3706" s="8" t="s">
        <v>7550</v>
      </c>
      <c r="E3706" s="20" t="e">
        <f t="array" ref="E3706">INDEX(C:C,SMALL(IF(ISNUMBER(FIND(CELL("contents"),$C$2:$C$4852)),ROW($C$2:$C$4852),4^8),ROW(C3706)))&amp;""</f>
        <v>#N/A</v>
      </c>
    </row>
    <row r="3707" ht="14.100000000000001" customHeight="1">
      <c r="B3707" s="8" t="s">
        <v>7552</v>
      </c>
      <c r="C3707" s="8" t="s">
        <v>7553</v>
      </c>
      <c r="D3707" s="8" t="s">
        <v>7552</v>
      </c>
      <c r="E3707" s="20" t="e">
        <f t="array" ref="E3707">INDEX(C:C,SMALL(IF(ISNUMBER(FIND(CELL("contents"),$C$2:$C$4852)),ROW($C$2:$C$4852),4^8),ROW(C3707)))&amp;""</f>
        <v>#N/A</v>
      </c>
    </row>
    <row r="3708" ht="14.100000000000001" customHeight="1">
      <c r="B3708" s="8" t="s">
        <v>7554</v>
      </c>
      <c r="C3708" s="8" t="s">
        <v>7555</v>
      </c>
      <c r="D3708" s="8" t="s">
        <v>7554</v>
      </c>
      <c r="E3708" s="20" t="e">
        <f t="array" ref="E3708">INDEX(C:C,SMALL(IF(ISNUMBER(FIND(CELL("contents"),$C$2:$C$4852)),ROW($C$2:$C$4852),4^8),ROW(C3708)))&amp;""</f>
        <v>#N/A</v>
      </c>
    </row>
    <row r="3709" ht="14.100000000000001" customHeight="1">
      <c r="B3709" s="8" t="s">
        <v>7556</v>
      </c>
      <c r="C3709" s="8" t="s">
        <v>7557</v>
      </c>
      <c r="D3709" s="8" t="s">
        <v>7556</v>
      </c>
      <c r="E3709" s="20" t="e">
        <f t="array" ref="E3709">INDEX(C:C,SMALL(IF(ISNUMBER(FIND(CELL("contents"),$C$2:$C$4852)),ROW($C$2:$C$4852),4^8),ROW(C3709)))&amp;""</f>
        <v>#N/A</v>
      </c>
    </row>
    <row r="3710" ht="14.100000000000001" customHeight="1">
      <c r="B3710" s="8" t="s">
        <v>7558</v>
      </c>
      <c r="C3710" s="8" t="s">
        <v>7559</v>
      </c>
      <c r="D3710" s="8" t="s">
        <v>7558</v>
      </c>
      <c r="E3710" s="20" t="e">
        <f t="array" ref="E3710">INDEX(C:C,SMALL(IF(ISNUMBER(FIND(CELL("contents"),$C$2:$C$4852)),ROW($C$2:$C$4852),4^8),ROW(C3710)))&amp;""</f>
        <v>#N/A</v>
      </c>
    </row>
    <row r="3711" ht="14.100000000000001" customHeight="1">
      <c r="B3711" s="8" t="s">
        <v>7560</v>
      </c>
      <c r="C3711" s="8" t="s">
        <v>7561</v>
      </c>
      <c r="D3711" s="8" t="s">
        <v>7560</v>
      </c>
      <c r="E3711" s="20" t="e">
        <f t="array" ref="E3711">INDEX(C:C,SMALL(IF(ISNUMBER(FIND(CELL("contents"),$C$2:$C$4852)),ROW($C$2:$C$4852),4^8),ROW(C3711)))&amp;""</f>
        <v>#N/A</v>
      </c>
    </row>
    <row r="3712" ht="14.100000000000001" customHeight="1">
      <c r="B3712" s="8" t="s">
        <v>7562</v>
      </c>
      <c r="C3712" s="8" t="s">
        <v>7563</v>
      </c>
      <c r="D3712" s="8" t="s">
        <v>7562</v>
      </c>
      <c r="E3712" s="20" t="e">
        <f t="array" ref="E3712">INDEX(C:C,SMALL(IF(ISNUMBER(FIND(CELL("contents"),$C$2:$C$4852)),ROW($C$2:$C$4852),4^8),ROW(C3712)))&amp;""</f>
        <v>#N/A</v>
      </c>
    </row>
    <row r="3713" ht="14.100000000000001" customHeight="1">
      <c r="B3713" s="8" t="s">
        <v>7564</v>
      </c>
      <c r="C3713" s="8" t="s">
        <v>7565</v>
      </c>
      <c r="D3713" s="8" t="s">
        <v>7564</v>
      </c>
      <c r="E3713" s="20" t="e">
        <f t="array" ref="E3713">INDEX(C:C,SMALL(IF(ISNUMBER(FIND(CELL("contents"),$C$2:$C$4852)),ROW($C$2:$C$4852),4^8),ROW(C3713)))&amp;""</f>
        <v>#N/A</v>
      </c>
    </row>
    <row r="3714" ht="14.100000000000001" customHeight="1">
      <c r="B3714" s="8" t="s">
        <v>7566</v>
      </c>
      <c r="C3714" s="8" t="s">
        <v>7567</v>
      </c>
      <c r="D3714" s="8" t="s">
        <v>7566</v>
      </c>
      <c r="E3714" s="20" t="e">
        <f t="array" ref="E3714">INDEX(C:C,SMALL(IF(ISNUMBER(FIND(CELL("contents"),$C$2:$C$4852)),ROW($C$2:$C$4852),4^8),ROW(C3714)))&amp;""</f>
        <v>#N/A</v>
      </c>
    </row>
    <row r="3715" ht="14.100000000000001" customHeight="1">
      <c r="B3715" s="8" t="s">
        <v>7568</v>
      </c>
      <c r="C3715" s="8" t="s">
        <v>7569</v>
      </c>
      <c r="D3715" s="8" t="s">
        <v>7568</v>
      </c>
      <c r="E3715" s="20" t="e">
        <f t="array" ref="E3715">INDEX(C:C,SMALL(IF(ISNUMBER(FIND(CELL("contents"),$C$2:$C$4852)),ROW($C$2:$C$4852),4^8),ROW(C3715)))&amp;""</f>
        <v>#N/A</v>
      </c>
    </row>
    <row r="3716" ht="14.100000000000001" customHeight="1">
      <c r="B3716" s="8" t="s">
        <v>7570</v>
      </c>
      <c r="C3716" s="8" t="s">
        <v>7571</v>
      </c>
      <c r="D3716" s="8" t="s">
        <v>7570</v>
      </c>
      <c r="E3716" s="20" t="e">
        <f t="array" ref="E3716">INDEX(C:C,SMALL(IF(ISNUMBER(FIND(CELL("contents"),$C$2:$C$4852)),ROW($C$2:$C$4852),4^8),ROW(C3716)))&amp;""</f>
        <v>#N/A</v>
      </c>
    </row>
    <row r="3717" ht="14.100000000000001" customHeight="1">
      <c r="B3717" s="8" t="s">
        <v>7572</v>
      </c>
      <c r="C3717" s="8" t="s">
        <v>7573</v>
      </c>
      <c r="D3717" s="8" t="s">
        <v>7572</v>
      </c>
      <c r="E3717" s="20" t="e">
        <f t="array" ref="E3717">INDEX(C:C,SMALL(IF(ISNUMBER(FIND(CELL("contents"),$C$2:$C$4852)),ROW($C$2:$C$4852),4^8),ROW(C3717)))&amp;""</f>
        <v>#N/A</v>
      </c>
    </row>
    <row r="3718" ht="14.100000000000001" customHeight="1">
      <c r="B3718" s="8" t="s">
        <v>7574</v>
      </c>
      <c r="C3718" s="8" t="s">
        <v>7575</v>
      </c>
      <c r="D3718" s="8" t="s">
        <v>7574</v>
      </c>
      <c r="E3718" s="20" t="e">
        <f t="array" ref="E3718">INDEX(C:C,SMALL(IF(ISNUMBER(FIND(CELL("contents"),$C$2:$C$4852)),ROW($C$2:$C$4852),4^8),ROW(C3718)))&amp;""</f>
        <v>#N/A</v>
      </c>
    </row>
    <row r="3719" ht="14.100000000000001" customHeight="1">
      <c r="B3719" s="8" t="s">
        <v>7576</v>
      </c>
      <c r="C3719" s="8" t="s">
        <v>7577</v>
      </c>
      <c r="D3719" s="8" t="s">
        <v>7576</v>
      </c>
      <c r="E3719" s="20" t="e">
        <f t="array" ref="E3719">INDEX(C:C,SMALL(IF(ISNUMBER(FIND(CELL("contents"),$C$2:$C$4852)),ROW($C$2:$C$4852),4^8),ROW(C3719)))&amp;""</f>
        <v>#N/A</v>
      </c>
    </row>
    <row r="3720" ht="14.100000000000001" customHeight="1">
      <c r="B3720" s="8" t="s">
        <v>7578</v>
      </c>
      <c r="C3720" s="8" t="s">
        <v>7579</v>
      </c>
      <c r="D3720" s="8" t="s">
        <v>7578</v>
      </c>
      <c r="E3720" s="20" t="e">
        <f t="array" ref="E3720">INDEX(C:C,SMALL(IF(ISNUMBER(FIND(CELL("contents"),$C$2:$C$4852)),ROW($C$2:$C$4852),4^8),ROW(C3720)))&amp;""</f>
        <v>#N/A</v>
      </c>
    </row>
    <row r="3721" ht="14.100000000000001" customHeight="1">
      <c r="B3721" s="8" t="s">
        <v>7580</v>
      </c>
      <c r="C3721" s="8" t="s">
        <v>7581</v>
      </c>
      <c r="D3721" s="8" t="s">
        <v>7580</v>
      </c>
      <c r="E3721" s="20" t="e">
        <f t="array" ref="E3721">INDEX(C:C,SMALL(IF(ISNUMBER(FIND(CELL("contents"),$C$2:$C$4852)),ROW($C$2:$C$4852),4^8),ROW(C3721)))&amp;""</f>
        <v>#N/A</v>
      </c>
    </row>
    <row r="3722" ht="14.100000000000001" customHeight="1">
      <c r="B3722" s="8" t="s">
        <v>7582</v>
      </c>
      <c r="C3722" s="8" t="s">
        <v>7583</v>
      </c>
      <c r="D3722" s="8" t="s">
        <v>7582</v>
      </c>
      <c r="E3722" s="20" t="e">
        <f t="array" ref="E3722">INDEX(C:C,SMALL(IF(ISNUMBER(FIND(CELL("contents"),$C$2:$C$4852)),ROW($C$2:$C$4852),4^8),ROW(C3722)))&amp;""</f>
        <v>#N/A</v>
      </c>
    </row>
    <row r="3723" ht="14.100000000000001" customHeight="1">
      <c r="B3723" s="8" t="s">
        <v>7584</v>
      </c>
      <c r="C3723" s="8" t="s">
        <v>7585</v>
      </c>
      <c r="D3723" s="8" t="s">
        <v>7584</v>
      </c>
      <c r="E3723" s="20" t="e">
        <f t="array" ref="E3723">INDEX(C:C,SMALL(IF(ISNUMBER(FIND(CELL("contents"),$C$2:$C$4852)),ROW($C$2:$C$4852),4^8),ROW(C3723)))&amp;""</f>
        <v>#N/A</v>
      </c>
    </row>
    <row r="3724" ht="14.100000000000001" customHeight="1">
      <c r="B3724" s="8" t="s">
        <v>7586</v>
      </c>
      <c r="C3724" s="8" t="s">
        <v>7587</v>
      </c>
      <c r="D3724" s="8" t="s">
        <v>7586</v>
      </c>
      <c r="E3724" s="20" t="e">
        <f t="array" ref="E3724">INDEX(C:C,SMALL(IF(ISNUMBER(FIND(CELL("contents"),$C$2:$C$4852)),ROW($C$2:$C$4852),4^8),ROW(C3724)))&amp;""</f>
        <v>#N/A</v>
      </c>
    </row>
    <row r="3725" ht="14.100000000000001" customHeight="1">
      <c r="B3725" s="8" t="s">
        <v>7588</v>
      </c>
      <c r="C3725" s="8" t="s">
        <v>7589</v>
      </c>
      <c r="D3725" s="8" t="s">
        <v>7588</v>
      </c>
      <c r="E3725" s="20" t="e">
        <f t="array" ref="E3725">INDEX(C:C,SMALL(IF(ISNUMBER(FIND(CELL("contents"),$C$2:$C$4852)),ROW($C$2:$C$4852),4^8),ROW(C3725)))&amp;""</f>
        <v>#N/A</v>
      </c>
    </row>
    <row r="3726" ht="14.100000000000001" customHeight="1">
      <c r="B3726" s="8" t="s">
        <v>7590</v>
      </c>
      <c r="C3726" s="8" t="s">
        <v>7591</v>
      </c>
      <c r="D3726" s="8" t="s">
        <v>7590</v>
      </c>
      <c r="E3726" s="20" t="e">
        <f t="array" ref="E3726">INDEX(C:C,SMALL(IF(ISNUMBER(FIND(CELL("contents"),$C$2:$C$4852)),ROW($C$2:$C$4852),4^8),ROW(C3726)))&amp;""</f>
        <v>#N/A</v>
      </c>
    </row>
    <row r="3727" ht="14.100000000000001" customHeight="1">
      <c r="B3727" s="8" t="s">
        <v>7592</v>
      </c>
      <c r="C3727" s="8" t="s">
        <v>7593</v>
      </c>
      <c r="D3727" s="8" t="s">
        <v>7592</v>
      </c>
      <c r="E3727" s="20" t="e">
        <f t="array" ref="E3727">INDEX(C:C,SMALL(IF(ISNUMBER(FIND(CELL("contents"),$C$2:$C$4852)),ROW($C$2:$C$4852),4^8),ROW(C3727)))&amp;""</f>
        <v>#N/A</v>
      </c>
    </row>
    <row r="3728" ht="14.100000000000001" customHeight="1">
      <c r="B3728" s="8" t="s">
        <v>7594</v>
      </c>
      <c r="C3728" s="8" t="s">
        <v>7595</v>
      </c>
      <c r="D3728" s="8" t="s">
        <v>7594</v>
      </c>
      <c r="E3728" s="20" t="e">
        <f t="array" ref="E3728">INDEX(C:C,SMALL(IF(ISNUMBER(FIND(CELL("contents"),$C$2:$C$4852)),ROW($C$2:$C$4852),4^8),ROW(C3728)))&amp;""</f>
        <v>#N/A</v>
      </c>
    </row>
    <row r="3729" ht="14.100000000000001" customHeight="1">
      <c r="B3729" s="8" t="s">
        <v>7596</v>
      </c>
      <c r="C3729" s="8" t="s">
        <v>7597</v>
      </c>
      <c r="D3729" s="8" t="s">
        <v>7596</v>
      </c>
      <c r="E3729" s="20" t="e">
        <f t="array" ref="E3729">INDEX(C:C,SMALL(IF(ISNUMBER(FIND(CELL("contents"),$C$2:$C$4852)),ROW($C$2:$C$4852),4^8),ROW(C3729)))&amp;""</f>
        <v>#N/A</v>
      </c>
    </row>
    <row r="3730" ht="14.100000000000001" customHeight="1">
      <c r="B3730" s="8" t="s">
        <v>7598</v>
      </c>
      <c r="C3730" s="8" t="s">
        <v>7599</v>
      </c>
      <c r="D3730" s="8" t="s">
        <v>7598</v>
      </c>
      <c r="E3730" s="20" t="e">
        <f t="array" ref="E3730">INDEX(C:C,SMALL(IF(ISNUMBER(FIND(CELL("contents"),$C$2:$C$4852)),ROW($C$2:$C$4852),4^8),ROW(C3730)))&amp;""</f>
        <v>#N/A</v>
      </c>
    </row>
    <row r="3731" ht="14.100000000000001" customHeight="1">
      <c r="B3731" s="8" t="s">
        <v>7600</v>
      </c>
      <c r="C3731" s="8" t="s">
        <v>7601</v>
      </c>
      <c r="D3731" s="8" t="s">
        <v>7600</v>
      </c>
      <c r="E3731" s="20" t="e">
        <f t="array" ref="E3731">INDEX(C:C,SMALL(IF(ISNUMBER(FIND(CELL("contents"),$C$2:$C$4852)),ROW($C$2:$C$4852),4^8),ROW(C3731)))&amp;""</f>
        <v>#N/A</v>
      </c>
    </row>
    <row r="3732" ht="14.100000000000001" customHeight="1">
      <c r="B3732" s="8" t="s">
        <v>7602</v>
      </c>
      <c r="C3732" s="8" t="s">
        <v>7603</v>
      </c>
      <c r="D3732" s="8" t="s">
        <v>7602</v>
      </c>
      <c r="E3732" s="20" t="e">
        <f t="array" ref="E3732">INDEX(C:C,SMALL(IF(ISNUMBER(FIND(CELL("contents"),$C$2:$C$4852)),ROW($C$2:$C$4852),4^8),ROW(C3732)))&amp;""</f>
        <v>#N/A</v>
      </c>
    </row>
    <row r="3733" ht="14.100000000000001" customHeight="1">
      <c r="B3733" s="8" t="s">
        <v>7604</v>
      </c>
      <c r="C3733" s="8" t="s">
        <v>7605</v>
      </c>
      <c r="D3733" s="8" t="s">
        <v>7604</v>
      </c>
      <c r="E3733" s="20" t="e">
        <f t="array" ref="E3733">INDEX(C:C,SMALL(IF(ISNUMBER(FIND(CELL("contents"),$C$2:$C$4852)),ROW($C$2:$C$4852),4^8),ROW(C3733)))&amp;""</f>
        <v>#N/A</v>
      </c>
    </row>
    <row r="3734" ht="14.100000000000001" customHeight="1">
      <c r="B3734" s="8" t="s">
        <v>7606</v>
      </c>
      <c r="C3734" s="8" t="s">
        <v>7607</v>
      </c>
      <c r="D3734" s="8" t="s">
        <v>7606</v>
      </c>
      <c r="E3734" s="20" t="e">
        <f t="array" ref="E3734">INDEX(C:C,SMALL(IF(ISNUMBER(FIND(CELL("contents"),$C$2:$C$4852)),ROW($C$2:$C$4852),4^8),ROW(C3734)))&amp;""</f>
        <v>#N/A</v>
      </c>
    </row>
    <row r="3735" ht="14.100000000000001" customHeight="1">
      <c r="B3735" s="8" t="s">
        <v>7608</v>
      </c>
      <c r="C3735" s="8" t="s">
        <v>7609</v>
      </c>
      <c r="D3735" s="8" t="s">
        <v>7608</v>
      </c>
      <c r="E3735" s="20" t="e">
        <f t="array" ref="E3735">INDEX(C:C,SMALL(IF(ISNUMBER(FIND(CELL("contents"),$C$2:$C$4852)),ROW($C$2:$C$4852),4^8),ROW(C3735)))&amp;""</f>
        <v>#N/A</v>
      </c>
    </row>
    <row r="3736" ht="14.100000000000001" customHeight="1">
      <c r="B3736" s="8" t="s">
        <v>7610</v>
      </c>
      <c r="C3736" s="8" t="s">
        <v>7611</v>
      </c>
      <c r="D3736" s="8" t="s">
        <v>7610</v>
      </c>
      <c r="E3736" s="20" t="e">
        <f t="array" ref="E3736">INDEX(C:C,SMALL(IF(ISNUMBER(FIND(CELL("contents"),$C$2:$C$4852)),ROW($C$2:$C$4852),4^8),ROW(C3736)))&amp;""</f>
        <v>#N/A</v>
      </c>
    </row>
    <row r="3737" ht="14.100000000000001" customHeight="1">
      <c r="B3737" s="8" t="s">
        <v>7612</v>
      </c>
      <c r="C3737" s="8" t="s">
        <v>7613</v>
      </c>
      <c r="D3737" s="8" t="s">
        <v>7612</v>
      </c>
      <c r="E3737" s="20" t="e">
        <f t="array" ref="E3737">INDEX(C:C,SMALL(IF(ISNUMBER(FIND(CELL("contents"),$C$2:$C$4852)),ROW($C$2:$C$4852),4^8),ROW(C3737)))&amp;""</f>
        <v>#N/A</v>
      </c>
    </row>
    <row r="3738" ht="14.100000000000001" customHeight="1">
      <c r="B3738" s="8" t="s">
        <v>7614</v>
      </c>
      <c r="C3738" s="8" t="s">
        <v>7615</v>
      </c>
      <c r="D3738" s="8" t="s">
        <v>7614</v>
      </c>
      <c r="E3738" s="20" t="e">
        <f t="array" ref="E3738">INDEX(C:C,SMALL(IF(ISNUMBER(FIND(CELL("contents"),$C$2:$C$4852)),ROW($C$2:$C$4852),4^8),ROW(C3738)))&amp;""</f>
        <v>#N/A</v>
      </c>
    </row>
    <row r="3739" ht="14.100000000000001" customHeight="1">
      <c r="B3739" s="8" t="s">
        <v>7616</v>
      </c>
      <c r="C3739" s="8" t="s">
        <v>7617</v>
      </c>
      <c r="D3739" s="8" t="s">
        <v>7616</v>
      </c>
      <c r="E3739" s="20" t="e">
        <f t="array" ref="E3739">INDEX(C:C,SMALL(IF(ISNUMBER(FIND(CELL("contents"),$C$2:$C$4852)),ROW($C$2:$C$4852),4^8),ROW(C3739)))&amp;""</f>
        <v>#N/A</v>
      </c>
    </row>
    <row r="3740" ht="14.100000000000001" customHeight="1">
      <c r="B3740" s="8" t="s">
        <v>7618</v>
      </c>
      <c r="C3740" s="8" t="s">
        <v>7619</v>
      </c>
      <c r="D3740" s="8" t="s">
        <v>7618</v>
      </c>
      <c r="E3740" s="20" t="e">
        <f t="array" ref="E3740">INDEX(C:C,SMALL(IF(ISNUMBER(FIND(CELL("contents"),$C$2:$C$4852)),ROW($C$2:$C$4852),4^8),ROW(C3740)))&amp;""</f>
        <v>#N/A</v>
      </c>
    </row>
    <row r="3741" ht="14.100000000000001" customHeight="1">
      <c r="B3741" s="8" t="s">
        <v>7620</v>
      </c>
      <c r="C3741" s="8" t="s">
        <v>7621</v>
      </c>
      <c r="D3741" s="8" t="s">
        <v>7620</v>
      </c>
      <c r="E3741" s="20" t="e">
        <f t="array" ref="E3741">INDEX(C:C,SMALL(IF(ISNUMBER(FIND(CELL("contents"),$C$2:$C$4852)),ROW($C$2:$C$4852),4^8),ROW(C3741)))&amp;""</f>
        <v>#N/A</v>
      </c>
    </row>
    <row r="3742" ht="14.100000000000001" customHeight="1">
      <c r="B3742" s="8" t="s">
        <v>7622</v>
      </c>
      <c r="C3742" s="8" t="s">
        <v>7623</v>
      </c>
      <c r="D3742" s="8" t="s">
        <v>7622</v>
      </c>
      <c r="E3742" s="20" t="e">
        <f t="array" ref="E3742">INDEX(C:C,SMALL(IF(ISNUMBER(FIND(CELL("contents"),$C$2:$C$4852)),ROW($C$2:$C$4852),4^8),ROW(C3742)))&amp;""</f>
        <v>#N/A</v>
      </c>
    </row>
    <row r="3743" ht="14.100000000000001" customHeight="1">
      <c r="B3743" s="8" t="s">
        <v>7624</v>
      </c>
      <c r="C3743" s="8" t="s">
        <v>7625</v>
      </c>
      <c r="D3743" s="8" t="s">
        <v>7624</v>
      </c>
      <c r="E3743" s="20" t="e">
        <f t="array" ref="E3743">INDEX(C:C,SMALL(IF(ISNUMBER(FIND(CELL("contents"),$C$2:$C$4852)),ROW($C$2:$C$4852),4^8),ROW(C3743)))&amp;""</f>
        <v>#N/A</v>
      </c>
    </row>
    <row r="3744" ht="14.100000000000001" customHeight="1">
      <c r="B3744" s="8" t="s">
        <v>7626</v>
      </c>
      <c r="C3744" s="8" t="s">
        <v>7627</v>
      </c>
      <c r="D3744" s="8" t="s">
        <v>7626</v>
      </c>
      <c r="E3744" s="20" t="e">
        <f t="array" ref="E3744">INDEX(C:C,SMALL(IF(ISNUMBER(FIND(CELL("contents"),$C$2:$C$4852)),ROW($C$2:$C$4852),4^8),ROW(C3744)))&amp;""</f>
        <v>#N/A</v>
      </c>
    </row>
    <row r="3745" ht="14.100000000000001" customHeight="1">
      <c r="B3745" s="8" t="s">
        <v>7628</v>
      </c>
      <c r="C3745" s="8" t="s">
        <v>7629</v>
      </c>
      <c r="D3745" s="8" t="s">
        <v>7628</v>
      </c>
      <c r="E3745" s="20" t="e">
        <f t="array" ref="E3745">INDEX(C:C,SMALL(IF(ISNUMBER(FIND(CELL("contents"),$C$2:$C$4852)),ROW($C$2:$C$4852),4^8),ROW(C3745)))&amp;""</f>
        <v>#N/A</v>
      </c>
    </row>
    <row r="3746" ht="14.100000000000001" customHeight="1">
      <c r="B3746" s="8" t="s">
        <v>7630</v>
      </c>
      <c r="C3746" s="8" t="s">
        <v>7631</v>
      </c>
      <c r="D3746" s="8" t="s">
        <v>7630</v>
      </c>
      <c r="E3746" s="20" t="e">
        <f t="array" ref="E3746">INDEX(C:C,SMALL(IF(ISNUMBER(FIND(CELL("contents"),$C$2:$C$4852)),ROW($C$2:$C$4852),4^8),ROW(C3746)))&amp;""</f>
        <v>#N/A</v>
      </c>
    </row>
    <row r="3747" ht="14.100000000000001" customHeight="1">
      <c r="B3747" s="8" t="s">
        <v>7632</v>
      </c>
      <c r="C3747" s="8" t="s">
        <v>7633</v>
      </c>
      <c r="D3747" s="8" t="s">
        <v>7632</v>
      </c>
      <c r="E3747" s="20" t="e">
        <f t="array" ref="E3747">INDEX(C:C,SMALL(IF(ISNUMBER(FIND(CELL("contents"),$C$2:$C$4852)),ROW($C$2:$C$4852),4^8),ROW(C3747)))&amp;""</f>
        <v>#N/A</v>
      </c>
    </row>
    <row r="3748" ht="14.100000000000001" customHeight="1">
      <c r="B3748" s="8" t="s">
        <v>7634</v>
      </c>
      <c r="C3748" s="8" t="s">
        <v>7635</v>
      </c>
      <c r="D3748" s="8" t="s">
        <v>7634</v>
      </c>
      <c r="E3748" s="20" t="e">
        <f t="array" ref="E3748">INDEX(C:C,SMALL(IF(ISNUMBER(FIND(CELL("contents"),$C$2:$C$4852)),ROW($C$2:$C$4852),4^8),ROW(C3748)))&amp;""</f>
        <v>#N/A</v>
      </c>
    </row>
    <row r="3749" ht="14.100000000000001" customHeight="1">
      <c r="B3749" s="8" t="s">
        <v>7636</v>
      </c>
      <c r="C3749" s="8" t="s">
        <v>7637</v>
      </c>
      <c r="D3749" s="8" t="s">
        <v>7636</v>
      </c>
      <c r="E3749" s="20" t="e">
        <f t="array" ref="E3749">INDEX(C:C,SMALL(IF(ISNUMBER(FIND(CELL("contents"),$C$2:$C$4852)),ROW($C$2:$C$4852),4^8),ROW(C3749)))&amp;""</f>
        <v>#N/A</v>
      </c>
    </row>
    <row r="3750" ht="14.100000000000001" customHeight="1">
      <c r="B3750" s="8" t="s">
        <v>7638</v>
      </c>
      <c r="C3750" s="8" t="s">
        <v>7639</v>
      </c>
      <c r="D3750" s="8" t="s">
        <v>7638</v>
      </c>
      <c r="E3750" s="20" t="e">
        <f t="array" ref="E3750">INDEX(C:C,SMALL(IF(ISNUMBER(FIND(CELL("contents"),$C$2:$C$4852)),ROW($C$2:$C$4852),4^8),ROW(C3750)))&amp;""</f>
        <v>#N/A</v>
      </c>
    </row>
    <row r="3751" ht="14.100000000000001" customHeight="1">
      <c r="B3751" s="8" t="s">
        <v>7640</v>
      </c>
      <c r="C3751" s="8" t="s">
        <v>7641</v>
      </c>
      <c r="D3751" s="8" t="s">
        <v>7640</v>
      </c>
      <c r="E3751" s="20" t="e">
        <f t="array" ref="E3751">INDEX(C:C,SMALL(IF(ISNUMBER(FIND(CELL("contents"),$C$2:$C$4852)),ROW($C$2:$C$4852),4^8),ROW(C3751)))&amp;""</f>
        <v>#N/A</v>
      </c>
    </row>
    <row r="3752" ht="14.100000000000001" customHeight="1">
      <c r="B3752" s="8" t="s">
        <v>7642</v>
      </c>
      <c r="C3752" s="8" t="s">
        <v>7643</v>
      </c>
      <c r="D3752" s="8" t="s">
        <v>7642</v>
      </c>
      <c r="E3752" s="20" t="e">
        <f t="array" ref="E3752">INDEX(C:C,SMALL(IF(ISNUMBER(FIND(CELL("contents"),$C$2:$C$4852)),ROW($C$2:$C$4852),4^8),ROW(C3752)))&amp;""</f>
        <v>#N/A</v>
      </c>
    </row>
    <row r="3753" ht="14.100000000000001" customHeight="1">
      <c r="B3753" s="8" t="s">
        <v>7644</v>
      </c>
      <c r="C3753" s="8" t="s">
        <v>7645</v>
      </c>
      <c r="D3753" s="8" t="s">
        <v>7644</v>
      </c>
      <c r="E3753" s="20" t="e">
        <f t="array" ref="E3753">INDEX(C:C,SMALL(IF(ISNUMBER(FIND(CELL("contents"),$C$2:$C$4852)),ROW($C$2:$C$4852),4^8),ROW(C3753)))&amp;""</f>
        <v>#N/A</v>
      </c>
    </row>
    <row r="3754" ht="14.100000000000001" customHeight="1">
      <c r="B3754" s="8" t="s">
        <v>7646</v>
      </c>
      <c r="C3754" s="8" t="s">
        <v>7647</v>
      </c>
      <c r="D3754" s="8" t="s">
        <v>7646</v>
      </c>
      <c r="E3754" s="20" t="e">
        <f t="array" ref="E3754">INDEX(C:C,SMALL(IF(ISNUMBER(FIND(CELL("contents"),$C$2:$C$4852)),ROW($C$2:$C$4852),4^8),ROW(C3754)))&amp;""</f>
        <v>#N/A</v>
      </c>
    </row>
    <row r="3755" ht="14.100000000000001" customHeight="1">
      <c r="B3755" s="8" t="s">
        <v>7648</v>
      </c>
      <c r="C3755" s="8" t="s">
        <v>7649</v>
      </c>
      <c r="D3755" s="8" t="s">
        <v>7648</v>
      </c>
      <c r="E3755" s="20" t="e">
        <f t="array" ref="E3755">INDEX(C:C,SMALL(IF(ISNUMBER(FIND(CELL("contents"),$C$2:$C$4852)),ROW($C$2:$C$4852),4^8),ROW(C3755)))&amp;""</f>
        <v>#N/A</v>
      </c>
    </row>
    <row r="3756" ht="14.100000000000001" customHeight="1">
      <c r="B3756" s="8" t="s">
        <v>7650</v>
      </c>
      <c r="C3756" s="8" t="s">
        <v>7651</v>
      </c>
      <c r="D3756" s="8" t="s">
        <v>7650</v>
      </c>
      <c r="E3756" s="20" t="e">
        <f t="array" ref="E3756">INDEX(C:C,SMALL(IF(ISNUMBER(FIND(CELL("contents"),$C$2:$C$4852)),ROW($C$2:$C$4852),4^8),ROW(C3756)))&amp;""</f>
        <v>#N/A</v>
      </c>
    </row>
    <row r="3757" ht="14.100000000000001" customHeight="1">
      <c r="B3757" s="8" t="s">
        <v>7652</v>
      </c>
      <c r="C3757" s="8" t="s">
        <v>7653</v>
      </c>
      <c r="D3757" s="8" t="s">
        <v>7652</v>
      </c>
      <c r="E3757" s="20" t="e">
        <f t="array" ref="E3757">INDEX(C:C,SMALL(IF(ISNUMBER(FIND(CELL("contents"),$C$2:$C$4852)),ROW($C$2:$C$4852),4^8),ROW(C3757)))&amp;""</f>
        <v>#N/A</v>
      </c>
    </row>
    <row r="3758" ht="14.100000000000001" customHeight="1">
      <c r="B3758" s="8" t="s">
        <v>7654</v>
      </c>
      <c r="C3758" s="8" t="s">
        <v>7655</v>
      </c>
      <c r="D3758" s="8" t="s">
        <v>7654</v>
      </c>
      <c r="E3758" s="20" t="e">
        <f t="array" ref="E3758">INDEX(C:C,SMALL(IF(ISNUMBER(FIND(CELL("contents"),$C$2:$C$4852)),ROW($C$2:$C$4852),4^8),ROW(C3758)))&amp;""</f>
        <v>#N/A</v>
      </c>
    </row>
    <row r="3759" ht="14.100000000000001" customHeight="1">
      <c r="B3759" s="8" t="s">
        <v>7656</v>
      </c>
      <c r="C3759" s="8" t="s">
        <v>7657</v>
      </c>
      <c r="D3759" s="8" t="s">
        <v>7656</v>
      </c>
      <c r="E3759" s="20" t="e">
        <f t="array" ref="E3759">INDEX(C:C,SMALL(IF(ISNUMBER(FIND(CELL("contents"),$C$2:$C$4852)),ROW($C$2:$C$4852),4^8),ROW(C3759)))&amp;""</f>
        <v>#N/A</v>
      </c>
    </row>
    <row r="3760" ht="14.100000000000001" customHeight="1">
      <c r="B3760" s="8" t="s">
        <v>7658</v>
      </c>
      <c r="C3760" s="8" t="s">
        <v>7659</v>
      </c>
      <c r="D3760" s="8" t="s">
        <v>7658</v>
      </c>
      <c r="E3760" s="20" t="e">
        <f t="array" ref="E3760">INDEX(C:C,SMALL(IF(ISNUMBER(FIND(CELL("contents"),$C$2:$C$4852)),ROW($C$2:$C$4852),4^8),ROW(C3760)))&amp;""</f>
        <v>#N/A</v>
      </c>
    </row>
    <row r="3761" ht="14.100000000000001" customHeight="1">
      <c r="B3761" s="8" t="s">
        <v>7660</v>
      </c>
      <c r="C3761" s="8" t="s">
        <v>7661</v>
      </c>
      <c r="D3761" s="8" t="s">
        <v>7660</v>
      </c>
      <c r="E3761" s="20" t="e">
        <f t="array" ref="E3761">INDEX(C:C,SMALL(IF(ISNUMBER(FIND(CELL("contents"),$C$2:$C$4852)),ROW($C$2:$C$4852),4^8),ROW(C3761)))&amp;""</f>
        <v>#N/A</v>
      </c>
    </row>
    <row r="3762" ht="14.100000000000001" customHeight="1">
      <c r="B3762" s="8" t="s">
        <v>7662</v>
      </c>
      <c r="C3762" s="8" t="s">
        <v>7663</v>
      </c>
      <c r="D3762" s="8" t="s">
        <v>7662</v>
      </c>
      <c r="E3762" s="20" t="e">
        <f t="array" ref="E3762">INDEX(C:C,SMALL(IF(ISNUMBER(FIND(CELL("contents"),$C$2:$C$4852)),ROW($C$2:$C$4852),4^8),ROW(C3762)))&amp;""</f>
        <v>#N/A</v>
      </c>
    </row>
    <row r="3763" ht="14.100000000000001" customHeight="1">
      <c r="B3763" s="8" t="s">
        <v>7664</v>
      </c>
      <c r="C3763" s="8" t="s">
        <v>7665</v>
      </c>
      <c r="D3763" s="8" t="s">
        <v>7664</v>
      </c>
      <c r="E3763" s="20" t="e">
        <f t="array" ref="E3763">INDEX(C:C,SMALL(IF(ISNUMBER(FIND(CELL("contents"),$C$2:$C$4852)),ROW($C$2:$C$4852),4^8),ROW(C3763)))&amp;""</f>
        <v>#N/A</v>
      </c>
    </row>
    <row r="3764" ht="14.100000000000001" customHeight="1">
      <c r="B3764" s="8" t="s">
        <v>7666</v>
      </c>
      <c r="C3764" s="8" t="s">
        <v>7667</v>
      </c>
      <c r="D3764" s="8" t="s">
        <v>7666</v>
      </c>
      <c r="E3764" s="20" t="e">
        <f t="array" ref="E3764">INDEX(C:C,SMALL(IF(ISNUMBER(FIND(CELL("contents"),$C$2:$C$4852)),ROW($C$2:$C$4852),4^8),ROW(C3764)))&amp;""</f>
        <v>#N/A</v>
      </c>
    </row>
    <row r="3765" ht="14.100000000000001" customHeight="1">
      <c r="B3765" s="8" t="s">
        <v>7668</v>
      </c>
      <c r="C3765" s="8" t="s">
        <v>7669</v>
      </c>
      <c r="D3765" s="8" t="s">
        <v>7668</v>
      </c>
      <c r="E3765" s="20" t="e">
        <f t="array" ref="E3765">INDEX(C:C,SMALL(IF(ISNUMBER(FIND(CELL("contents"),$C$2:$C$4852)),ROW($C$2:$C$4852),4^8),ROW(C3765)))&amp;""</f>
        <v>#N/A</v>
      </c>
    </row>
    <row r="3766" ht="14.100000000000001" customHeight="1">
      <c r="B3766" s="8" t="s">
        <v>7670</v>
      </c>
      <c r="C3766" s="8" t="s">
        <v>7671</v>
      </c>
      <c r="D3766" s="8" t="s">
        <v>7670</v>
      </c>
      <c r="E3766" s="20" t="e">
        <f t="array" ref="E3766">INDEX(C:C,SMALL(IF(ISNUMBER(FIND(CELL("contents"),$C$2:$C$4852)),ROW($C$2:$C$4852),4^8),ROW(C3766)))&amp;""</f>
        <v>#N/A</v>
      </c>
    </row>
    <row r="3767" ht="14.100000000000001" customHeight="1">
      <c r="B3767" s="8" t="s">
        <v>7672</v>
      </c>
      <c r="C3767" s="8" t="s">
        <v>7673</v>
      </c>
      <c r="D3767" s="8" t="s">
        <v>7672</v>
      </c>
      <c r="E3767" s="20" t="e">
        <f t="array" ref="E3767">INDEX(C:C,SMALL(IF(ISNUMBER(FIND(CELL("contents"),$C$2:$C$4852)),ROW($C$2:$C$4852),4^8),ROW(C3767)))&amp;""</f>
        <v>#N/A</v>
      </c>
    </row>
    <row r="3768" ht="14.100000000000001" customHeight="1">
      <c r="B3768" s="8" t="s">
        <v>7674</v>
      </c>
      <c r="C3768" s="8" t="s">
        <v>6106</v>
      </c>
      <c r="D3768" s="8" t="s">
        <v>7674</v>
      </c>
      <c r="E3768" s="20" t="e">
        <f t="array" ref="E3768">INDEX(C:C,SMALL(IF(ISNUMBER(FIND(CELL("contents"),$C$2:$C$4852)),ROW($C$2:$C$4852),4^8),ROW(C3768)))&amp;""</f>
        <v>#N/A</v>
      </c>
    </row>
    <row r="3769" ht="14.100000000000001" customHeight="1">
      <c r="B3769" s="8" t="s">
        <v>7675</v>
      </c>
      <c r="C3769" s="8" t="s">
        <v>7676</v>
      </c>
      <c r="D3769" s="8" t="s">
        <v>7675</v>
      </c>
      <c r="E3769" s="20" t="e">
        <f t="array" ref="E3769">INDEX(C:C,SMALL(IF(ISNUMBER(FIND(CELL("contents"),$C$2:$C$4852)),ROW($C$2:$C$4852),4^8),ROW(C3769)))&amp;""</f>
        <v>#N/A</v>
      </c>
    </row>
    <row r="3770" ht="14.100000000000001" customHeight="1">
      <c r="B3770" s="8" t="s">
        <v>7677</v>
      </c>
      <c r="C3770" s="8" t="s">
        <v>7678</v>
      </c>
      <c r="D3770" s="8" t="s">
        <v>7677</v>
      </c>
      <c r="E3770" s="20" t="e">
        <f t="array" ref="E3770">INDEX(C:C,SMALL(IF(ISNUMBER(FIND(CELL("contents"),$C$2:$C$4852)),ROW($C$2:$C$4852),4^8),ROW(C3770)))&amp;""</f>
        <v>#N/A</v>
      </c>
    </row>
    <row r="3771" ht="14.100000000000001" customHeight="1">
      <c r="B3771" s="8" t="s">
        <v>7679</v>
      </c>
      <c r="C3771" s="8" t="s">
        <v>7680</v>
      </c>
      <c r="D3771" s="8" t="s">
        <v>7679</v>
      </c>
      <c r="E3771" s="20" t="e">
        <f t="array" ref="E3771">INDEX(C:C,SMALL(IF(ISNUMBER(FIND(CELL("contents"),$C$2:$C$4852)),ROW($C$2:$C$4852),4^8),ROW(C3771)))&amp;""</f>
        <v>#N/A</v>
      </c>
    </row>
    <row r="3772" ht="14.100000000000001" customHeight="1">
      <c r="B3772" s="8" t="s">
        <v>7681</v>
      </c>
      <c r="C3772" s="8" t="s">
        <v>7682</v>
      </c>
      <c r="D3772" s="8" t="s">
        <v>7681</v>
      </c>
      <c r="E3772" s="20" t="e">
        <f t="array" ref="E3772">INDEX(C:C,SMALL(IF(ISNUMBER(FIND(CELL("contents"),$C$2:$C$4852)),ROW($C$2:$C$4852),4^8),ROW(C3772)))&amp;""</f>
        <v>#N/A</v>
      </c>
    </row>
    <row r="3773" ht="14.100000000000001" customHeight="1">
      <c r="B3773" s="8" t="s">
        <v>7683</v>
      </c>
      <c r="C3773" s="8" t="s">
        <v>7684</v>
      </c>
      <c r="D3773" s="8" t="s">
        <v>7683</v>
      </c>
      <c r="E3773" s="20" t="e">
        <f t="array" ref="E3773">INDEX(C:C,SMALL(IF(ISNUMBER(FIND(CELL("contents"),$C$2:$C$4852)),ROW($C$2:$C$4852),4^8),ROW(C3773)))&amp;""</f>
        <v>#N/A</v>
      </c>
    </row>
    <row r="3774" ht="14.100000000000001" customHeight="1">
      <c r="B3774" s="8" t="s">
        <v>7685</v>
      </c>
      <c r="C3774" s="8" t="s">
        <v>7686</v>
      </c>
      <c r="D3774" s="8" t="s">
        <v>7685</v>
      </c>
      <c r="E3774" s="20" t="e">
        <f t="array" ref="E3774">INDEX(C:C,SMALL(IF(ISNUMBER(FIND(CELL("contents"),$C$2:$C$4852)),ROW($C$2:$C$4852),4^8),ROW(C3774)))&amp;""</f>
        <v>#N/A</v>
      </c>
    </row>
    <row r="3775" ht="14.100000000000001" customHeight="1">
      <c r="B3775" s="8" t="s">
        <v>7687</v>
      </c>
      <c r="C3775" s="8" t="s">
        <v>7688</v>
      </c>
      <c r="D3775" s="8" t="s">
        <v>7687</v>
      </c>
      <c r="E3775" s="20" t="e">
        <f t="array" ref="E3775">INDEX(C:C,SMALL(IF(ISNUMBER(FIND(CELL("contents"),$C$2:$C$4852)),ROW($C$2:$C$4852),4^8),ROW(C3775)))&amp;""</f>
        <v>#N/A</v>
      </c>
    </row>
    <row r="3776" ht="14.100000000000001" customHeight="1">
      <c r="B3776" s="8" t="s">
        <v>7689</v>
      </c>
      <c r="C3776" s="8" t="s">
        <v>7690</v>
      </c>
      <c r="D3776" s="8" t="s">
        <v>7689</v>
      </c>
      <c r="E3776" s="20" t="e">
        <f t="array" ref="E3776">INDEX(C:C,SMALL(IF(ISNUMBER(FIND(CELL("contents"),$C$2:$C$4852)),ROW($C$2:$C$4852),4^8),ROW(C3776)))&amp;""</f>
        <v>#N/A</v>
      </c>
    </row>
    <row r="3777" ht="14.100000000000001" customHeight="1">
      <c r="B3777" s="8" t="s">
        <v>7691</v>
      </c>
      <c r="C3777" s="8" t="s">
        <v>7692</v>
      </c>
      <c r="D3777" s="8" t="s">
        <v>7691</v>
      </c>
      <c r="E3777" s="20" t="e">
        <f t="array" ref="E3777">INDEX(C:C,SMALL(IF(ISNUMBER(FIND(CELL("contents"),$C$2:$C$4852)),ROW($C$2:$C$4852),4^8),ROW(C3777)))&amp;""</f>
        <v>#N/A</v>
      </c>
    </row>
    <row r="3778" ht="14.100000000000001" customHeight="1">
      <c r="B3778" s="8" t="s">
        <v>7693</v>
      </c>
      <c r="C3778" s="8" t="s">
        <v>7694</v>
      </c>
      <c r="D3778" s="8" t="s">
        <v>7693</v>
      </c>
      <c r="E3778" s="20" t="e">
        <f t="array" ref="E3778">INDEX(C:C,SMALL(IF(ISNUMBER(FIND(CELL("contents"),$C$2:$C$4852)),ROW($C$2:$C$4852),4^8),ROW(C3778)))&amp;""</f>
        <v>#N/A</v>
      </c>
    </row>
    <row r="3779" ht="14.100000000000001" customHeight="1">
      <c r="B3779" s="8" t="s">
        <v>7695</v>
      </c>
      <c r="C3779" s="8" t="s">
        <v>7696</v>
      </c>
      <c r="D3779" s="8" t="s">
        <v>7695</v>
      </c>
      <c r="E3779" s="20" t="e">
        <f t="array" ref="E3779">INDEX(C:C,SMALL(IF(ISNUMBER(FIND(CELL("contents"),$C$2:$C$4852)),ROW($C$2:$C$4852),4^8),ROW(C3779)))&amp;""</f>
        <v>#N/A</v>
      </c>
    </row>
    <row r="3780" ht="14.100000000000001" customHeight="1">
      <c r="B3780" s="8" t="s">
        <v>7697</v>
      </c>
      <c r="C3780" s="8" t="s">
        <v>7698</v>
      </c>
      <c r="D3780" s="8" t="s">
        <v>7697</v>
      </c>
      <c r="E3780" s="20" t="e">
        <f t="array" ref="E3780">INDEX(C:C,SMALL(IF(ISNUMBER(FIND(CELL("contents"),$C$2:$C$4852)),ROW($C$2:$C$4852),4^8),ROW(C3780)))&amp;""</f>
        <v>#N/A</v>
      </c>
    </row>
    <row r="3781" ht="14.100000000000001" customHeight="1">
      <c r="B3781" s="8" t="s">
        <v>7699</v>
      </c>
      <c r="C3781" s="8" t="s">
        <v>7700</v>
      </c>
      <c r="D3781" s="8" t="s">
        <v>7699</v>
      </c>
      <c r="E3781" s="20" t="e">
        <f t="array" ref="E3781">INDEX(C:C,SMALL(IF(ISNUMBER(FIND(CELL("contents"),$C$2:$C$4852)),ROW($C$2:$C$4852),4^8),ROW(C3781)))&amp;""</f>
        <v>#N/A</v>
      </c>
    </row>
    <row r="3782" ht="14.100000000000001" customHeight="1">
      <c r="B3782" s="8" t="s">
        <v>7701</v>
      </c>
      <c r="C3782" s="8" t="s">
        <v>7702</v>
      </c>
      <c r="D3782" s="8" t="s">
        <v>7701</v>
      </c>
      <c r="E3782" s="20" t="e">
        <f t="array" ref="E3782">INDEX(C:C,SMALL(IF(ISNUMBER(FIND(CELL("contents"),$C$2:$C$4852)),ROW($C$2:$C$4852),4^8),ROW(C3782)))&amp;""</f>
        <v>#N/A</v>
      </c>
    </row>
    <row r="3783" ht="14.100000000000001" customHeight="1">
      <c r="B3783" s="8" t="s">
        <v>7703</v>
      </c>
      <c r="C3783" s="8" t="s">
        <v>7704</v>
      </c>
      <c r="D3783" s="8" t="s">
        <v>7703</v>
      </c>
      <c r="E3783" s="20" t="e">
        <f t="array" ref="E3783">INDEX(C:C,SMALL(IF(ISNUMBER(FIND(CELL("contents"),$C$2:$C$4852)),ROW($C$2:$C$4852),4^8),ROW(C3783)))&amp;""</f>
        <v>#N/A</v>
      </c>
    </row>
    <row r="3784" ht="14.100000000000001" customHeight="1">
      <c r="B3784" s="8" t="s">
        <v>7705</v>
      </c>
      <c r="C3784" s="8" t="s">
        <v>7706</v>
      </c>
      <c r="D3784" s="8" t="s">
        <v>7705</v>
      </c>
      <c r="E3784" s="20" t="e">
        <f t="array" ref="E3784">INDEX(C:C,SMALL(IF(ISNUMBER(FIND(CELL("contents"),$C$2:$C$4852)),ROW($C$2:$C$4852),4^8),ROW(C3784)))&amp;""</f>
        <v>#N/A</v>
      </c>
    </row>
    <row r="3785" ht="14.100000000000001" customHeight="1">
      <c r="B3785" s="8" t="s">
        <v>7707</v>
      </c>
      <c r="C3785" s="8" t="s">
        <v>7708</v>
      </c>
      <c r="D3785" s="8" t="s">
        <v>7707</v>
      </c>
      <c r="E3785" s="20" t="e">
        <f t="array" ref="E3785">INDEX(C:C,SMALL(IF(ISNUMBER(FIND(CELL("contents"),$C$2:$C$4852)),ROW($C$2:$C$4852),4^8),ROW(C3785)))&amp;""</f>
        <v>#N/A</v>
      </c>
    </row>
    <row r="3786" ht="14.100000000000001" customHeight="1">
      <c r="B3786" s="8" t="s">
        <v>7709</v>
      </c>
      <c r="C3786" s="8" t="s">
        <v>7710</v>
      </c>
      <c r="D3786" s="8" t="s">
        <v>7709</v>
      </c>
      <c r="E3786" s="20" t="e">
        <f t="array" ref="E3786">INDEX(C:C,SMALL(IF(ISNUMBER(FIND(CELL("contents"),$C$2:$C$4852)),ROW($C$2:$C$4852),4^8),ROW(C3786)))&amp;""</f>
        <v>#N/A</v>
      </c>
    </row>
    <row r="3787" ht="14.100000000000001" customHeight="1">
      <c r="B3787" s="8" t="s">
        <v>7711</v>
      </c>
      <c r="C3787" s="8" t="s">
        <v>7712</v>
      </c>
      <c r="D3787" s="8" t="s">
        <v>7711</v>
      </c>
      <c r="E3787" s="20" t="e">
        <f t="array" ref="E3787">INDEX(C:C,SMALL(IF(ISNUMBER(FIND(CELL("contents"),$C$2:$C$4852)),ROW($C$2:$C$4852),4^8),ROW(C3787)))&amp;""</f>
        <v>#N/A</v>
      </c>
    </row>
    <row r="3788" ht="14.100000000000001" customHeight="1">
      <c r="B3788" s="8" t="s">
        <v>7713</v>
      </c>
      <c r="C3788" s="8" t="s">
        <v>7714</v>
      </c>
      <c r="D3788" s="8" t="s">
        <v>7713</v>
      </c>
      <c r="E3788" s="20" t="e">
        <f t="array" ref="E3788">INDEX(C:C,SMALL(IF(ISNUMBER(FIND(CELL("contents"),$C$2:$C$4852)),ROW($C$2:$C$4852),4^8),ROW(C3788)))&amp;""</f>
        <v>#N/A</v>
      </c>
    </row>
    <row r="3789" ht="14.100000000000001" customHeight="1">
      <c r="B3789" s="8" t="s">
        <v>7715</v>
      </c>
      <c r="C3789" s="8" t="s">
        <v>7716</v>
      </c>
      <c r="D3789" s="8" t="s">
        <v>7715</v>
      </c>
      <c r="E3789" s="20" t="e">
        <f t="array" ref="E3789">INDEX(C:C,SMALL(IF(ISNUMBER(FIND(CELL("contents"),$C$2:$C$4852)),ROW($C$2:$C$4852),4^8),ROW(C3789)))&amp;""</f>
        <v>#N/A</v>
      </c>
    </row>
    <row r="3790" ht="14.100000000000001" customHeight="1">
      <c r="B3790" s="8" t="s">
        <v>7717</v>
      </c>
      <c r="C3790" s="8" t="s">
        <v>7718</v>
      </c>
      <c r="D3790" s="8" t="s">
        <v>7717</v>
      </c>
      <c r="E3790" s="20" t="e">
        <f t="array" ref="E3790">INDEX(C:C,SMALL(IF(ISNUMBER(FIND(CELL("contents"),$C$2:$C$4852)),ROW($C$2:$C$4852),4^8),ROW(C3790)))&amp;""</f>
        <v>#N/A</v>
      </c>
    </row>
    <row r="3791" ht="14.100000000000001" customHeight="1">
      <c r="B3791" s="8" t="s">
        <v>7719</v>
      </c>
      <c r="C3791" s="8" t="s">
        <v>7720</v>
      </c>
      <c r="D3791" s="8" t="s">
        <v>7719</v>
      </c>
      <c r="E3791" s="20" t="e">
        <f t="array" ref="E3791">INDEX(C:C,SMALL(IF(ISNUMBER(FIND(CELL("contents"),$C$2:$C$4852)),ROW($C$2:$C$4852),4^8),ROW(C3791)))&amp;""</f>
        <v>#N/A</v>
      </c>
    </row>
    <row r="3792" ht="14.100000000000001" customHeight="1">
      <c r="B3792" s="8" t="s">
        <v>7721</v>
      </c>
      <c r="C3792" s="8" t="s">
        <v>7722</v>
      </c>
      <c r="D3792" s="8" t="s">
        <v>7721</v>
      </c>
      <c r="E3792" s="20" t="e">
        <f t="array" ref="E3792">INDEX(C:C,SMALL(IF(ISNUMBER(FIND(CELL("contents"),$C$2:$C$4852)),ROW($C$2:$C$4852),4^8),ROW(C3792)))&amp;""</f>
        <v>#N/A</v>
      </c>
    </row>
    <row r="3793" ht="14.100000000000001" customHeight="1">
      <c r="B3793" s="8" t="s">
        <v>7723</v>
      </c>
      <c r="C3793" s="8" t="s">
        <v>7724</v>
      </c>
      <c r="D3793" s="8" t="s">
        <v>7723</v>
      </c>
      <c r="E3793" s="20" t="e">
        <f t="array" ref="E3793">INDEX(C:C,SMALL(IF(ISNUMBER(FIND(CELL("contents"),$C$2:$C$4852)),ROW($C$2:$C$4852),4^8),ROW(C3793)))&amp;""</f>
        <v>#N/A</v>
      </c>
    </row>
    <row r="3794" ht="14.100000000000001" customHeight="1">
      <c r="B3794" s="8" t="s">
        <v>7725</v>
      </c>
      <c r="C3794" s="8" t="s">
        <v>7726</v>
      </c>
      <c r="D3794" s="8" t="s">
        <v>7725</v>
      </c>
      <c r="E3794" s="20" t="e">
        <f t="array" ref="E3794">INDEX(C:C,SMALL(IF(ISNUMBER(FIND(CELL("contents"),$C$2:$C$4852)),ROW($C$2:$C$4852),4^8),ROW(C3794)))&amp;""</f>
        <v>#N/A</v>
      </c>
    </row>
    <row r="3795" ht="14.100000000000001" customHeight="1">
      <c r="B3795" s="8" t="s">
        <v>7727</v>
      </c>
      <c r="C3795" s="8" t="s">
        <v>7728</v>
      </c>
      <c r="D3795" s="8" t="s">
        <v>7727</v>
      </c>
      <c r="E3795" s="20" t="e">
        <f t="array" ref="E3795">INDEX(C:C,SMALL(IF(ISNUMBER(FIND(CELL("contents"),$C$2:$C$4852)),ROW($C$2:$C$4852),4^8),ROW(C3795)))&amp;""</f>
        <v>#N/A</v>
      </c>
    </row>
    <row r="3796" ht="14.100000000000001" customHeight="1">
      <c r="B3796" s="8" t="s">
        <v>7729</v>
      </c>
      <c r="C3796" s="8" t="s">
        <v>7730</v>
      </c>
      <c r="D3796" s="8" t="s">
        <v>7729</v>
      </c>
      <c r="E3796" s="20" t="e">
        <f t="array" ref="E3796">INDEX(C:C,SMALL(IF(ISNUMBER(FIND(CELL("contents"),$C$2:$C$4852)),ROW($C$2:$C$4852),4^8),ROW(C3796)))&amp;""</f>
        <v>#N/A</v>
      </c>
    </row>
    <row r="3797" ht="14.100000000000001" customHeight="1">
      <c r="B3797" s="8" t="s">
        <v>7731</v>
      </c>
      <c r="C3797" s="8" t="s">
        <v>7732</v>
      </c>
      <c r="D3797" s="8" t="s">
        <v>7731</v>
      </c>
      <c r="E3797" s="20" t="e">
        <f t="array" ref="E3797">INDEX(C:C,SMALL(IF(ISNUMBER(FIND(CELL("contents"),$C$2:$C$4852)),ROW($C$2:$C$4852),4^8),ROW(C3797)))&amp;""</f>
        <v>#N/A</v>
      </c>
    </row>
    <row r="3798" ht="14.100000000000001" customHeight="1">
      <c r="B3798" s="8" t="s">
        <v>7733</v>
      </c>
      <c r="C3798" s="8" t="s">
        <v>7734</v>
      </c>
      <c r="D3798" s="8" t="s">
        <v>7733</v>
      </c>
      <c r="E3798" s="20" t="e">
        <f t="array" ref="E3798">INDEX(C:C,SMALL(IF(ISNUMBER(FIND(CELL("contents"),$C$2:$C$4852)),ROW($C$2:$C$4852),4^8),ROW(C3798)))&amp;""</f>
        <v>#N/A</v>
      </c>
    </row>
    <row r="3799" ht="14.100000000000001" customHeight="1">
      <c r="B3799" s="8" t="s">
        <v>7735</v>
      </c>
      <c r="C3799" s="8" t="s">
        <v>7736</v>
      </c>
      <c r="D3799" s="8" t="s">
        <v>7735</v>
      </c>
      <c r="E3799" s="20" t="e">
        <f t="array" ref="E3799">INDEX(C:C,SMALL(IF(ISNUMBER(FIND(CELL("contents"),$C$2:$C$4852)),ROW($C$2:$C$4852),4^8),ROW(C3799)))&amp;""</f>
        <v>#N/A</v>
      </c>
    </row>
    <row r="3800" ht="14.100000000000001" customHeight="1">
      <c r="B3800" s="8" t="s">
        <v>7737</v>
      </c>
      <c r="C3800" s="8" t="s">
        <v>7738</v>
      </c>
      <c r="D3800" s="8" t="s">
        <v>7737</v>
      </c>
      <c r="E3800" s="20" t="e">
        <f t="array" ref="E3800">INDEX(C:C,SMALL(IF(ISNUMBER(FIND(CELL("contents"),$C$2:$C$4852)),ROW($C$2:$C$4852),4^8),ROW(C3800)))&amp;""</f>
        <v>#N/A</v>
      </c>
    </row>
    <row r="3801" ht="14.100000000000001" customHeight="1">
      <c r="B3801" s="8" t="s">
        <v>7739</v>
      </c>
      <c r="C3801" s="8" t="s">
        <v>7740</v>
      </c>
      <c r="D3801" s="8" t="s">
        <v>7739</v>
      </c>
      <c r="E3801" s="20" t="e">
        <f t="array" ref="E3801">INDEX(C:C,SMALL(IF(ISNUMBER(FIND(CELL("contents"),$C$2:$C$4852)),ROW($C$2:$C$4852),4^8),ROW(C3801)))&amp;""</f>
        <v>#N/A</v>
      </c>
    </row>
    <row r="3802" ht="14.100000000000001" customHeight="1">
      <c r="B3802" s="8" t="s">
        <v>7741</v>
      </c>
      <c r="C3802" s="8" t="s">
        <v>7742</v>
      </c>
      <c r="D3802" s="8" t="s">
        <v>7741</v>
      </c>
      <c r="E3802" s="20" t="e">
        <f t="array" ref="E3802">INDEX(C:C,SMALL(IF(ISNUMBER(FIND(CELL("contents"),$C$2:$C$4852)),ROW($C$2:$C$4852),4^8),ROW(C3802)))&amp;""</f>
        <v>#N/A</v>
      </c>
    </row>
    <row r="3803" ht="14.100000000000001" customHeight="1">
      <c r="B3803" s="8" t="s">
        <v>7743</v>
      </c>
      <c r="C3803" s="8" t="s">
        <v>7744</v>
      </c>
      <c r="D3803" s="8" t="s">
        <v>7743</v>
      </c>
      <c r="E3803" s="20" t="e">
        <f t="array" ref="E3803">INDEX(C:C,SMALL(IF(ISNUMBER(FIND(CELL("contents"),$C$2:$C$4852)),ROW($C$2:$C$4852),4^8),ROW(C3803)))&amp;""</f>
        <v>#N/A</v>
      </c>
    </row>
    <row r="3804" ht="14.100000000000001" customHeight="1">
      <c r="B3804" s="8" t="s">
        <v>7745</v>
      </c>
      <c r="C3804" s="8" t="s">
        <v>7746</v>
      </c>
      <c r="D3804" s="8" t="s">
        <v>7745</v>
      </c>
      <c r="E3804" s="20" t="e">
        <f t="array" ref="E3804">INDEX(C:C,SMALL(IF(ISNUMBER(FIND(CELL("contents"),$C$2:$C$4852)),ROW($C$2:$C$4852),4^8),ROW(C3804)))&amp;""</f>
        <v>#N/A</v>
      </c>
    </row>
    <row r="3805" ht="14.100000000000001" customHeight="1">
      <c r="B3805" s="8" t="s">
        <v>7747</v>
      </c>
      <c r="C3805" s="8" t="s">
        <v>7748</v>
      </c>
      <c r="D3805" s="8" t="s">
        <v>7747</v>
      </c>
      <c r="E3805" s="20" t="e">
        <f t="array" ref="E3805">INDEX(C:C,SMALL(IF(ISNUMBER(FIND(CELL("contents"),$C$2:$C$4852)),ROW($C$2:$C$4852),4^8),ROW(C3805)))&amp;""</f>
        <v>#N/A</v>
      </c>
    </row>
    <row r="3806" ht="14.100000000000001" customHeight="1">
      <c r="B3806" s="8" t="s">
        <v>7749</v>
      </c>
      <c r="C3806" s="8" t="s">
        <v>7750</v>
      </c>
      <c r="D3806" s="8" t="s">
        <v>7749</v>
      </c>
      <c r="E3806" s="20" t="e">
        <f t="array" ref="E3806">INDEX(C:C,SMALL(IF(ISNUMBER(FIND(CELL("contents"),$C$2:$C$4852)),ROW($C$2:$C$4852),4^8),ROW(C3806)))&amp;""</f>
        <v>#N/A</v>
      </c>
    </row>
    <row r="3807" ht="14.100000000000001" customHeight="1">
      <c r="B3807" s="8" t="s">
        <v>7751</v>
      </c>
      <c r="C3807" s="8" t="s">
        <v>7752</v>
      </c>
      <c r="D3807" s="8" t="s">
        <v>7751</v>
      </c>
      <c r="E3807" s="20" t="e">
        <f t="array" ref="E3807">INDEX(C:C,SMALL(IF(ISNUMBER(FIND(CELL("contents"),$C$2:$C$4852)),ROW($C$2:$C$4852),4^8),ROW(C3807)))&amp;""</f>
        <v>#N/A</v>
      </c>
    </row>
    <row r="3808" ht="14.100000000000001" customHeight="1">
      <c r="B3808" s="8" t="s">
        <v>7753</v>
      </c>
      <c r="C3808" s="8" t="s">
        <v>7754</v>
      </c>
      <c r="D3808" s="8" t="s">
        <v>7753</v>
      </c>
      <c r="E3808" s="20" t="e">
        <f t="array" ref="E3808">INDEX(C:C,SMALL(IF(ISNUMBER(FIND(CELL("contents"),$C$2:$C$4852)),ROW($C$2:$C$4852),4^8),ROW(C3808)))&amp;""</f>
        <v>#N/A</v>
      </c>
    </row>
    <row r="3809" ht="14.100000000000001" customHeight="1">
      <c r="B3809" s="8" t="s">
        <v>7755</v>
      </c>
      <c r="C3809" s="8" t="s">
        <v>7756</v>
      </c>
      <c r="D3809" s="8" t="s">
        <v>7755</v>
      </c>
      <c r="E3809" s="20" t="e">
        <f t="array" ref="E3809">INDEX(C:C,SMALL(IF(ISNUMBER(FIND(CELL("contents"),$C$2:$C$4852)),ROW($C$2:$C$4852),4^8),ROW(C3809)))&amp;""</f>
        <v>#N/A</v>
      </c>
    </row>
    <row r="3810" ht="14.100000000000001" customHeight="1">
      <c r="B3810" s="8" t="s">
        <v>7757</v>
      </c>
      <c r="C3810" s="8" t="s">
        <v>7758</v>
      </c>
      <c r="D3810" s="8" t="s">
        <v>7757</v>
      </c>
      <c r="E3810" s="20" t="e">
        <f t="array" ref="E3810">INDEX(C:C,SMALL(IF(ISNUMBER(FIND(CELL("contents"),$C$2:$C$4852)),ROW($C$2:$C$4852),4^8),ROW(C3810)))&amp;""</f>
        <v>#N/A</v>
      </c>
    </row>
    <row r="3811" ht="14.100000000000001" customHeight="1">
      <c r="B3811" s="8" t="s">
        <v>7759</v>
      </c>
      <c r="C3811" s="8" t="s">
        <v>7760</v>
      </c>
      <c r="D3811" s="8" t="s">
        <v>7759</v>
      </c>
      <c r="E3811" s="20" t="e">
        <f t="array" ref="E3811">INDEX(C:C,SMALL(IF(ISNUMBER(FIND(CELL("contents"),$C$2:$C$4852)),ROW($C$2:$C$4852),4^8),ROW(C3811)))&amp;""</f>
        <v>#N/A</v>
      </c>
    </row>
    <row r="3812" ht="14.100000000000001" customHeight="1">
      <c r="B3812" s="19" t="s">
        <v>7761</v>
      </c>
      <c r="C3812" s="19" t="s">
        <v>7762</v>
      </c>
      <c r="D3812" s="19" t="s">
        <v>7761</v>
      </c>
      <c r="E3812" s="20" t="e">
        <f t="array" ref="E3812">INDEX(C:C,SMALL(IF(ISNUMBER(FIND(CELL("contents"),$C$2:$C$4852)),ROW($C$2:$C$4852),4^8),ROW(C3812)))&amp;""</f>
        <v>#N/A</v>
      </c>
    </row>
    <row r="3813" ht="14.100000000000001" customHeight="1">
      <c r="B3813" s="19" t="s">
        <v>7763</v>
      </c>
      <c r="C3813" s="19" t="s">
        <v>7764</v>
      </c>
      <c r="D3813" s="19" t="s">
        <v>7763</v>
      </c>
      <c r="E3813" s="20" t="e">
        <f t="array" ref="E3813">INDEX(C:C,SMALL(IF(ISNUMBER(FIND(CELL("contents"),$C$2:$C$4852)),ROW($C$2:$C$4852),4^8),ROW(C3813)))&amp;""</f>
        <v>#N/A</v>
      </c>
    </row>
    <row r="3814" ht="14.100000000000001" customHeight="1">
      <c r="B3814" s="19" t="s">
        <v>7765</v>
      </c>
      <c r="C3814" s="19" t="s">
        <v>7766</v>
      </c>
      <c r="D3814" s="19" t="s">
        <v>7765</v>
      </c>
      <c r="E3814" s="20" t="e">
        <f t="array" ref="E3814">INDEX(C:C,SMALL(IF(ISNUMBER(FIND(CELL("contents"),$C$2:$C$4852)),ROW($C$2:$C$4852),4^8),ROW(C3814)))&amp;""</f>
        <v>#N/A</v>
      </c>
    </row>
    <row r="3815" ht="14.100000000000001" customHeight="1">
      <c r="B3815" s="19" t="s">
        <v>7767</v>
      </c>
      <c r="C3815" s="19" t="s">
        <v>7768</v>
      </c>
      <c r="D3815" s="19" t="s">
        <v>7767</v>
      </c>
      <c r="E3815" s="20" t="e">
        <f t="array" ref="E3815">INDEX(C:C,SMALL(IF(ISNUMBER(FIND(CELL("contents"),$C$2:$C$4852)),ROW($C$2:$C$4852),4^8),ROW(C3815)))&amp;""</f>
        <v>#N/A</v>
      </c>
    </row>
    <row r="3816" ht="14.100000000000001" customHeight="1">
      <c r="B3816" s="19" t="s">
        <v>7769</v>
      </c>
      <c r="C3816" s="19" t="s">
        <v>7770</v>
      </c>
      <c r="D3816" s="19" t="s">
        <v>7769</v>
      </c>
      <c r="E3816" s="20" t="e">
        <f t="array" ref="E3816">INDEX(C:C,SMALL(IF(ISNUMBER(FIND(CELL("contents"),$C$2:$C$4852)),ROW($C$2:$C$4852),4^8),ROW(C3816)))&amp;""</f>
        <v>#N/A</v>
      </c>
    </row>
    <row r="3817" ht="14.100000000000001" customHeight="1">
      <c r="B3817" s="19" t="s">
        <v>7771</v>
      </c>
      <c r="C3817" s="19" t="s">
        <v>7772</v>
      </c>
      <c r="D3817" s="19" t="s">
        <v>7771</v>
      </c>
      <c r="E3817" s="20" t="e">
        <f t="array" ref="E3817">INDEX(C:C,SMALL(IF(ISNUMBER(FIND(CELL("contents"),$C$2:$C$4852)),ROW($C$2:$C$4852),4^8),ROW(C3817)))&amp;""</f>
        <v>#N/A</v>
      </c>
    </row>
    <row r="3818" ht="14.100000000000001" customHeight="1">
      <c r="B3818" s="19" t="s">
        <v>7773</v>
      </c>
      <c r="C3818" s="19" t="s">
        <v>7774</v>
      </c>
      <c r="D3818" s="19" t="s">
        <v>7773</v>
      </c>
      <c r="E3818" s="20" t="e">
        <f t="array" ref="E3818">INDEX(C:C,SMALL(IF(ISNUMBER(FIND(CELL("contents"),$C$2:$C$4852)),ROW($C$2:$C$4852),4^8),ROW(C3818)))&amp;""</f>
        <v>#N/A</v>
      </c>
    </row>
    <row r="3819" ht="14.100000000000001" customHeight="1">
      <c r="B3819" s="19" t="s">
        <v>7775</v>
      </c>
      <c r="C3819" s="19" t="s">
        <v>7776</v>
      </c>
      <c r="D3819" s="19" t="s">
        <v>7775</v>
      </c>
      <c r="E3819" s="20" t="e">
        <f t="array" ref="E3819">INDEX(C:C,SMALL(IF(ISNUMBER(FIND(CELL("contents"),$C$2:$C$4852)),ROW($C$2:$C$4852),4^8),ROW(C3819)))&amp;""</f>
        <v>#N/A</v>
      </c>
    </row>
    <row r="3820" ht="14.100000000000001" customHeight="1">
      <c r="B3820" s="19" t="s">
        <v>7777</v>
      </c>
      <c r="C3820" s="19" t="s">
        <v>7778</v>
      </c>
      <c r="D3820" s="19" t="s">
        <v>7777</v>
      </c>
      <c r="E3820" s="20" t="e">
        <f t="array" ref="E3820">INDEX(C:C,SMALL(IF(ISNUMBER(FIND(CELL("contents"),$C$2:$C$4852)),ROW($C$2:$C$4852),4^8),ROW(C3820)))&amp;""</f>
        <v>#N/A</v>
      </c>
    </row>
    <row r="3821" ht="14.100000000000001" customHeight="1">
      <c r="B3821" s="19" t="s">
        <v>7779</v>
      </c>
      <c r="C3821" s="19" t="s">
        <v>7780</v>
      </c>
      <c r="D3821" s="19" t="s">
        <v>7779</v>
      </c>
      <c r="E3821" s="20" t="e">
        <f t="array" ref="E3821">INDEX(C:C,SMALL(IF(ISNUMBER(FIND(CELL("contents"),$C$2:$C$4852)),ROW($C$2:$C$4852),4^8),ROW(C3821)))&amp;""</f>
        <v>#N/A</v>
      </c>
    </row>
    <row r="3822" ht="14.100000000000001" customHeight="1">
      <c r="B3822" s="19" t="s">
        <v>7781</v>
      </c>
      <c r="C3822" s="19" t="s">
        <v>7782</v>
      </c>
      <c r="D3822" s="19" t="s">
        <v>7781</v>
      </c>
      <c r="E3822" s="20" t="e">
        <f t="array" ref="E3822">INDEX(C:C,SMALL(IF(ISNUMBER(FIND(CELL("contents"),$C$2:$C$4852)),ROW($C$2:$C$4852),4^8),ROW(C3822)))&amp;""</f>
        <v>#N/A</v>
      </c>
    </row>
    <row r="3823" ht="14.100000000000001" customHeight="1">
      <c r="B3823" s="19" t="s">
        <v>7783</v>
      </c>
      <c r="C3823" s="19" t="s">
        <v>7784</v>
      </c>
      <c r="D3823" s="19" t="s">
        <v>7783</v>
      </c>
      <c r="E3823" s="20" t="e">
        <f t="array" ref="E3823">INDEX(C:C,SMALL(IF(ISNUMBER(FIND(CELL("contents"),$C$2:$C$4852)),ROW($C$2:$C$4852),4^8),ROW(C3823)))&amp;""</f>
        <v>#N/A</v>
      </c>
    </row>
    <row r="3824" ht="14.100000000000001" customHeight="1">
      <c r="B3824" s="19" t="s">
        <v>7785</v>
      </c>
      <c r="C3824" s="19" t="s">
        <v>7786</v>
      </c>
      <c r="D3824" s="19" t="s">
        <v>7785</v>
      </c>
      <c r="E3824" s="20" t="e">
        <f t="array" ref="E3824">INDEX(C:C,SMALL(IF(ISNUMBER(FIND(CELL("contents"),$C$2:$C$4852)),ROW($C$2:$C$4852),4^8),ROW(C3824)))&amp;""</f>
        <v>#N/A</v>
      </c>
    </row>
    <row r="3825" ht="14.100000000000001" customHeight="1">
      <c r="B3825" s="19" t="s">
        <v>7787</v>
      </c>
      <c r="C3825" s="19" t="s">
        <v>7788</v>
      </c>
      <c r="D3825" s="19" t="s">
        <v>7787</v>
      </c>
      <c r="E3825" s="20" t="e">
        <f t="array" ref="E3825">INDEX(C:C,SMALL(IF(ISNUMBER(FIND(CELL("contents"),$C$2:$C$4852)),ROW($C$2:$C$4852),4^8),ROW(C3825)))&amp;""</f>
        <v>#N/A</v>
      </c>
    </row>
    <row r="3826" ht="14.100000000000001" customHeight="1">
      <c r="B3826" s="19" t="s">
        <v>7789</v>
      </c>
      <c r="C3826" s="19" t="s">
        <v>7790</v>
      </c>
      <c r="D3826" s="19" t="s">
        <v>7789</v>
      </c>
      <c r="E3826" s="20" t="e">
        <f t="array" ref="E3826">INDEX(C:C,SMALL(IF(ISNUMBER(FIND(CELL("contents"),$C$2:$C$4852)),ROW($C$2:$C$4852),4^8),ROW(C3826)))&amp;""</f>
        <v>#N/A</v>
      </c>
    </row>
    <row r="3827" ht="14.100000000000001" customHeight="1">
      <c r="B3827" s="19" t="s">
        <v>7791</v>
      </c>
      <c r="C3827" s="19" t="s">
        <v>7792</v>
      </c>
      <c r="D3827" s="19" t="s">
        <v>7791</v>
      </c>
      <c r="E3827" s="20" t="e">
        <f t="array" ref="E3827">INDEX(C:C,SMALL(IF(ISNUMBER(FIND(CELL("contents"),$C$2:$C$4852)),ROW($C$2:$C$4852),4^8),ROW(C3827)))&amp;""</f>
        <v>#N/A</v>
      </c>
    </row>
    <row r="3828" ht="14.100000000000001" customHeight="1">
      <c r="B3828" s="19" t="s">
        <v>7793</v>
      </c>
      <c r="C3828" s="19" t="s">
        <v>7794</v>
      </c>
      <c r="D3828" s="19" t="s">
        <v>7793</v>
      </c>
      <c r="E3828" s="20" t="e">
        <f t="array" ref="E3828">INDEX(C:C,SMALL(IF(ISNUMBER(FIND(CELL("contents"),$C$2:$C$4852)),ROW($C$2:$C$4852),4^8),ROW(C3828)))&amp;""</f>
        <v>#N/A</v>
      </c>
    </row>
    <row r="3829" ht="14.100000000000001" customHeight="1">
      <c r="B3829" s="19" t="s">
        <v>7795</v>
      </c>
      <c r="C3829" s="19" t="s">
        <v>7796</v>
      </c>
      <c r="D3829" s="19" t="s">
        <v>7795</v>
      </c>
      <c r="E3829" s="20" t="e">
        <f t="array" ref="E3829">INDEX(C:C,SMALL(IF(ISNUMBER(FIND(CELL("contents"),$C$2:$C$4852)),ROW($C$2:$C$4852),4^8),ROW(C3829)))&amp;""</f>
        <v>#N/A</v>
      </c>
    </row>
    <row r="3830" ht="14.100000000000001" customHeight="1">
      <c r="B3830" s="19" t="s">
        <v>7797</v>
      </c>
      <c r="C3830" s="19" t="s">
        <v>7798</v>
      </c>
      <c r="D3830" s="19" t="s">
        <v>7797</v>
      </c>
      <c r="E3830" s="20" t="e">
        <f t="array" ref="E3830">INDEX(C:C,SMALL(IF(ISNUMBER(FIND(CELL("contents"),$C$2:$C$4852)),ROW($C$2:$C$4852),4^8),ROW(C3830)))&amp;""</f>
        <v>#N/A</v>
      </c>
    </row>
    <row r="3831" ht="14.100000000000001" customHeight="1">
      <c r="B3831" s="19" t="s">
        <v>7799</v>
      </c>
      <c r="C3831" s="19" t="s">
        <v>7800</v>
      </c>
      <c r="D3831" s="19" t="s">
        <v>7799</v>
      </c>
      <c r="E3831" s="20" t="e">
        <f t="array" ref="E3831">INDEX(C:C,SMALL(IF(ISNUMBER(FIND(CELL("contents"),$C$2:$C$4852)),ROW($C$2:$C$4852),4^8),ROW(C3831)))&amp;""</f>
        <v>#N/A</v>
      </c>
    </row>
    <row r="3832" ht="14.100000000000001" customHeight="1">
      <c r="B3832" s="19" t="s">
        <v>7801</v>
      </c>
      <c r="C3832" s="19" t="s">
        <v>7802</v>
      </c>
      <c r="D3832" s="19" t="s">
        <v>7801</v>
      </c>
      <c r="E3832" s="20" t="e">
        <f t="array" ref="E3832">INDEX(C:C,SMALL(IF(ISNUMBER(FIND(CELL("contents"),$C$2:$C$4852)),ROW($C$2:$C$4852),4^8),ROW(C3832)))&amp;""</f>
        <v>#N/A</v>
      </c>
    </row>
    <row r="3833" ht="14.100000000000001" customHeight="1">
      <c r="B3833" s="19" t="s">
        <v>7803</v>
      </c>
      <c r="C3833" s="19" t="s">
        <v>7804</v>
      </c>
      <c r="D3833" s="19" t="s">
        <v>7803</v>
      </c>
      <c r="E3833" s="20" t="e">
        <f t="array" ref="E3833">INDEX(C:C,SMALL(IF(ISNUMBER(FIND(CELL("contents"),$C$2:$C$4852)),ROW($C$2:$C$4852),4^8),ROW(C3833)))&amp;""</f>
        <v>#N/A</v>
      </c>
    </row>
    <row r="3834" ht="14.100000000000001" customHeight="1">
      <c r="B3834" s="19" t="s">
        <v>7805</v>
      </c>
      <c r="C3834" s="19" t="s">
        <v>7806</v>
      </c>
      <c r="D3834" s="19" t="s">
        <v>7805</v>
      </c>
      <c r="E3834" s="20" t="e">
        <f t="array" ref="E3834">INDEX(C:C,SMALL(IF(ISNUMBER(FIND(CELL("contents"),$C$2:$C$4852)),ROW($C$2:$C$4852),4^8),ROW(C3834)))&amp;""</f>
        <v>#N/A</v>
      </c>
    </row>
    <row r="3835" ht="14.100000000000001" customHeight="1">
      <c r="B3835" s="19" t="s">
        <v>7807</v>
      </c>
      <c r="C3835" s="19" t="s">
        <v>7808</v>
      </c>
      <c r="D3835" s="19" t="s">
        <v>7807</v>
      </c>
      <c r="E3835" s="20" t="e">
        <f t="array" ref="E3835">INDEX(C:C,SMALL(IF(ISNUMBER(FIND(CELL("contents"),$C$2:$C$4852)),ROW($C$2:$C$4852),4^8),ROW(C3835)))&amp;""</f>
        <v>#N/A</v>
      </c>
    </row>
    <row r="3836" ht="14.100000000000001" customHeight="1">
      <c r="B3836" s="19" t="s">
        <v>7809</v>
      </c>
      <c r="C3836" s="19" t="s">
        <v>7810</v>
      </c>
      <c r="D3836" s="19" t="s">
        <v>7809</v>
      </c>
      <c r="E3836" s="20" t="e">
        <f t="array" ref="E3836">INDEX(C:C,SMALL(IF(ISNUMBER(FIND(CELL("contents"),$C$2:$C$4852)),ROW($C$2:$C$4852),4^8),ROW(C3836)))&amp;""</f>
        <v>#N/A</v>
      </c>
    </row>
    <row r="3837" ht="14.100000000000001" customHeight="1">
      <c r="B3837" s="19" t="s">
        <v>7811</v>
      </c>
      <c r="C3837" s="19" t="s">
        <v>7812</v>
      </c>
      <c r="D3837" s="19" t="s">
        <v>7811</v>
      </c>
      <c r="E3837" s="20" t="e">
        <f t="array" ref="E3837">INDEX(C:C,SMALL(IF(ISNUMBER(FIND(CELL("contents"),$C$2:$C$4852)),ROW($C$2:$C$4852),4^8),ROW(C3837)))&amp;""</f>
        <v>#N/A</v>
      </c>
    </row>
    <row r="3838" ht="14.100000000000001" customHeight="1">
      <c r="B3838" s="19" t="s">
        <v>7813</v>
      </c>
      <c r="C3838" s="19" t="s">
        <v>7814</v>
      </c>
      <c r="D3838" s="19" t="s">
        <v>7813</v>
      </c>
      <c r="E3838" s="20" t="e">
        <f t="array" ref="E3838">INDEX(C:C,SMALL(IF(ISNUMBER(FIND(CELL("contents"),$C$2:$C$4852)),ROW($C$2:$C$4852),4^8),ROW(C3838)))&amp;""</f>
        <v>#N/A</v>
      </c>
    </row>
    <row r="3839" ht="14.100000000000001" customHeight="1">
      <c r="B3839" s="19" t="s">
        <v>7815</v>
      </c>
      <c r="C3839" s="19" t="s">
        <v>7816</v>
      </c>
      <c r="D3839" s="19" t="s">
        <v>7815</v>
      </c>
      <c r="E3839" s="20" t="e">
        <f t="array" ref="E3839">INDEX(C:C,SMALL(IF(ISNUMBER(FIND(CELL("contents"),$C$2:$C$4852)),ROW($C$2:$C$4852),4^8),ROW(C3839)))&amp;""</f>
        <v>#N/A</v>
      </c>
    </row>
    <row r="3840" ht="14.100000000000001" customHeight="1">
      <c r="B3840" s="19" t="s">
        <v>7817</v>
      </c>
      <c r="C3840" s="19" t="s">
        <v>7818</v>
      </c>
      <c r="D3840" s="19" t="s">
        <v>7817</v>
      </c>
      <c r="E3840" s="20" t="e">
        <f t="array" ref="E3840">INDEX(C:C,SMALL(IF(ISNUMBER(FIND(CELL("contents"),$C$2:$C$4852)),ROW($C$2:$C$4852),4^8),ROW(C3840)))&amp;""</f>
        <v>#N/A</v>
      </c>
    </row>
    <row r="3841" ht="14.100000000000001" customHeight="1">
      <c r="B3841" s="19" t="s">
        <v>7819</v>
      </c>
      <c r="C3841" s="19" t="s">
        <v>7820</v>
      </c>
      <c r="D3841" s="19" t="s">
        <v>7819</v>
      </c>
      <c r="E3841" s="20" t="e">
        <f t="array" ref="E3841">INDEX(C:C,SMALL(IF(ISNUMBER(FIND(CELL("contents"),$C$2:$C$4852)),ROW($C$2:$C$4852),4^8),ROW(C3841)))&amp;""</f>
        <v>#N/A</v>
      </c>
    </row>
    <row r="3842" ht="14.100000000000001" customHeight="1">
      <c r="B3842" s="19" t="s">
        <v>7821</v>
      </c>
      <c r="C3842" s="19" t="s">
        <v>7822</v>
      </c>
      <c r="D3842" s="19" t="s">
        <v>7821</v>
      </c>
      <c r="E3842" s="20" t="e">
        <f t="array" ref="E3842">INDEX(C:C,SMALL(IF(ISNUMBER(FIND(CELL("contents"),$C$2:$C$4852)),ROW($C$2:$C$4852),4^8),ROW(C3842)))&amp;""</f>
        <v>#N/A</v>
      </c>
    </row>
    <row r="3843" ht="14.100000000000001" customHeight="1">
      <c r="B3843" s="19" t="s">
        <v>7823</v>
      </c>
      <c r="C3843" s="19" t="s">
        <v>7824</v>
      </c>
      <c r="D3843" s="19" t="s">
        <v>7823</v>
      </c>
      <c r="E3843" s="20" t="e">
        <f t="array" ref="E3843">INDEX(C:C,SMALL(IF(ISNUMBER(FIND(CELL("contents"),$C$2:$C$4852)),ROW($C$2:$C$4852),4^8),ROW(C3843)))&amp;""</f>
        <v>#N/A</v>
      </c>
    </row>
    <row r="3844" ht="14.100000000000001" customHeight="1">
      <c r="B3844" s="19" t="s">
        <v>7825</v>
      </c>
      <c r="C3844" s="19" t="s">
        <v>7826</v>
      </c>
      <c r="D3844" s="19" t="s">
        <v>7825</v>
      </c>
      <c r="E3844" s="20" t="e">
        <f t="array" ref="E3844">INDEX(C:C,SMALL(IF(ISNUMBER(FIND(CELL("contents"),$C$2:$C$4852)),ROW($C$2:$C$4852),4^8),ROW(C3844)))&amp;""</f>
        <v>#N/A</v>
      </c>
    </row>
    <row r="3845" ht="14.100000000000001" customHeight="1">
      <c r="B3845" s="19" t="s">
        <v>7827</v>
      </c>
      <c r="C3845" s="19" t="s">
        <v>7828</v>
      </c>
      <c r="D3845" s="19" t="s">
        <v>7827</v>
      </c>
      <c r="E3845" s="20" t="e">
        <f t="array" ref="E3845">INDEX(C:C,SMALL(IF(ISNUMBER(FIND(CELL("contents"),$C$2:$C$4852)),ROW($C$2:$C$4852),4^8),ROW(C3845)))&amp;""</f>
        <v>#N/A</v>
      </c>
    </row>
    <row r="3846" ht="14.100000000000001" customHeight="1">
      <c r="B3846" s="19" t="s">
        <v>7829</v>
      </c>
      <c r="C3846" s="19" t="s">
        <v>7830</v>
      </c>
      <c r="D3846" s="19" t="s">
        <v>7829</v>
      </c>
      <c r="E3846" s="20" t="e">
        <f t="array" ref="E3846">INDEX(C:C,SMALL(IF(ISNUMBER(FIND(CELL("contents"),$C$2:$C$4852)),ROW($C$2:$C$4852),4^8),ROW(C3846)))&amp;""</f>
        <v>#N/A</v>
      </c>
    </row>
    <row r="3847" ht="14.100000000000001" customHeight="1">
      <c r="B3847" s="19" t="s">
        <v>7831</v>
      </c>
      <c r="C3847" s="19" t="s">
        <v>7832</v>
      </c>
      <c r="D3847" s="19" t="s">
        <v>7831</v>
      </c>
      <c r="E3847" s="20" t="e">
        <f t="array" ref="E3847">INDEX(C:C,SMALL(IF(ISNUMBER(FIND(CELL("contents"),$C$2:$C$4852)),ROW($C$2:$C$4852),4^8),ROW(C3847)))&amp;""</f>
        <v>#N/A</v>
      </c>
    </row>
    <row r="3848" ht="14.100000000000001" customHeight="1">
      <c r="B3848" s="19" t="s">
        <v>7833</v>
      </c>
      <c r="C3848" s="19" t="s">
        <v>7834</v>
      </c>
      <c r="D3848" s="19" t="s">
        <v>7833</v>
      </c>
      <c r="E3848" s="20" t="e">
        <f t="array" ref="E3848">INDEX(C:C,SMALL(IF(ISNUMBER(FIND(CELL("contents"),$C$2:$C$4852)),ROW($C$2:$C$4852),4^8),ROW(C3848)))&amp;""</f>
        <v>#N/A</v>
      </c>
    </row>
    <row r="3849" ht="14.100000000000001" customHeight="1">
      <c r="B3849" s="19" t="s">
        <v>7835</v>
      </c>
      <c r="C3849" s="19" t="s">
        <v>7836</v>
      </c>
      <c r="D3849" s="19" t="s">
        <v>7835</v>
      </c>
      <c r="E3849" s="20" t="e">
        <f t="array" ref="E3849">INDEX(C:C,SMALL(IF(ISNUMBER(FIND(CELL("contents"),$C$2:$C$4852)),ROW($C$2:$C$4852),4^8),ROW(C3849)))&amp;""</f>
        <v>#N/A</v>
      </c>
    </row>
    <row r="3850" ht="14.100000000000001" customHeight="1">
      <c r="B3850" s="19" t="s">
        <v>7837</v>
      </c>
      <c r="C3850" s="19" t="s">
        <v>7838</v>
      </c>
      <c r="D3850" s="19" t="s">
        <v>7837</v>
      </c>
      <c r="E3850" s="20" t="e">
        <f t="array" ref="E3850">INDEX(C:C,SMALL(IF(ISNUMBER(FIND(CELL("contents"),$C$2:$C$4852)),ROW($C$2:$C$4852),4^8),ROW(C3850)))&amp;""</f>
        <v>#N/A</v>
      </c>
    </row>
    <row r="3851" ht="14.100000000000001" customHeight="1">
      <c r="B3851" s="19" t="s">
        <v>7839</v>
      </c>
      <c r="C3851" s="19" t="s">
        <v>7840</v>
      </c>
      <c r="D3851" s="19" t="s">
        <v>7839</v>
      </c>
      <c r="E3851" s="20" t="e">
        <f t="array" ref="E3851">INDEX(C:C,SMALL(IF(ISNUMBER(FIND(CELL("contents"),$C$2:$C$4852)),ROW($C$2:$C$4852),4^8),ROW(C3851)))&amp;""</f>
        <v>#N/A</v>
      </c>
    </row>
    <row r="3852" ht="14.100000000000001" customHeight="1">
      <c r="B3852" s="19" t="s">
        <v>7841</v>
      </c>
      <c r="C3852" s="19" t="s">
        <v>7842</v>
      </c>
      <c r="D3852" s="19" t="s">
        <v>7841</v>
      </c>
      <c r="E3852" s="20" t="e">
        <f t="array" ref="E3852">INDEX(C:C,SMALL(IF(ISNUMBER(FIND(CELL("contents"),$C$2:$C$4852)),ROW($C$2:$C$4852),4^8),ROW(C3852)))&amp;""</f>
        <v>#N/A</v>
      </c>
    </row>
    <row r="3853" ht="14.100000000000001" customHeight="1">
      <c r="B3853" s="19" t="s">
        <v>7843</v>
      </c>
      <c r="C3853" s="19" t="s">
        <v>7844</v>
      </c>
      <c r="D3853" s="19" t="s">
        <v>7843</v>
      </c>
      <c r="E3853" s="20" t="e">
        <f t="array" ref="E3853">INDEX(C:C,SMALL(IF(ISNUMBER(FIND(CELL("contents"),$C$2:$C$4852)),ROW($C$2:$C$4852),4^8),ROW(C3853)))&amp;""</f>
        <v>#N/A</v>
      </c>
    </row>
    <row r="3854" ht="14.100000000000001" customHeight="1">
      <c r="B3854" s="19" t="s">
        <v>7845</v>
      </c>
      <c r="C3854" s="19" t="s">
        <v>7846</v>
      </c>
      <c r="D3854" s="19" t="s">
        <v>7845</v>
      </c>
      <c r="E3854" s="20" t="e">
        <f t="array" ref="E3854">INDEX(C:C,SMALL(IF(ISNUMBER(FIND(CELL("contents"),$C$2:$C$4852)),ROW($C$2:$C$4852),4^8),ROW(C3854)))&amp;""</f>
        <v>#N/A</v>
      </c>
    </row>
    <row r="3855" ht="14.100000000000001" customHeight="1">
      <c r="B3855" s="19" t="s">
        <v>7847</v>
      </c>
      <c r="C3855" s="19" t="s">
        <v>7848</v>
      </c>
      <c r="D3855" s="19" t="s">
        <v>7847</v>
      </c>
      <c r="E3855" s="20" t="e">
        <f t="array" ref="E3855">INDEX(C:C,SMALL(IF(ISNUMBER(FIND(CELL("contents"),$C$2:$C$4852)),ROW($C$2:$C$4852),4^8),ROW(C3855)))&amp;""</f>
        <v>#N/A</v>
      </c>
    </row>
    <row r="3856" ht="14.100000000000001" customHeight="1">
      <c r="B3856" s="19" t="s">
        <v>7849</v>
      </c>
      <c r="C3856" s="19" t="s">
        <v>7850</v>
      </c>
      <c r="D3856" s="19" t="s">
        <v>7849</v>
      </c>
      <c r="E3856" s="20" t="e">
        <f t="array" ref="E3856">INDEX(C:C,SMALL(IF(ISNUMBER(FIND(CELL("contents"),$C$2:$C$4852)),ROW($C$2:$C$4852),4^8),ROW(C3856)))&amp;""</f>
        <v>#N/A</v>
      </c>
    </row>
    <row r="3857" ht="14.100000000000001" customHeight="1">
      <c r="B3857" s="19" t="s">
        <v>7851</v>
      </c>
      <c r="C3857" s="19" t="s">
        <v>7852</v>
      </c>
      <c r="D3857" s="19" t="s">
        <v>7851</v>
      </c>
      <c r="E3857" s="20" t="e">
        <f t="array" ref="E3857">INDEX(C:C,SMALL(IF(ISNUMBER(FIND(CELL("contents"),$C$2:$C$4852)),ROW($C$2:$C$4852),4^8),ROW(C3857)))&amp;""</f>
        <v>#N/A</v>
      </c>
    </row>
    <row r="3858" ht="14.100000000000001" customHeight="1">
      <c r="B3858" s="19" t="s">
        <v>7853</v>
      </c>
      <c r="C3858" s="19" t="s">
        <v>7854</v>
      </c>
      <c r="D3858" s="19" t="s">
        <v>7853</v>
      </c>
      <c r="E3858" s="20" t="e">
        <f t="array" ref="E3858">INDEX(C:C,SMALL(IF(ISNUMBER(FIND(CELL("contents"),$C$2:$C$4852)),ROW($C$2:$C$4852),4^8),ROW(C3858)))&amp;""</f>
        <v>#N/A</v>
      </c>
    </row>
    <row r="3859" ht="14.100000000000001" customHeight="1">
      <c r="B3859" s="19" t="s">
        <v>7855</v>
      </c>
      <c r="C3859" s="19" t="s">
        <v>7856</v>
      </c>
      <c r="D3859" s="19" t="s">
        <v>7855</v>
      </c>
      <c r="E3859" s="20" t="e">
        <f t="array" ref="E3859">INDEX(C:C,SMALL(IF(ISNUMBER(FIND(CELL("contents"),$C$2:$C$4852)),ROW($C$2:$C$4852),4^8),ROW(C3859)))&amp;""</f>
        <v>#N/A</v>
      </c>
    </row>
    <row r="3860" ht="14.100000000000001" customHeight="1">
      <c r="B3860" s="19" t="s">
        <v>7857</v>
      </c>
      <c r="C3860" s="19" t="s">
        <v>7858</v>
      </c>
      <c r="D3860" s="19" t="s">
        <v>7857</v>
      </c>
      <c r="E3860" s="20" t="e">
        <f t="array" ref="E3860">INDEX(C:C,SMALL(IF(ISNUMBER(FIND(CELL("contents"),$C$2:$C$4852)),ROW($C$2:$C$4852),4^8),ROW(C3860)))&amp;""</f>
        <v>#N/A</v>
      </c>
    </row>
    <row r="3861" ht="14.100000000000001" customHeight="1">
      <c r="B3861" s="19" t="s">
        <v>7859</v>
      </c>
      <c r="C3861" s="19" t="s">
        <v>7860</v>
      </c>
      <c r="D3861" s="19" t="s">
        <v>7859</v>
      </c>
      <c r="E3861" s="20" t="e">
        <f t="array" ref="E3861">INDEX(C:C,SMALL(IF(ISNUMBER(FIND(CELL("contents"),$C$2:$C$4852)),ROW($C$2:$C$4852),4^8),ROW(C3861)))&amp;""</f>
        <v>#N/A</v>
      </c>
    </row>
    <row r="3862" ht="14.100000000000001" customHeight="1">
      <c r="B3862" s="19" t="s">
        <v>7861</v>
      </c>
      <c r="C3862" s="19" t="s">
        <v>7862</v>
      </c>
      <c r="D3862" s="19" t="s">
        <v>7861</v>
      </c>
      <c r="E3862" s="20" t="e">
        <f t="array" ref="E3862">INDEX(C:C,SMALL(IF(ISNUMBER(FIND(CELL("contents"),$C$2:$C$4852)),ROW($C$2:$C$4852),4^8),ROW(C3862)))&amp;""</f>
        <v>#N/A</v>
      </c>
    </row>
    <row r="3863" ht="14.100000000000001" customHeight="1">
      <c r="B3863" s="19" t="s">
        <v>7863</v>
      </c>
      <c r="C3863" s="19" t="s">
        <v>7864</v>
      </c>
      <c r="D3863" s="19" t="s">
        <v>7863</v>
      </c>
      <c r="E3863" s="20" t="e">
        <f t="array" ref="E3863">INDEX(C:C,SMALL(IF(ISNUMBER(FIND(CELL("contents"),$C$2:$C$4852)),ROW($C$2:$C$4852),4^8),ROW(C3863)))&amp;""</f>
        <v>#N/A</v>
      </c>
    </row>
    <row r="3864" ht="14.100000000000001" customHeight="1">
      <c r="B3864" s="19" t="s">
        <v>7865</v>
      </c>
      <c r="C3864" s="19" t="s">
        <v>7866</v>
      </c>
      <c r="D3864" s="19" t="s">
        <v>7865</v>
      </c>
      <c r="E3864" s="20" t="e">
        <f t="array" ref="E3864">INDEX(C:C,SMALL(IF(ISNUMBER(FIND(CELL("contents"),$C$2:$C$4852)),ROW($C$2:$C$4852),4^8),ROW(C3864)))&amp;""</f>
        <v>#N/A</v>
      </c>
    </row>
    <row r="3865" ht="14.100000000000001" customHeight="1">
      <c r="B3865" s="19" t="s">
        <v>7867</v>
      </c>
      <c r="C3865" s="19" t="s">
        <v>7868</v>
      </c>
      <c r="D3865" s="19" t="s">
        <v>7867</v>
      </c>
      <c r="E3865" s="20" t="e">
        <f t="array" ref="E3865">INDEX(C:C,SMALL(IF(ISNUMBER(FIND(CELL("contents"),$C$2:$C$4852)),ROW($C$2:$C$4852),4^8),ROW(C3865)))&amp;""</f>
        <v>#N/A</v>
      </c>
    </row>
    <row r="3866" ht="14.100000000000001" customHeight="1">
      <c r="B3866" s="19" t="s">
        <v>7869</v>
      </c>
      <c r="C3866" s="19" t="s">
        <v>7870</v>
      </c>
      <c r="D3866" s="19" t="s">
        <v>7869</v>
      </c>
      <c r="E3866" s="20" t="e">
        <f t="array" ref="E3866">INDEX(C:C,SMALL(IF(ISNUMBER(FIND(CELL("contents"),$C$2:$C$4852)),ROW($C$2:$C$4852),4^8),ROW(C3866)))&amp;""</f>
        <v>#N/A</v>
      </c>
    </row>
    <row r="3867" ht="14.100000000000001" customHeight="1">
      <c r="B3867" s="19" t="s">
        <v>7871</v>
      </c>
      <c r="C3867" s="19" t="s">
        <v>7872</v>
      </c>
      <c r="D3867" s="19" t="s">
        <v>7871</v>
      </c>
      <c r="E3867" s="20" t="e">
        <f t="array" ref="E3867">INDEX(C:C,SMALL(IF(ISNUMBER(FIND(CELL("contents"),$C$2:$C$4852)),ROW($C$2:$C$4852),4^8),ROW(C3867)))&amp;""</f>
        <v>#N/A</v>
      </c>
    </row>
    <row r="3868" ht="14.100000000000001" customHeight="1">
      <c r="B3868" s="19" t="s">
        <v>7873</v>
      </c>
      <c r="C3868" s="19" t="s">
        <v>7874</v>
      </c>
      <c r="D3868" s="19" t="s">
        <v>7873</v>
      </c>
      <c r="E3868" s="20" t="e">
        <f t="array" ref="E3868">INDEX(C:C,SMALL(IF(ISNUMBER(FIND(CELL("contents"),$C$2:$C$4852)),ROW($C$2:$C$4852),4^8),ROW(C3868)))&amp;""</f>
        <v>#N/A</v>
      </c>
    </row>
    <row r="3869" ht="14.100000000000001" customHeight="1">
      <c r="B3869" s="19" t="s">
        <v>7875</v>
      </c>
      <c r="C3869" s="19" t="s">
        <v>7876</v>
      </c>
      <c r="D3869" s="19" t="s">
        <v>7875</v>
      </c>
      <c r="E3869" s="20" t="e">
        <f t="array" ref="E3869">INDEX(C:C,SMALL(IF(ISNUMBER(FIND(CELL("contents"),$C$2:$C$4852)),ROW($C$2:$C$4852),4^8),ROW(C3869)))&amp;""</f>
        <v>#N/A</v>
      </c>
    </row>
    <row r="3870" ht="14.100000000000001" customHeight="1">
      <c r="B3870" s="19" t="s">
        <v>7877</v>
      </c>
      <c r="C3870" s="19" t="s">
        <v>7878</v>
      </c>
      <c r="D3870" s="19" t="s">
        <v>7877</v>
      </c>
      <c r="E3870" s="20" t="e">
        <f t="array" ref="E3870">INDEX(C:C,SMALL(IF(ISNUMBER(FIND(CELL("contents"),$C$2:$C$4852)),ROW($C$2:$C$4852),4^8),ROW(C3870)))&amp;""</f>
        <v>#N/A</v>
      </c>
    </row>
    <row r="3871" ht="14.100000000000001" customHeight="1">
      <c r="B3871" s="19" t="s">
        <v>7879</v>
      </c>
      <c r="C3871" s="19" t="s">
        <v>7880</v>
      </c>
      <c r="D3871" s="19" t="s">
        <v>7879</v>
      </c>
      <c r="E3871" s="20" t="e">
        <f t="array" ref="E3871">INDEX(C:C,SMALL(IF(ISNUMBER(FIND(CELL("contents"),$C$2:$C$4852)),ROW($C$2:$C$4852),4^8),ROW(C3871)))&amp;""</f>
        <v>#N/A</v>
      </c>
    </row>
    <row r="3872" ht="14.100000000000001" customHeight="1">
      <c r="B3872" s="19" t="s">
        <v>7881</v>
      </c>
      <c r="C3872" s="19" t="s">
        <v>7882</v>
      </c>
      <c r="D3872" s="19" t="s">
        <v>7881</v>
      </c>
      <c r="E3872" s="20" t="e">
        <f t="array" ref="E3872">INDEX(C:C,SMALL(IF(ISNUMBER(FIND(CELL("contents"),$C$2:$C$4852)),ROW($C$2:$C$4852),4^8),ROW(C3872)))&amp;""</f>
        <v>#N/A</v>
      </c>
    </row>
    <row r="3873" ht="14.100000000000001" customHeight="1">
      <c r="B3873" s="19" t="s">
        <v>7883</v>
      </c>
      <c r="C3873" s="19" t="s">
        <v>7884</v>
      </c>
      <c r="D3873" s="19" t="s">
        <v>7883</v>
      </c>
      <c r="E3873" s="20" t="e">
        <f t="array" ref="E3873">INDEX(C:C,SMALL(IF(ISNUMBER(FIND(CELL("contents"),$C$2:$C$4852)),ROW($C$2:$C$4852),4^8),ROW(C3873)))&amp;""</f>
        <v>#N/A</v>
      </c>
    </row>
    <row r="3874" ht="14.100000000000001" customHeight="1">
      <c r="B3874" s="19" t="s">
        <v>7885</v>
      </c>
      <c r="C3874" s="19" t="s">
        <v>7886</v>
      </c>
      <c r="D3874" s="19" t="s">
        <v>7885</v>
      </c>
      <c r="E3874" s="20" t="e">
        <f t="array" ref="E3874">INDEX(C:C,SMALL(IF(ISNUMBER(FIND(CELL("contents"),$C$2:$C$4852)),ROW($C$2:$C$4852),4^8),ROW(C3874)))&amp;""</f>
        <v>#N/A</v>
      </c>
    </row>
    <row r="3875" ht="14.100000000000001" customHeight="1">
      <c r="B3875" s="19" t="s">
        <v>7887</v>
      </c>
      <c r="C3875" s="19" t="s">
        <v>7888</v>
      </c>
      <c r="D3875" s="19" t="s">
        <v>7887</v>
      </c>
      <c r="E3875" s="20" t="e">
        <f t="array" ref="E3875">INDEX(C:C,SMALL(IF(ISNUMBER(FIND(CELL("contents"),$C$2:$C$4852)),ROW($C$2:$C$4852),4^8),ROW(C3875)))&amp;""</f>
        <v>#N/A</v>
      </c>
    </row>
    <row r="3876" ht="14.100000000000001" customHeight="1">
      <c r="B3876" s="19" t="s">
        <v>7889</v>
      </c>
      <c r="C3876" s="19" t="s">
        <v>7890</v>
      </c>
      <c r="D3876" s="19" t="s">
        <v>7889</v>
      </c>
      <c r="E3876" s="20" t="e">
        <f t="array" ref="E3876">INDEX(C:C,SMALL(IF(ISNUMBER(FIND(CELL("contents"),$C$2:$C$4852)),ROW($C$2:$C$4852),4^8),ROW(C3876)))&amp;""</f>
        <v>#N/A</v>
      </c>
    </row>
    <row r="3877" ht="14.100000000000001" customHeight="1">
      <c r="B3877" s="19" t="s">
        <v>7891</v>
      </c>
      <c r="C3877" s="19" t="s">
        <v>7892</v>
      </c>
      <c r="D3877" s="19" t="s">
        <v>7891</v>
      </c>
      <c r="E3877" s="20" t="e">
        <f t="array" ref="E3877">INDEX(C:C,SMALL(IF(ISNUMBER(FIND(CELL("contents"),$C$2:$C$4852)),ROW($C$2:$C$4852),4^8),ROW(C3877)))&amp;""</f>
        <v>#N/A</v>
      </c>
    </row>
    <row r="3878" ht="14.100000000000001" customHeight="1">
      <c r="B3878" s="19" t="s">
        <v>7893</v>
      </c>
      <c r="C3878" s="19" t="s">
        <v>7894</v>
      </c>
      <c r="D3878" s="19" t="s">
        <v>7893</v>
      </c>
      <c r="E3878" s="20" t="e">
        <f t="array" ref="E3878">INDEX(C:C,SMALL(IF(ISNUMBER(FIND(CELL("contents"),$C$2:$C$4852)),ROW($C$2:$C$4852),4^8),ROW(C3878)))&amp;""</f>
        <v>#N/A</v>
      </c>
    </row>
    <row r="3879" ht="14.100000000000001" customHeight="1">
      <c r="B3879" s="19" t="s">
        <v>7895</v>
      </c>
      <c r="C3879" s="19" t="s">
        <v>7896</v>
      </c>
      <c r="D3879" s="19" t="s">
        <v>7895</v>
      </c>
      <c r="E3879" s="20" t="e">
        <f t="array" ref="E3879">INDEX(C:C,SMALL(IF(ISNUMBER(FIND(CELL("contents"),$C$2:$C$4852)),ROW($C$2:$C$4852),4^8),ROW(C3879)))&amp;""</f>
        <v>#N/A</v>
      </c>
    </row>
    <row r="3880" ht="14.100000000000001" customHeight="1">
      <c r="B3880" s="19" t="s">
        <v>7897</v>
      </c>
      <c r="C3880" s="19" t="s">
        <v>7898</v>
      </c>
      <c r="D3880" s="19" t="s">
        <v>7897</v>
      </c>
      <c r="E3880" s="20" t="e">
        <f t="array" ref="E3880">INDEX(C:C,SMALL(IF(ISNUMBER(FIND(CELL("contents"),$C$2:$C$4852)),ROW($C$2:$C$4852),4^8),ROW(C3880)))&amp;""</f>
        <v>#N/A</v>
      </c>
    </row>
    <row r="3881" ht="14.100000000000001" customHeight="1">
      <c r="B3881" s="19" t="s">
        <v>7899</v>
      </c>
      <c r="C3881" s="19" t="s">
        <v>7900</v>
      </c>
      <c r="D3881" s="19" t="s">
        <v>7899</v>
      </c>
      <c r="E3881" s="20" t="e">
        <f t="array" ref="E3881">INDEX(C:C,SMALL(IF(ISNUMBER(FIND(CELL("contents"),$C$2:$C$4852)),ROW($C$2:$C$4852),4^8),ROW(C3881)))&amp;""</f>
        <v>#N/A</v>
      </c>
    </row>
    <row r="3882" ht="14.100000000000001" customHeight="1">
      <c r="B3882" s="19" t="s">
        <v>7901</v>
      </c>
      <c r="C3882" s="19" t="s">
        <v>7902</v>
      </c>
      <c r="D3882" s="19" t="s">
        <v>7901</v>
      </c>
      <c r="E3882" s="20" t="e">
        <f t="array" ref="E3882">INDEX(C:C,SMALL(IF(ISNUMBER(FIND(CELL("contents"),$C$2:$C$4852)),ROW($C$2:$C$4852),4^8),ROW(C3882)))&amp;""</f>
        <v>#N/A</v>
      </c>
    </row>
    <row r="3883" ht="14.100000000000001" customHeight="1">
      <c r="B3883" s="19" t="s">
        <v>7903</v>
      </c>
      <c r="C3883" s="19" t="s">
        <v>7904</v>
      </c>
      <c r="D3883" s="19" t="s">
        <v>7903</v>
      </c>
      <c r="E3883" s="20" t="e">
        <f t="array" ref="E3883">INDEX(C:C,SMALL(IF(ISNUMBER(FIND(CELL("contents"),$C$2:$C$4852)),ROW($C$2:$C$4852),4^8),ROW(C3883)))&amp;""</f>
        <v>#N/A</v>
      </c>
    </row>
    <row r="3884" ht="14.100000000000001" customHeight="1">
      <c r="B3884" s="19" t="s">
        <v>7905</v>
      </c>
      <c r="C3884" s="19" t="s">
        <v>7906</v>
      </c>
      <c r="D3884" s="19" t="s">
        <v>7905</v>
      </c>
      <c r="E3884" s="20" t="e">
        <f t="array" ref="E3884">INDEX(C:C,SMALL(IF(ISNUMBER(FIND(CELL("contents"),$C$2:$C$4852)),ROW($C$2:$C$4852),4^8),ROW(C3884)))&amp;""</f>
        <v>#N/A</v>
      </c>
    </row>
    <row r="3885" ht="14.100000000000001" customHeight="1">
      <c r="B3885" s="19" t="s">
        <v>7907</v>
      </c>
      <c r="C3885" s="19" t="s">
        <v>7908</v>
      </c>
      <c r="D3885" s="19" t="s">
        <v>7907</v>
      </c>
      <c r="E3885" s="20" t="e">
        <f t="array" ref="E3885">INDEX(C:C,SMALL(IF(ISNUMBER(FIND(CELL("contents"),$C$2:$C$4852)),ROW($C$2:$C$4852),4^8),ROW(C3885)))&amp;""</f>
        <v>#N/A</v>
      </c>
    </row>
    <row r="3886" ht="14.100000000000001" customHeight="1">
      <c r="B3886" s="19" t="s">
        <v>7909</v>
      </c>
      <c r="C3886" s="19" t="s">
        <v>7910</v>
      </c>
      <c r="D3886" s="19" t="s">
        <v>7909</v>
      </c>
      <c r="E3886" s="20" t="e">
        <f t="array" ref="E3886">INDEX(C:C,SMALL(IF(ISNUMBER(FIND(CELL("contents"),$C$2:$C$4852)),ROW($C$2:$C$4852),4^8),ROW(C3886)))&amp;""</f>
        <v>#N/A</v>
      </c>
    </row>
    <row r="3887" ht="14.100000000000001" customHeight="1">
      <c r="B3887" s="19" t="s">
        <v>7911</v>
      </c>
      <c r="C3887" s="19" t="s">
        <v>7912</v>
      </c>
      <c r="D3887" s="19" t="s">
        <v>7911</v>
      </c>
      <c r="E3887" s="20" t="e">
        <f t="array" ref="E3887">INDEX(C:C,SMALL(IF(ISNUMBER(FIND(CELL("contents"),$C$2:$C$4852)),ROW($C$2:$C$4852),4^8),ROW(C3887)))&amp;""</f>
        <v>#N/A</v>
      </c>
    </row>
    <row r="3888" ht="14.100000000000001" customHeight="1">
      <c r="B3888" s="19" t="s">
        <v>7913</v>
      </c>
      <c r="C3888" s="19" t="s">
        <v>7914</v>
      </c>
      <c r="D3888" s="19" t="s">
        <v>7913</v>
      </c>
      <c r="E3888" s="20" t="e">
        <f t="array" ref="E3888">INDEX(C:C,SMALL(IF(ISNUMBER(FIND(CELL("contents"),$C$2:$C$4852)),ROW($C$2:$C$4852),4^8),ROW(C3888)))&amp;""</f>
        <v>#N/A</v>
      </c>
    </row>
    <row r="3889" ht="14.100000000000001" customHeight="1">
      <c r="B3889" s="19" t="s">
        <v>7915</v>
      </c>
      <c r="C3889" s="19" t="s">
        <v>7916</v>
      </c>
      <c r="D3889" s="19" t="s">
        <v>7915</v>
      </c>
      <c r="E3889" s="20" t="e">
        <f t="array" ref="E3889">INDEX(C:C,SMALL(IF(ISNUMBER(FIND(CELL("contents"),$C$2:$C$4852)),ROW($C$2:$C$4852),4^8),ROW(C3889)))&amp;""</f>
        <v>#N/A</v>
      </c>
    </row>
    <row r="3890" ht="14.100000000000001" customHeight="1">
      <c r="B3890" s="19" t="s">
        <v>7917</v>
      </c>
      <c r="C3890" s="19" t="s">
        <v>7918</v>
      </c>
      <c r="D3890" s="19" t="s">
        <v>7917</v>
      </c>
      <c r="E3890" s="20" t="e">
        <f t="array" ref="E3890">INDEX(C:C,SMALL(IF(ISNUMBER(FIND(CELL("contents"),$C$2:$C$4852)),ROW($C$2:$C$4852),4^8),ROW(C3890)))&amp;""</f>
        <v>#N/A</v>
      </c>
    </row>
    <row r="3891" ht="14.100000000000001" customHeight="1">
      <c r="B3891" s="19" t="s">
        <v>7919</v>
      </c>
      <c r="C3891" s="19" t="s">
        <v>7920</v>
      </c>
      <c r="D3891" s="19" t="s">
        <v>7919</v>
      </c>
      <c r="E3891" s="20" t="e">
        <f t="array" ref="E3891">INDEX(C:C,SMALL(IF(ISNUMBER(FIND(CELL("contents"),$C$2:$C$4852)),ROW($C$2:$C$4852),4^8),ROW(C3891)))&amp;""</f>
        <v>#N/A</v>
      </c>
    </row>
    <row r="3892" ht="14.100000000000001" customHeight="1">
      <c r="B3892" s="19" t="s">
        <v>7921</v>
      </c>
      <c r="C3892" s="19" t="s">
        <v>7922</v>
      </c>
      <c r="D3892" s="19" t="s">
        <v>7921</v>
      </c>
      <c r="E3892" s="20" t="e">
        <f t="array" ref="E3892">INDEX(C:C,SMALL(IF(ISNUMBER(FIND(CELL("contents"),$C$2:$C$4852)),ROW($C$2:$C$4852),4^8),ROW(C3892)))&amp;""</f>
        <v>#N/A</v>
      </c>
    </row>
    <row r="3893" ht="14.100000000000001" customHeight="1">
      <c r="B3893" s="19" t="s">
        <v>7923</v>
      </c>
      <c r="C3893" s="19" t="s">
        <v>7924</v>
      </c>
      <c r="D3893" s="19" t="s">
        <v>7923</v>
      </c>
      <c r="E3893" s="20" t="e">
        <f t="array" ref="E3893">INDEX(C:C,SMALL(IF(ISNUMBER(FIND(CELL("contents"),$C$2:$C$4852)),ROW($C$2:$C$4852),4^8),ROW(C3893)))&amp;""</f>
        <v>#N/A</v>
      </c>
    </row>
    <row r="3894" ht="14.100000000000001" customHeight="1">
      <c r="B3894" s="19" t="s">
        <v>7925</v>
      </c>
      <c r="C3894" s="19" t="s">
        <v>7926</v>
      </c>
      <c r="D3894" s="19" t="s">
        <v>7925</v>
      </c>
      <c r="E3894" s="20" t="e">
        <f t="array" ref="E3894">INDEX(C:C,SMALL(IF(ISNUMBER(FIND(CELL("contents"),$C$2:$C$4852)),ROW($C$2:$C$4852),4^8),ROW(C3894)))&amp;""</f>
        <v>#N/A</v>
      </c>
    </row>
    <row r="3895" ht="14.100000000000001" customHeight="1">
      <c r="B3895" s="19" t="s">
        <v>7927</v>
      </c>
      <c r="C3895" s="19" t="s">
        <v>7928</v>
      </c>
      <c r="D3895" s="19" t="s">
        <v>7927</v>
      </c>
      <c r="E3895" s="20" t="e">
        <f t="array" ref="E3895">INDEX(C:C,SMALL(IF(ISNUMBER(FIND(CELL("contents"),$C$2:$C$4852)),ROW($C$2:$C$4852),4^8),ROW(C3895)))&amp;""</f>
        <v>#N/A</v>
      </c>
    </row>
    <row r="3896" ht="14.100000000000001" customHeight="1">
      <c r="B3896" s="19" t="s">
        <v>7929</v>
      </c>
      <c r="C3896" s="19" t="s">
        <v>7930</v>
      </c>
      <c r="D3896" s="19" t="s">
        <v>7929</v>
      </c>
      <c r="E3896" s="20" t="e">
        <f t="array" ref="E3896">INDEX(C:C,SMALL(IF(ISNUMBER(FIND(CELL("contents"),$C$2:$C$4852)),ROW($C$2:$C$4852),4^8),ROW(C3896)))&amp;""</f>
        <v>#N/A</v>
      </c>
    </row>
    <row r="3897" ht="14.100000000000001" customHeight="1">
      <c r="B3897" s="19" t="s">
        <v>7931</v>
      </c>
      <c r="C3897" s="19" t="s">
        <v>7932</v>
      </c>
      <c r="D3897" s="19" t="s">
        <v>7931</v>
      </c>
      <c r="E3897" s="20" t="e">
        <f t="array" ref="E3897">INDEX(C:C,SMALL(IF(ISNUMBER(FIND(CELL("contents"),$C$2:$C$4852)),ROW($C$2:$C$4852),4^8),ROW(C3897)))&amp;""</f>
        <v>#N/A</v>
      </c>
    </row>
    <row r="3898" ht="14.100000000000001" customHeight="1">
      <c r="B3898" s="19" t="s">
        <v>7933</v>
      </c>
      <c r="C3898" s="19" t="s">
        <v>7934</v>
      </c>
      <c r="D3898" s="19" t="s">
        <v>7933</v>
      </c>
      <c r="E3898" s="20" t="e">
        <f t="array" ref="E3898">INDEX(C:C,SMALL(IF(ISNUMBER(FIND(CELL("contents"),$C$2:$C$4852)),ROW($C$2:$C$4852),4^8),ROW(C3898)))&amp;""</f>
        <v>#N/A</v>
      </c>
    </row>
    <row r="3899" ht="14.100000000000001" customHeight="1">
      <c r="B3899" s="19" t="s">
        <v>7935</v>
      </c>
      <c r="C3899" s="19" t="s">
        <v>7936</v>
      </c>
      <c r="D3899" s="19" t="s">
        <v>7935</v>
      </c>
      <c r="E3899" s="20" t="e">
        <f t="array" ref="E3899">INDEX(C:C,SMALL(IF(ISNUMBER(FIND(CELL("contents"),$C$2:$C$4852)),ROW($C$2:$C$4852),4^8),ROW(C3899)))&amp;""</f>
        <v>#N/A</v>
      </c>
    </row>
    <row r="3900" ht="14.100000000000001" customHeight="1">
      <c r="B3900" s="19" t="s">
        <v>7937</v>
      </c>
      <c r="C3900" s="19" t="s">
        <v>7938</v>
      </c>
      <c r="D3900" s="19" t="s">
        <v>7937</v>
      </c>
      <c r="E3900" s="20" t="e">
        <f t="array" ref="E3900">INDEX(C:C,SMALL(IF(ISNUMBER(FIND(CELL("contents"),$C$2:$C$4852)),ROW($C$2:$C$4852),4^8),ROW(C3900)))&amp;""</f>
        <v>#N/A</v>
      </c>
    </row>
    <row r="3901" ht="14.100000000000001" customHeight="1">
      <c r="B3901" s="19" t="s">
        <v>7939</v>
      </c>
      <c r="C3901" s="19" t="s">
        <v>7940</v>
      </c>
      <c r="D3901" s="19" t="s">
        <v>7939</v>
      </c>
      <c r="E3901" s="20" t="e">
        <f t="array" ref="E3901">INDEX(C:C,SMALL(IF(ISNUMBER(FIND(CELL("contents"),$C$2:$C$4852)),ROW($C$2:$C$4852),4^8),ROW(C3901)))&amp;""</f>
        <v>#N/A</v>
      </c>
    </row>
    <row r="3902" ht="14.100000000000001" customHeight="1">
      <c r="B3902" s="19" t="s">
        <v>7941</v>
      </c>
      <c r="C3902" s="19" t="s">
        <v>7942</v>
      </c>
      <c r="D3902" s="19" t="s">
        <v>7941</v>
      </c>
      <c r="E3902" s="20" t="e">
        <f t="array" ref="E3902">INDEX(C:C,SMALL(IF(ISNUMBER(FIND(CELL("contents"),$C$2:$C$4852)),ROW($C$2:$C$4852),4^8),ROW(C3902)))&amp;""</f>
        <v>#N/A</v>
      </c>
    </row>
    <row r="3903" ht="14.100000000000001" customHeight="1">
      <c r="B3903" s="19" t="s">
        <v>7943</v>
      </c>
      <c r="C3903" s="19" t="s">
        <v>7944</v>
      </c>
      <c r="D3903" s="19" t="s">
        <v>7943</v>
      </c>
      <c r="E3903" s="20" t="e">
        <f t="array" ref="E3903">INDEX(C:C,SMALL(IF(ISNUMBER(FIND(CELL("contents"),$C$2:$C$4852)),ROW($C$2:$C$4852),4^8),ROW(C3903)))&amp;""</f>
        <v>#N/A</v>
      </c>
    </row>
    <row r="3904" ht="14.100000000000001" customHeight="1">
      <c r="B3904" s="19" t="s">
        <v>7945</v>
      </c>
      <c r="C3904" s="19" t="s">
        <v>7946</v>
      </c>
      <c r="D3904" s="19" t="s">
        <v>7945</v>
      </c>
      <c r="E3904" s="20" t="e">
        <f t="array" ref="E3904">INDEX(C:C,SMALL(IF(ISNUMBER(FIND(CELL("contents"),$C$2:$C$4852)),ROW($C$2:$C$4852),4^8),ROW(C3904)))&amp;""</f>
        <v>#N/A</v>
      </c>
    </row>
    <row r="3905" ht="14.100000000000001" customHeight="1">
      <c r="B3905" s="19" t="s">
        <v>7947</v>
      </c>
      <c r="C3905" s="19" t="s">
        <v>7948</v>
      </c>
      <c r="D3905" s="19" t="s">
        <v>7947</v>
      </c>
      <c r="E3905" s="20" t="e">
        <f t="array" ref="E3905">INDEX(C:C,SMALL(IF(ISNUMBER(FIND(CELL("contents"),$C$2:$C$4852)),ROW($C$2:$C$4852),4^8),ROW(C3905)))&amp;""</f>
        <v>#N/A</v>
      </c>
    </row>
    <row r="3906" ht="14.100000000000001" customHeight="1">
      <c r="B3906" s="19" t="s">
        <v>7949</v>
      </c>
      <c r="C3906" s="19" t="s">
        <v>7950</v>
      </c>
      <c r="D3906" s="19" t="s">
        <v>7949</v>
      </c>
      <c r="E3906" s="20" t="e">
        <f t="array" ref="E3906">INDEX(C:C,SMALL(IF(ISNUMBER(FIND(CELL("contents"),$C$2:$C$4852)),ROW($C$2:$C$4852),4^8),ROW(C3906)))&amp;""</f>
        <v>#N/A</v>
      </c>
    </row>
    <row r="3907" ht="14.100000000000001" customHeight="1">
      <c r="B3907" s="19" t="s">
        <v>7951</v>
      </c>
      <c r="C3907" s="19" t="s">
        <v>7952</v>
      </c>
      <c r="D3907" s="19" t="s">
        <v>7951</v>
      </c>
      <c r="E3907" s="20" t="e">
        <f t="array" ref="E3907">INDEX(C:C,SMALL(IF(ISNUMBER(FIND(CELL("contents"),$C$2:$C$4852)),ROW($C$2:$C$4852),4^8),ROW(C3907)))&amp;""</f>
        <v>#N/A</v>
      </c>
    </row>
    <row r="3908" ht="14.100000000000001" customHeight="1">
      <c r="B3908" s="19" t="s">
        <v>7953</v>
      </c>
      <c r="C3908" s="19" t="s">
        <v>7954</v>
      </c>
      <c r="D3908" s="19" t="s">
        <v>7953</v>
      </c>
      <c r="E3908" s="20" t="e">
        <f t="array" ref="E3908">INDEX(C:C,SMALL(IF(ISNUMBER(FIND(CELL("contents"),$C$2:$C$4852)),ROW($C$2:$C$4852),4^8),ROW(C3908)))&amp;""</f>
        <v>#N/A</v>
      </c>
    </row>
    <row r="3909" ht="14.100000000000001" customHeight="1">
      <c r="B3909" s="19" t="s">
        <v>7955</v>
      </c>
      <c r="C3909" s="19" t="s">
        <v>7956</v>
      </c>
      <c r="D3909" s="19" t="s">
        <v>7955</v>
      </c>
      <c r="E3909" s="20" t="e">
        <f t="array" ref="E3909">INDEX(C:C,SMALL(IF(ISNUMBER(FIND(CELL("contents"),$C$2:$C$4852)),ROW($C$2:$C$4852),4^8),ROW(C3909)))&amp;""</f>
        <v>#N/A</v>
      </c>
    </row>
    <row r="3910" ht="14.100000000000001" customHeight="1">
      <c r="B3910" s="19" t="s">
        <v>7957</v>
      </c>
      <c r="C3910" s="19" t="s">
        <v>7958</v>
      </c>
      <c r="D3910" s="19" t="s">
        <v>7957</v>
      </c>
      <c r="E3910" s="20" t="e">
        <f t="array" ref="E3910">INDEX(C:C,SMALL(IF(ISNUMBER(FIND(CELL("contents"),$C$2:$C$4852)),ROW($C$2:$C$4852),4^8),ROW(C3910)))&amp;""</f>
        <v>#N/A</v>
      </c>
    </row>
    <row r="3911" ht="14.100000000000001" customHeight="1">
      <c r="B3911" s="19" t="s">
        <v>7959</v>
      </c>
      <c r="C3911" s="19" t="s">
        <v>7960</v>
      </c>
      <c r="D3911" s="19" t="s">
        <v>7959</v>
      </c>
      <c r="E3911" s="20" t="e">
        <f t="array" ref="E3911">INDEX(C:C,SMALL(IF(ISNUMBER(FIND(CELL("contents"),$C$2:$C$4852)),ROW($C$2:$C$4852),4^8),ROW(C3911)))&amp;""</f>
        <v>#N/A</v>
      </c>
    </row>
    <row r="3912" ht="14.100000000000001" customHeight="1">
      <c r="B3912" s="19" t="s">
        <v>7961</v>
      </c>
      <c r="C3912" s="19" t="s">
        <v>7962</v>
      </c>
      <c r="D3912" s="19" t="s">
        <v>7961</v>
      </c>
      <c r="E3912" s="20" t="e">
        <f t="array" ref="E3912">INDEX(C:C,SMALL(IF(ISNUMBER(FIND(CELL("contents"),$C$2:$C$4852)),ROW($C$2:$C$4852),4^8),ROW(C3912)))&amp;""</f>
        <v>#N/A</v>
      </c>
    </row>
    <row r="3913" ht="14.100000000000001" customHeight="1">
      <c r="B3913" s="19" t="s">
        <v>7963</v>
      </c>
      <c r="C3913" s="19" t="s">
        <v>7964</v>
      </c>
      <c r="D3913" s="19" t="s">
        <v>7963</v>
      </c>
      <c r="E3913" s="20" t="e">
        <f t="array" ref="E3913">INDEX(C:C,SMALL(IF(ISNUMBER(FIND(CELL("contents"),$C$2:$C$4852)),ROW($C$2:$C$4852),4^8),ROW(C3913)))&amp;""</f>
        <v>#N/A</v>
      </c>
    </row>
    <row r="3914" ht="14.100000000000001" customHeight="1">
      <c r="B3914" s="19" t="s">
        <v>7965</v>
      </c>
      <c r="C3914" s="19" t="s">
        <v>7966</v>
      </c>
      <c r="D3914" s="19" t="s">
        <v>7965</v>
      </c>
      <c r="E3914" s="20" t="e">
        <f t="array" ref="E3914">INDEX(C:C,SMALL(IF(ISNUMBER(FIND(CELL("contents"),$C$2:$C$4852)),ROW($C$2:$C$4852),4^8),ROW(C3914)))&amp;""</f>
        <v>#N/A</v>
      </c>
    </row>
    <row r="3915" ht="14.100000000000001" customHeight="1">
      <c r="B3915" s="19" t="s">
        <v>7967</v>
      </c>
      <c r="C3915" s="19" t="s">
        <v>7968</v>
      </c>
      <c r="D3915" s="19" t="s">
        <v>7967</v>
      </c>
      <c r="E3915" s="20" t="e">
        <f t="array" ref="E3915">INDEX(C:C,SMALL(IF(ISNUMBER(FIND(CELL("contents"),$C$2:$C$4852)),ROW($C$2:$C$4852),4^8),ROW(C3915)))&amp;""</f>
        <v>#N/A</v>
      </c>
    </row>
    <row r="3916" ht="14.100000000000001" customHeight="1">
      <c r="B3916" s="19" t="s">
        <v>7969</v>
      </c>
      <c r="C3916" s="19" t="s">
        <v>7970</v>
      </c>
      <c r="D3916" s="19" t="s">
        <v>7969</v>
      </c>
      <c r="E3916" s="20" t="e">
        <f t="array" ref="E3916">INDEX(C:C,SMALL(IF(ISNUMBER(FIND(CELL("contents"),$C$2:$C$4852)),ROW($C$2:$C$4852),4^8),ROW(C3916)))&amp;""</f>
        <v>#N/A</v>
      </c>
    </row>
    <row r="3917" ht="14.100000000000001" customHeight="1">
      <c r="B3917" s="19" t="s">
        <v>7971</v>
      </c>
      <c r="C3917" s="19" t="s">
        <v>7972</v>
      </c>
      <c r="D3917" s="19" t="s">
        <v>7971</v>
      </c>
      <c r="E3917" s="20" t="e">
        <f t="array" ref="E3917">INDEX(C:C,SMALL(IF(ISNUMBER(FIND(CELL("contents"),$C$2:$C$4852)),ROW($C$2:$C$4852),4^8),ROW(C3917)))&amp;""</f>
        <v>#N/A</v>
      </c>
    </row>
    <row r="3918" ht="14.100000000000001" customHeight="1">
      <c r="B3918" s="19" t="s">
        <v>7973</v>
      </c>
      <c r="C3918" s="19" t="s">
        <v>7974</v>
      </c>
      <c r="D3918" s="19" t="s">
        <v>7973</v>
      </c>
      <c r="E3918" s="20" t="e">
        <f t="array" ref="E3918">INDEX(C:C,SMALL(IF(ISNUMBER(FIND(CELL("contents"),$C$2:$C$4852)),ROW($C$2:$C$4852),4^8),ROW(C3918)))&amp;""</f>
        <v>#N/A</v>
      </c>
    </row>
    <row r="3919" ht="14.100000000000001" customHeight="1">
      <c r="B3919" s="19" t="s">
        <v>7975</v>
      </c>
      <c r="C3919" s="19" t="s">
        <v>7976</v>
      </c>
      <c r="D3919" s="19" t="s">
        <v>7975</v>
      </c>
      <c r="E3919" s="20" t="e">
        <f t="array" ref="E3919">INDEX(C:C,SMALL(IF(ISNUMBER(FIND(CELL("contents"),$C$2:$C$4852)),ROW($C$2:$C$4852),4^8),ROW(C3919)))&amp;""</f>
        <v>#N/A</v>
      </c>
    </row>
    <row r="3920" ht="14.100000000000001" customHeight="1">
      <c r="B3920" s="19" t="s">
        <v>7977</v>
      </c>
      <c r="C3920" s="19" t="s">
        <v>7978</v>
      </c>
      <c r="D3920" s="19" t="s">
        <v>7977</v>
      </c>
      <c r="E3920" s="20" t="e">
        <f t="array" ref="E3920">INDEX(C:C,SMALL(IF(ISNUMBER(FIND(CELL("contents"),$C$2:$C$4852)),ROW($C$2:$C$4852),4^8),ROW(C3920)))&amp;""</f>
        <v>#N/A</v>
      </c>
    </row>
    <row r="3921" ht="14.100000000000001" customHeight="1">
      <c r="B3921" s="19" t="s">
        <v>7979</v>
      </c>
      <c r="C3921" s="19" t="s">
        <v>7980</v>
      </c>
      <c r="D3921" s="19" t="s">
        <v>7979</v>
      </c>
      <c r="E3921" s="20" t="e">
        <f t="array" ref="E3921">INDEX(C:C,SMALL(IF(ISNUMBER(FIND(CELL("contents"),$C$2:$C$4852)),ROW($C$2:$C$4852),4^8),ROW(C3921)))&amp;""</f>
        <v>#N/A</v>
      </c>
    </row>
    <row r="3922" ht="14.100000000000001" customHeight="1">
      <c r="B3922" s="19" t="s">
        <v>7981</v>
      </c>
      <c r="C3922" s="19" t="s">
        <v>7982</v>
      </c>
      <c r="D3922" s="19" t="s">
        <v>7981</v>
      </c>
      <c r="E3922" s="20" t="e">
        <f t="array" ref="E3922">INDEX(C:C,SMALL(IF(ISNUMBER(FIND(CELL("contents"),$C$2:$C$4852)),ROW($C$2:$C$4852),4^8),ROW(C3922)))&amp;""</f>
        <v>#N/A</v>
      </c>
    </row>
    <row r="3923" ht="14.100000000000001" customHeight="1">
      <c r="B3923" s="19" t="s">
        <v>7983</v>
      </c>
      <c r="C3923" s="19" t="s">
        <v>7984</v>
      </c>
      <c r="D3923" s="19" t="s">
        <v>7983</v>
      </c>
      <c r="E3923" s="20" t="e">
        <f t="array" ref="E3923">INDEX(C:C,SMALL(IF(ISNUMBER(FIND(CELL("contents"),$C$2:$C$4852)),ROW($C$2:$C$4852),4^8),ROW(C3923)))&amp;""</f>
        <v>#N/A</v>
      </c>
    </row>
    <row r="3924" ht="14.100000000000001" customHeight="1">
      <c r="B3924" s="19" t="s">
        <v>7985</v>
      </c>
      <c r="C3924" s="19" t="s">
        <v>7986</v>
      </c>
      <c r="D3924" s="19" t="s">
        <v>7985</v>
      </c>
      <c r="E3924" s="20" t="e">
        <f t="array" ref="E3924">INDEX(C:C,SMALL(IF(ISNUMBER(FIND(CELL("contents"),$C$2:$C$4852)),ROW($C$2:$C$4852),4^8),ROW(C3924)))&amp;""</f>
        <v>#N/A</v>
      </c>
    </row>
    <row r="3925" ht="14.100000000000001" customHeight="1">
      <c r="B3925" s="19" t="s">
        <v>7987</v>
      </c>
      <c r="C3925" s="19" t="s">
        <v>7988</v>
      </c>
      <c r="D3925" s="19" t="s">
        <v>7987</v>
      </c>
      <c r="E3925" s="20" t="e">
        <f t="array" ref="E3925">INDEX(C:C,SMALL(IF(ISNUMBER(FIND(CELL("contents"),$C$2:$C$4852)),ROW($C$2:$C$4852),4^8),ROW(C3925)))&amp;""</f>
        <v>#N/A</v>
      </c>
    </row>
    <row r="3926" ht="14.100000000000001" customHeight="1">
      <c r="B3926" s="19" t="s">
        <v>7989</v>
      </c>
      <c r="C3926" s="19" t="s">
        <v>7990</v>
      </c>
      <c r="D3926" s="19" t="s">
        <v>7989</v>
      </c>
      <c r="E3926" s="20" t="e">
        <f t="array" ref="E3926">INDEX(C:C,SMALL(IF(ISNUMBER(FIND(CELL("contents"),$C$2:$C$4852)),ROW($C$2:$C$4852),4^8),ROW(C3926)))&amp;""</f>
        <v>#N/A</v>
      </c>
    </row>
    <row r="3927" ht="14.100000000000001" customHeight="1">
      <c r="B3927" s="19" t="s">
        <v>7991</v>
      </c>
      <c r="C3927" s="19" t="s">
        <v>7992</v>
      </c>
      <c r="D3927" s="19" t="s">
        <v>7991</v>
      </c>
      <c r="E3927" s="20" t="e">
        <f t="array" ref="E3927">INDEX(C:C,SMALL(IF(ISNUMBER(FIND(CELL("contents"),$C$2:$C$4852)),ROW($C$2:$C$4852),4^8),ROW(C3927)))&amp;""</f>
        <v>#N/A</v>
      </c>
    </row>
    <row r="3928" ht="14.100000000000001" customHeight="1">
      <c r="B3928" s="19" t="s">
        <v>7993</v>
      </c>
      <c r="C3928" s="19" t="s">
        <v>7994</v>
      </c>
      <c r="D3928" s="19" t="s">
        <v>7993</v>
      </c>
      <c r="E3928" s="20" t="e">
        <f t="array" ref="E3928">INDEX(C:C,SMALL(IF(ISNUMBER(FIND(CELL("contents"),$C$2:$C$4852)),ROW($C$2:$C$4852),4^8),ROW(C3928)))&amp;""</f>
        <v>#N/A</v>
      </c>
    </row>
    <row r="3929" ht="14.100000000000001" customHeight="1">
      <c r="B3929" s="19" t="s">
        <v>7995</v>
      </c>
      <c r="C3929" s="19" t="s">
        <v>7996</v>
      </c>
      <c r="D3929" s="19" t="s">
        <v>7995</v>
      </c>
      <c r="E3929" s="20" t="e">
        <f t="array" ref="E3929">INDEX(C:C,SMALL(IF(ISNUMBER(FIND(CELL("contents"),$C$2:$C$4852)),ROW($C$2:$C$4852),4^8),ROW(C3929)))&amp;""</f>
        <v>#N/A</v>
      </c>
    </row>
    <row r="3930" ht="14.100000000000001" customHeight="1">
      <c r="B3930" s="19" t="s">
        <v>7997</v>
      </c>
      <c r="C3930" s="19" t="s">
        <v>7998</v>
      </c>
      <c r="D3930" s="19" t="s">
        <v>7997</v>
      </c>
      <c r="E3930" s="20" t="e">
        <f t="array" ref="E3930">INDEX(C:C,SMALL(IF(ISNUMBER(FIND(CELL("contents"),$C$2:$C$4852)),ROW($C$2:$C$4852),4^8),ROW(C3930)))&amp;""</f>
        <v>#N/A</v>
      </c>
    </row>
    <row r="3931" ht="14.100000000000001" customHeight="1">
      <c r="B3931" s="19" t="s">
        <v>7999</v>
      </c>
      <c r="C3931" s="19" t="s">
        <v>8000</v>
      </c>
      <c r="D3931" s="19" t="s">
        <v>7999</v>
      </c>
      <c r="E3931" s="20" t="e">
        <f t="array" ref="E3931">INDEX(C:C,SMALL(IF(ISNUMBER(FIND(CELL("contents"),$C$2:$C$4852)),ROW($C$2:$C$4852),4^8),ROW(C3931)))&amp;""</f>
        <v>#N/A</v>
      </c>
    </row>
    <row r="3932" ht="14.100000000000001" customHeight="1">
      <c r="B3932" s="19" t="s">
        <v>8001</v>
      </c>
      <c r="C3932" s="19" t="s">
        <v>8002</v>
      </c>
      <c r="D3932" s="19" t="s">
        <v>8001</v>
      </c>
      <c r="E3932" s="20" t="e">
        <f t="array" ref="E3932">INDEX(C:C,SMALL(IF(ISNUMBER(FIND(CELL("contents"),$C$2:$C$4852)),ROW($C$2:$C$4852),4^8),ROW(C3932)))&amp;""</f>
        <v>#N/A</v>
      </c>
    </row>
    <row r="3933" ht="14.100000000000001" customHeight="1">
      <c r="B3933" s="19" t="s">
        <v>8003</v>
      </c>
      <c r="C3933" s="19" t="s">
        <v>8004</v>
      </c>
      <c r="D3933" s="19" t="s">
        <v>8003</v>
      </c>
      <c r="E3933" s="20" t="e">
        <f t="array" ref="E3933">INDEX(C:C,SMALL(IF(ISNUMBER(FIND(CELL("contents"),$C$2:$C$4852)),ROW($C$2:$C$4852),4^8),ROW(C3933)))&amp;""</f>
        <v>#N/A</v>
      </c>
    </row>
    <row r="3934" ht="14.100000000000001" customHeight="1">
      <c r="B3934" s="19" t="s">
        <v>8005</v>
      </c>
      <c r="C3934" s="19" t="s">
        <v>8006</v>
      </c>
      <c r="D3934" s="19" t="s">
        <v>8005</v>
      </c>
      <c r="E3934" s="20" t="e">
        <f t="array" ref="E3934">INDEX(C:C,SMALL(IF(ISNUMBER(FIND(CELL("contents"),$C$2:$C$4852)),ROW($C$2:$C$4852),4^8),ROW(C3934)))&amp;""</f>
        <v>#N/A</v>
      </c>
    </row>
    <row r="3935" ht="14.100000000000001" customHeight="1">
      <c r="B3935" s="19" t="s">
        <v>8007</v>
      </c>
      <c r="C3935" s="19" t="s">
        <v>8008</v>
      </c>
      <c r="D3935" s="19" t="s">
        <v>8007</v>
      </c>
      <c r="E3935" s="20" t="e">
        <f t="array" ref="E3935">INDEX(C:C,SMALL(IF(ISNUMBER(FIND(CELL("contents"),$C$2:$C$4852)),ROW($C$2:$C$4852),4^8),ROW(C3935)))&amp;""</f>
        <v>#N/A</v>
      </c>
    </row>
    <row r="3936" ht="14.100000000000001" customHeight="1">
      <c r="B3936" s="19" t="s">
        <v>8009</v>
      </c>
      <c r="C3936" s="19" t="s">
        <v>8010</v>
      </c>
      <c r="D3936" s="19" t="s">
        <v>8009</v>
      </c>
      <c r="E3936" s="20" t="e">
        <f t="array" ref="E3936">INDEX(C:C,SMALL(IF(ISNUMBER(FIND(CELL("contents"),$C$2:$C$4852)),ROW($C$2:$C$4852),4^8),ROW(C3936)))&amp;""</f>
        <v>#N/A</v>
      </c>
    </row>
    <row r="3937" ht="14.100000000000001" customHeight="1">
      <c r="B3937" s="19" t="s">
        <v>8011</v>
      </c>
      <c r="C3937" s="19" t="s">
        <v>8012</v>
      </c>
      <c r="D3937" s="19" t="s">
        <v>8011</v>
      </c>
      <c r="E3937" s="20" t="e">
        <f t="array" ref="E3937">INDEX(C:C,SMALL(IF(ISNUMBER(FIND(CELL("contents"),$C$2:$C$4852)),ROW($C$2:$C$4852),4^8),ROW(C3937)))&amp;""</f>
        <v>#N/A</v>
      </c>
    </row>
    <row r="3938" ht="14.100000000000001" customHeight="1">
      <c r="B3938" s="19" t="s">
        <v>8013</v>
      </c>
      <c r="C3938" s="19" t="s">
        <v>8014</v>
      </c>
      <c r="D3938" s="19" t="s">
        <v>8013</v>
      </c>
      <c r="E3938" s="20" t="e">
        <f t="array" ref="E3938">INDEX(C:C,SMALL(IF(ISNUMBER(FIND(CELL("contents"),$C$2:$C$4852)),ROW($C$2:$C$4852),4^8),ROW(C3938)))&amp;""</f>
        <v>#N/A</v>
      </c>
    </row>
    <row r="3939" ht="14.100000000000001" customHeight="1">
      <c r="B3939" s="19" t="s">
        <v>8015</v>
      </c>
      <c r="C3939" s="19" t="s">
        <v>8016</v>
      </c>
      <c r="D3939" s="19" t="s">
        <v>8015</v>
      </c>
      <c r="E3939" s="20" t="e">
        <f t="array" ref="E3939">INDEX(C:C,SMALL(IF(ISNUMBER(FIND(CELL("contents"),$C$2:$C$4852)),ROW($C$2:$C$4852),4^8),ROW(C3939)))&amp;""</f>
        <v>#N/A</v>
      </c>
    </row>
    <row r="3940" ht="14.100000000000001" customHeight="1">
      <c r="B3940" s="19" t="s">
        <v>8017</v>
      </c>
      <c r="C3940" s="19" t="s">
        <v>8018</v>
      </c>
      <c r="D3940" s="19" t="s">
        <v>8017</v>
      </c>
      <c r="E3940" s="20" t="e">
        <f t="array" ref="E3940">INDEX(C:C,SMALL(IF(ISNUMBER(FIND(CELL("contents"),$C$2:$C$4852)),ROW($C$2:$C$4852),4^8),ROW(C3940)))&amp;""</f>
        <v>#N/A</v>
      </c>
    </row>
    <row r="3941" ht="14.100000000000001" customHeight="1">
      <c r="B3941" s="19" t="s">
        <v>8019</v>
      </c>
      <c r="C3941" s="19" t="s">
        <v>8020</v>
      </c>
      <c r="D3941" s="19" t="s">
        <v>8019</v>
      </c>
      <c r="E3941" s="20" t="e">
        <f t="array" ref="E3941">INDEX(C:C,SMALL(IF(ISNUMBER(FIND(CELL("contents"),$C$2:$C$4852)),ROW($C$2:$C$4852),4^8),ROW(C3941)))&amp;""</f>
        <v>#N/A</v>
      </c>
    </row>
    <row r="3942" ht="14.100000000000001" customHeight="1">
      <c r="B3942" s="19" t="s">
        <v>8021</v>
      </c>
      <c r="C3942" s="19" t="s">
        <v>8022</v>
      </c>
      <c r="D3942" s="19" t="s">
        <v>8021</v>
      </c>
      <c r="E3942" s="20" t="e">
        <f t="array" ref="E3942">INDEX(C:C,SMALL(IF(ISNUMBER(FIND(CELL("contents"),$C$2:$C$4852)),ROW($C$2:$C$4852),4^8),ROW(C3942)))&amp;""</f>
        <v>#N/A</v>
      </c>
    </row>
    <row r="3943" ht="14.100000000000001" customHeight="1">
      <c r="B3943" s="19" t="s">
        <v>8023</v>
      </c>
      <c r="C3943" s="19" t="s">
        <v>8024</v>
      </c>
      <c r="D3943" s="19" t="s">
        <v>8023</v>
      </c>
      <c r="E3943" s="20" t="e">
        <f t="array" ref="E3943">INDEX(C:C,SMALL(IF(ISNUMBER(FIND(CELL("contents"),$C$2:$C$4852)),ROW($C$2:$C$4852),4^8),ROW(C3943)))&amp;""</f>
        <v>#N/A</v>
      </c>
    </row>
    <row r="3944" ht="14.100000000000001" customHeight="1">
      <c r="B3944" s="19" t="s">
        <v>8025</v>
      </c>
      <c r="C3944" s="19" t="s">
        <v>8026</v>
      </c>
      <c r="D3944" s="19" t="s">
        <v>8025</v>
      </c>
      <c r="E3944" s="20" t="e">
        <f t="array" ref="E3944">INDEX(C:C,SMALL(IF(ISNUMBER(FIND(CELL("contents"),$C$2:$C$4852)),ROW($C$2:$C$4852),4^8),ROW(C3944)))&amp;""</f>
        <v>#N/A</v>
      </c>
    </row>
    <row r="3945" ht="14.100000000000001" customHeight="1">
      <c r="B3945" s="19" t="s">
        <v>8027</v>
      </c>
      <c r="C3945" s="19" t="s">
        <v>8028</v>
      </c>
      <c r="D3945" s="19" t="s">
        <v>8027</v>
      </c>
      <c r="E3945" s="20" t="e">
        <f t="array" ref="E3945">INDEX(C:C,SMALL(IF(ISNUMBER(FIND(CELL("contents"),$C$2:$C$4852)),ROW($C$2:$C$4852),4^8),ROW(C3945)))&amp;""</f>
        <v>#N/A</v>
      </c>
    </row>
    <row r="3946" ht="14.100000000000001" customHeight="1">
      <c r="B3946" s="19" t="s">
        <v>8029</v>
      </c>
      <c r="C3946" s="19" t="s">
        <v>8030</v>
      </c>
      <c r="D3946" s="19" t="s">
        <v>8029</v>
      </c>
      <c r="E3946" s="20" t="e">
        <f t="array" ref="E3946">INDEX(C:C,SMALL(IF(ISNUMBER(FIND(CELL("contents"),$C$2:$C$4852)),ROW($C$2:$C$4852),4^8),ROW(C3946)))&amp;""</f>
        <v>#N/A</v>
      </c>
    </row>
    <row r="3947" ht="14.100000000000001" customHeight="1">
      <c r="B3947" s="19" t="s">
        <v>8031</v>
      </c>
      <c r="C3947" s="19" t="s">
        <v>8032</v>
      </c>
      <c r="D3947" s="19" t="s">
        <v>8031</v>
      </c>
      <c r="E3947" s="20" t="e">
        <f t="array" ref="E3947">INDEX(C:C,SMALL(IF(ISNUMBER(FIND(CELL("contents"),$C$2:$C$4852)),ROW($C$2:$C$4852),4^8),ROW(C3947)))&amp;""</f>
        <v>#N/A</v>
      </c>
    </row>
    <row r="3948" ht="14.100000000000001" customHeight="1">
      <c r="B3948" s="19" t="s">
        <v>8033</v>
      </c>
      <c r="C3948" s="19" t="s">
        <v>8034</v>
      </c>
      <c r="D3948" s="19" t="s">
        <v>8033</v>
      </c>
      <c r="E3948" s="20" t="e">
        <f t="array" ref="E3948">INDEX(C:C,SMALL(IF(ISNUMBER(FIND(CELL("contents"),$C$2:$C$4852)),ROW($C$2:$C$4852),4^8),ROW(C3948)))&amp;""</f>
        <v>#N/A</v>
      </c>
    </row>
    <row r="3949" ht="14.100000000000001" customHeight="1">
      <c r="B3949" s="19" t="s">
        <v>8035</v>
      </c>
      <c r="C3949" s="19" t="s">
        <v>8036</v>
      </c>
      <c r="D3949" s="19" t="s">
        <v>8035</v>
      </c>
      <c r="E3949" s="20" t="e">
        <f t="array" ref="E3949">INDEX(C:C,SMALL(IF(ISNUMBER(FIND(CELL("contents"),$C$2:$C$4852)),ROW($C$2:$C$4852),4^8),ROW(C3949)))&amp;""</f>
        <v>#N/A</v>
      </c>
    </row>
    <row r="3950" ht="14.100000000000001" customHeight="1">
      <c r="B3950" s="19" t="s">
        <v>8037</v>
      </c>
      <c r="C3950" s="19" t="s">
        <v>8038</v>
      </c>
      <c r="D3950" s="19" t="s">
        <v>8037</v>
      </c>
      <c r="E3950" s="20" t="e">
        <f t="array" ref="E3950">INDEX(C:C,SMALL(IF(ISNUMBER(FIND(CELL("contents"),$C$2:$C$4852)),ROW($C$2:$C$4852),4^8),ROW(C3950)))&amp;""</f>
        <v>#N/A</v>
      </c>
    </row>
    <row r="3951" ht="14.100000000000001" customHeight="1">
      <c r="B3951" s="19" t="s">
        <v>8039</v>
      </c>
      <c r="C3951" s="19" t="s">
        <v>8040</v>
      </c>
      <c r="D3951" s="19" t="s">
        <v>8039</v>
      </c>
      <c r="E3951" s="20" t="e">
        <f t="array" ref="E3951">INDEX(C:C,SMALL(IF(ISNUMBER(FIND(CELL("contents"),$C$2:$C$4852)),ROW($C$2:$C$4852),4^8),ROW(C3951)))&amp;""</f>
        <v>#N/A</v>
      </c>
    </row>
    <row r="3952" ht="14.100000000000001" customHeight="1">
      <c r="B3952" s="19" t="s">
        <v>8041</v>
      </c>
      <c r="C3952" s="19" t="s">
        <v>8042</v>
      </c>
      <c r="D3952" s="19" t="s">
        <v>8041</v>
      </c>
      <c r="E3952" s="20" t="e">
        <f t="array" ref="E3952">INDEX(C:C,SMALL(IF(ISNUMBER(FIND(CELL("contents"),$C$2:$C$4852)),ROW($C$2:$C$4852),4^8),ROW(C3952)))&amp;""</f>
        <v>#N/A</v>
      </c>
    </row>
    <row r="3953" ht="14.100000000000001" customHeight="1">
      <c r="B3953" s="19" t="s">
        <v>8043</v>
      </c>
      <c r="C3953" s="19" t="s">
        <v>8044</v>
      </c>
      <c r="D3953" s="19" t="s">
        <v>8043</v>
      </c>
      <c r="E3953" s="20" t="e">
        <f t="array" ref="E3953">INDEX(C:C,SMALL(IF(ISNUMBER(FIND(CELL("contents"),$C$2:$C$4852)),ROW($C$2:$C$4852),4^8),ROW(C3953)))&amp;""</f>
        <v>#N/A</v>
      </c>
    </row>
    <row r="3954" ht="14.100000000000001" customHeight="1">
      <c r="B3954" s="19" t="s">
        <v>8045</v>
      </c>
      <c r="C3954" s="19" t="s">
        <v>8046</v>
      </c>
      <c r="D3954" s="19" t="s">
        <v>8045</v>
      </c>
      <c r="E3954" s="20" t="e">
        <f t="array" ref="E3954">INDEX(C:C,SMALL(IF(ISNUMBER(FIND(CELL("contents"),$C$2:$C$4852)),ROW($C$2:$C$4852),4^8),ROW(C3954)))&amp;""</f>
        <v>#N/A</v>
      </c>
    </row>
    <row r="3955" ht="14.100000000000001" customHeight="1">
      <c r="B3955" s="19" t="s">
        <v>8047</v>
      </c>
      <c r="C3955" s="19" t="s">
        <v>8048</v>
      </c>
      <c r="D3955" s="19" t="s">
        <v>8047</v>
      </c>
      <c r="E3955" s="20" t="e">
        <f t="array" ref="E3955">INDEX(C:C,SMALL(IF(ISNUMBER(FIND(CELL("contents"),$C$2:$C$4852)),ROW($C$2:$C$4852),4^8),ROW(C3955)))&amp;""</f>
        <v>#N/A</v>
      </c>
    </row>
    <row r="3956" ht="14.100000000000001" customHeight="1">
      <c r="B3956" s="19" t="s">
        <v>8049</v>
      </c>
      <c r="C3956" s="19" t="s">
        <v>8050</v>
      </c>
      <c r="D3956" s="19" t="s">
        <v>8049</v>
      </c>
      <c r="E3956" s="20" t="e">
        <f t="array" ref="E3956">INDEX(C:C,SMALL(IF(ISNUMBER(FIND(CELL("contents"),$C$2:$C$4852)),ROW($C$2:$C$4852),4^8),ROW(C3956)))&amp;""</f>
        <v>#N/A</v>
      </c>
    </row>
    <row r="3957" ht="14.100000000000001" customHeight="1">
      <c r="B3957" s="19" t="s">
        <v>8051</v>
      </c>
      <c r="C3957" s="19" t="s">
        <v>8052</v>
      </c>
      <c r="D3957" s="19" t="s">
        <v>8051</v>
      </c>
      <c r="E3957" s="20" t="e">
        <f t="array" ref="E3957">INDEX(C:C,SMALL(IF(ISNUMBER(FIND(CELL("contents"),$C$2:$C$4852)),ROW($C$2:$C$4852),4^8),ROW(C3957)))&amp;""</f>
        <v>#N/A</v>
      </c>
    </row>
    <row r="3958" ht="14.100000000000001" customHeight="1">
      <c r="B3958" s="19" t="s">
        <v>8053</v>
      </c>
      <c r="C3958" s="19" t="s">
        <v>8054</v>
      </c>
      <c r="D3958" s="19" t="s">
        <v>8053</v>
      </c>
      <c r="E3958" s="20" t="e">
        <f t="array" ref="E3958">INDEX(C:C,SMALL(IF(ISNUMBER(FIND(CELL("contents"),$C$2:$C$4852)),ROW($C$2:$C$4852),4^8),ROW(C3958)))&amp;""</f>
        <v>#N/A</v>
      </c>
    </row>
    <row r="3959" ht="14.100000000000001" customHeight="1">
      <c r="B3959" s="19" t="s">
        <v>8055</v>
      </c>
      <c r="C3959" s="19" t="s">
        <v>8056</v>
      </c>
      <c r="D3959" s="19" t="s">
        <v>8055</v>
      </c>
      <c r="E3959" s="20" t="e">
        <f t="array" ref="E3959">INDEX(C:C,SMALL(IF(ISNUMBER(FIND(CELL("contents"),$C$2:$C$4852)),ROW($C$2:$C$4852),4^8),ROW(C3959)))&amp;""</f>
        <v>#N/A</v>
      </c>
    </row>
    <row r="3960" ht="14.100000000000001" customHeight="1">
      <c r="B3960" s="19" t="s">
        <v>8057</v>
      </c>
      <c r="C3960" s="19" t="s">
        <v>8058</v>
      </c>
      <c r="D3960" s="19" t="s">
        <v>8057</v>
      </c>
      <c r="E3960" s="20" t="e">
        <f t="array" ref="E3960">INDEX(C:C,SMALL(IF(ISNUMBER(FIND(CELL("contents"),$C$2:$C$4852)),ROW($C$2:$C$4852),4^8),ROW(C3960)))&amp;""</f>
        <v>#N/A</v>
      </c>
    </row>
    <row r="3961" ht="14.100000000000001" customHeight="1">
      <c r="B3961" s="19" t="s">
        <v>8059</v>
      </c>
      <c r="C3961" s="19" t="s">
        <v>8060</v>
      </c>
      <c r="D3961" s="19" t="s">
        <v>8059</v>
      </c>
      <c r="E3961" s="20" t="e">
        <f t="array" ref="E3961">INDEX(C:C,SMALL(IF(ISNUMBER(FIND(CELL("contents"),$C$2:$C$4852)),ROW($C$2:$C$4852),4^8),ROW(C3961)))&amp;""</f>
        <v>#N/A</v>
      </c>
    </row>
    <row r="3962" ht="14.100000000000001" customHeight="1">
      <c r="B3962" s="19" t="s">
        <v>8061</v>
      </c>
      <c r="C3962" s="19" t="s">
        <v>8062</v>
      </c>
      <c r="D3962" s="19" t="s">
        <v>8061</v>
      </c>
      <c r="E3962" s="20" t="e">
        <f t="array" ref="E3962">INDEX(C:C,SMALL(IF(ISNUMBER(FIND(CELL("contents"),$C$2:$C$4852)),ROW($C$2:$C$4852),4^8),ROW(C3962)))&amp;""</f>
        <v>#N/A</v>
      </c>
    </row>
    <row r="3963" ht="14.100000000000001" customHeight="1">
      <c r="B3963" s="19" t="s">
        <v>8063</v>
      </c>
      <c r="C3963" s="19" t="s">
        <v>8064</v>
      </c>
      <c r="D3963" s="19" t="s">
        <v>8063</v>
      </c>
      <c r="E3963" s="20" t="e">
        <f t="array" ref="E3963">INDEX(C:C,SMALL(IF(ISNUMBER(FIND(CELL("contents"),$C$2:$C$4852)),ROW($C$2:$C$4852),4^8),ROW(C3963)))&amp;""</f>
        <v>#N/A</v>
      </c>
    </row>
    <row r="3964" ht="14.100000000000001" customHeight="1">
      <c r="B3964" s="19" t="s">
        <v>8065</v>
      </c>
      <c r="C3964" s="19" t="s">
        <v>8066</v>
      </c>
      <c r="D3964" s="19" t="s">
        <v>8065</v>
      </c>
      <c r="E3964" s="20" t="e">
        <f t="array" ref="E3964">INDEX(C:C,SMALL(IF(ISNUMBER(FIND(CELL("contents"),$C$2:$C$4852)),ROW($C$2:$C$4852),4^8),ROW(C3964)))&amp;""</f>
        <v>#N/A</v>
      </c>
    </row>
    <row r="3965" ht="14.100000000000001" customHeight="1">
      <c r="B3965" s="19" t="s">
        <v>8067</v>
      </c>
      <c r="C3965" s="19" t="s">
        <v>8068</v>
      </c>
      <c r="D3965" s="19" t="s">
        <v>8067</v>
      </c>
      <c r="E3965" s="20" t="e">
        <f t="array" ref="E3965">INDEX(C:C,SMALL(IF(ISNUMBER(FIND(CELL("contents"),$C$2:$C$4852)),ROW($C$2:$C$4852),4^8),ROW(C3965)))&amp;""</f>
        <v>#N/A</v>
      </c>
    </row>
    <row r="3966" ht="14.100000000000001" customHeight="1">
      <c r="B3966" s="19" t="s">
        <v>8069</v>
      </c>
      <c r="C3966" s="19" t="s">
        <v>8070</v>
      </c>
      <c r="D3966" s="19" t="s">
        <v>8069</v>
      </c>
      <c r="E3966" s="20" t="e">
        <f t="array" ref="E3966">INDEX(C:C,SMALL(IF(ISNUMBER(FIND(CELL("contents"),$C$2:$C$4852)),ROW($C$2:$C$4852),4^8),ROW(C3966)))&amp;""</f>
        <v>#N/A</v>
      </c>
    </row>
    <row r="3967" ht="14.100000000000001" customHeight="1">
      <c r="B3967" s="19" t="s">
        <v>8071</v>
      </c>
      <c r="C3967" s="19" t="s">
        <v>8072</v>
      </c>
      <c r="D3967" s="19" t="s">
        <v>8071</v>
      </c>
      <c r="E3967" s="20" t="e">
        <f t="array" ref="E3967">INDEX(C:C,SMALL(IF(ISNUMBER(FIND(CELL("contents"),$C$2:$C$4852)),ROW($C$2:$C$4852),4^8),ROW(C3967)))&amp;""</f>
        <v>#N/A</v>
      </c>
    </row>
    <row r="3968" ht="14.100000000000001" customHeight="1">
      <c r="B3968" s="19" t="s">
        <v>8073</v>
      </c>
      <c r="C3968" s="19" t="s">
        <v>8074</v>
      </c>
      <c r="D3968" s="19" t="s">
        <v>8073</v>
      </c>
      <c r="E3968" s="20" t="e">
        <f t="array" ref="E3968">INDEX(C:C,SMALL(IF(ISNUMBER(FIND(CELL("contents"),$C$2:$C$4852)),ROW($C$2:$C$4852),4^8),ROW(C3968)))&amp;""</f>
        <v>#N/A</v>
      </c>
    </row>
    <row r="3969" ht="14.100000000000001" customHeight="1">
      <c r="B3969" s="19" t="s">
        <v>8075</v>
      </c>
      <c r="C3969" s="19" t="s">
        <v>8076</v>
      </c>
      <c r="D3969" s="19" t="s">
        <v>8075</v>
      </c>
      <c r="E3969" s="20" t="e">
        <f t="array" ref="E3969">INDEX(C:C,SMALL(IF(ISNUMBER(FIND(CELL("contents"),$C$2:$C$4852)),ROW($C$2:$C$4852),4^8),ROW(C3969)))&amp;""</f>
        <v>#N/A</v>
      </c>
    </row>
    <row r="3970" ht="14.100000000000001" customHeight="1">
      <c r="B3970" s="19" t="s">
        <v>8077</v>
      </c>
      <c r="C3970" s="19" t="s">
        <v>8078</v>
      </c>
      <c r="D3970" s="19" t="s">
        <v>8077</v>
      </c>
      <c r="E3970" s="20" t="e">
        <f t="array" ref="E3970">INDEX(C:C,SMALL(IF(ISNUMBER(FIND(CELL("contents"),$C$2:$C$4852)),ROW($C$2:$C$4852),4^8),ROW(C3970)))&amp;""</f>
        <v>#N/A</v>
      </c>
    </row>
    <row r="3971" ht="14.100000000000001" customHeight="1">
      <c r="B3971" s="19" t="s">
        <v>8079</v>
      </c>
      <c r="C3971" s="19" t="s">
        <v>8080</v>
      </c>
      <c r="D3971" s="19" t="s">
        <v>8079</v>
      </c>
      <c r="E3971" s="20" t="e">
        <f t="array" ref="E3971">INDEX(C:C,SMALL(IF(ISNUMBER(FIND(CELL("contents"),$C$2:$C$4852)),ROW($C$2:$C$4852),4^8),ROW(C3971)))&amp;""</f>
        <v>#N/A</v>
      </c>
    </row>
    <row r="3972" ht="14.100000000000001" customHeight="1">
      <c r="B3972" s="19" t="s">
        <v>8081</v>
      </c>
      <c r="C3972" s="19" t="s">
        <v>8082</v>
      </c>
      <c r="D3972" s="19" t="s">
        <v>8081</v>
      </c>
      <c r="E3972" s="20" t="e">
        <f t="array" ref="E3972">INDEX(C:C,SMALL(IF(ISNUMBER(FIND(CELL("contents"),$C$2:$C$4852)),ROW($C$2:$C$4852),4^8),ROW(C3972)))&amp;""</f>
        <v>#N/A</v>
      </c>
    </row>
    <row r="3973" ht="14.100000000000001" customHeight="1">
      <c r="B3973" s="19" t="s">
        <v>8083</v>
      </c>
      <c r="C3973" s="19" t="s">
        <v>8084</v>
      </c>
      <c r="D3973" s="19" t="s">
        <v>8083</v>
      </c>
      <c r="E3973" s="20" t="e">
        <f t="array" ref="E3973">INDEX(C:C,SMALL(IF(ISNUMBER(FIND(CELL("contents"),$C$2:$C$4852)),ROW($C$2:$C$4852),4^8),ROW(C3973)))&amp;""</f>
        <v>#N/A</v>
      </c>
    </row>
    <row r="3974" ht="14.100000000000001" customHeight="1">
      <c r="B3974" s="19" t="s">
        <v>8085</v>
      </c>
      <c r="C3974" s="19" t="s">
        <v>8086</v>
      </c>
      <c r="D3974" s="19" t="s">
        <v>8085</v>
      </c>
      <c r="E3974" s="20" t="e">
        <f t="array" ref="E3974">INDEX(C:C,SMALL(IF(ISNUMBER(FIND(CELL("contents"),$C$2:$C$4852)),ROW($C$2:$C$4852),4^8),ROW(C3974)))&amp;""</f>
        <v>#N/A</v>
      </c>
    </row>
    <row r="3975" ht="14.100000000000001" customHeight="1">
      <c r="B3975" s="19" t="s">
        <v>8087</v>
      </c>
      <c r="C3975" s="19" t="s">
        <v>8088</v>
      </c>
      <c r="D3975" s="19" t="s">
        <v>8087</v>
      </c>
      <c r="E3975" s="20" t="e">
        <f t="array" ref="E3975">INDEX(C:C,SMALL(IF(ISNUMBER(FIND(CELL("contents"),$C$2:$C$4852)),ROW($C$2:$C$4852),4^8),ROW(C3975)))&amp;""</f>
        <v>#N/A</v>
      </c>
    </row>
    <row r="3976" ht="14.100000000000001" customHeight="1">
      <c r="B3976" s="19" t="s">
        <v>8089</v>
      </c>
      <c r="C3976" s="19" t="s">
        <v>8090</v>
      </c>
      <c r="D3976" s="19" t="s">
        <v>8089</v>
      </c>
      <c r="E3976" s="20" t="e">
        <f t="array" ref="E3976">INDEX(C:C,SMALL(IF(ISNUMBER(FIND(CELL("contents"),$C$2:$C$4852)),ROW($C$2:$C$4852),4^8),ROW(C3976)))&amp;""</f>
        <v>#N/A</v>
      </c>
    </row>
    <row r="3977" ht="14.100000000000001" customHeight="1">
      <c r="B3977" s="19" t="s">
        <v>8091</v>
      </c>
      <c r="C3977" s="19" t="s">
        <v>8092</v>
      </c>
      <c r="D3977" s="19" t="s">
        <v>8091</v>
      </c>
      <c r="E3977" s="20" t="e">
        <f t="array" ref="E3977">INDEX(C:C,SMALL(IF(ISNUMBER(FIND(CELL("contents"),$C$2:$C$4852)),ROW($C$2:$C$4852),4^8),ROW(C3977)))&amp;""</f>
        <v>#N/A</v>
      </c>
    </row>
    <row r="3978" ht="14.100000000000001" customHeight="1">
      <c r="B3978" s="19" t="s">
        <v>8093</v>
      </c>
      <c r="C3978" s="19" t="s">
        <v>8094</v>
      </c>
      <c r="D3978" s="19" t="s">
        <v>8093</v>
      </c>
      <c r="E3978" s="20" t="e">
        <f t="array" ref="E3978">INDEX(C:C,SMALL(IF(ISNUMBER(FIND(CELL("contents"),$C$2:$C$4852)),ROW($C$2:$C$4852),4^8),ROW(C3978)))&amp;""</f>
        <v>#N/A</v>
      </c>
    </row>
    <row r="3979" ht="14.100000000000001" customHeight="1">
      <c r="B3979" s="19" t="s">
        <v>8095</v>
      </c>
      <c r="C3979" s="19" t="s">
        <v>8096</v>
      </c>
      <c r="D3979" s="19" t="s">
        <v>8095</v>
      </c>
      <c r="E3979" s="20" t="e">
        <f t="array" ref="E3979">INDEX(C:C,SMALL(IF(ISNUMBER(FIND(CELL("contents"),$C$2:$C$4852)),ROW($C$2:$C$4852),4^8),ROW(C3979)))&amp;""</f>
        <v>#N/A</v>
      </c>
    </row>
    <row r="3980" ht="14.100000000000001" customHeight="1">
      <c r="B3980" s="19" t="s">
        <v>8097</v>
      </c>
      <c r="C3980" s="19" t="s">
        <v>8098</v>
      </c>
      <c r="D3980" s="19" t="s">
        <v>8097</v>
      </c>
      <c r="E3980" s="20" t="e">
        <f t="array" ref="E3980">INDEX(C:C,SMALL(IF(ISNUMBER(FIND(CELL("contents"),$C$2:$C$4852)),ROW($C$2:$C$4852),4^8),ROW(C3980)))&amp;""</f>
        <v>#N/A</v>
      </c>
    </row>
    <row r="3981" ht="14.100000000000001" customHeight="1">
      <c r="B3981" s="19" t="s">
        <v>8099</v>
      </c>
      <c r="C3981" s="19" t="s">
        <v>8100</v>
      </c>
      <c r="D3981" s="19" t="s">
        <v>8099</v>
      </c>
      <c r="E3981" s="20" t="e">
        <f t="array" ref="E3981">INDEX(C:C,SMALL(IF(ISNUMBER(FIND(CELL("contents"),$C$2:$C$4852)),ROW($C$2:$C$4852),4^8),ROW(C3981)))&amp;""</f>
        <v>#N/A</v>
      </c>
    </row>
    <row r="3982" ht="14.100000000000001" customHeight="1">
      <c r="B3982" s="19" t="s">
        <v>8101</v>
      </c>
      <c r="C3982" s="19" t="s">
        <v>8102</v>
      </c>
      <c r="D3982" s="19" t="s">
        <v>8101</v>
      </c>
      <c r="E3982" s="20" t="e">
        <f t="array" ref="E3982">INDEX(C:C,SMALL(IF(ISNUMBER(FIND(CELL("contents"),$C$2:$C$4852)),ROW($C$2:$C$4852),4^8),ROW(C3982)))&amp;""</f>
        <v>#N/A</v>
      </c>
    </row>
    <row r="3983" ht="14.100000000000001" customHeight="1">
      <c r="B3983" s="19" t="s">
        <v>8103</v>
      </c>
      <c r="C3983" s="19" t="s">
        <v>8104</v>
      </c>
      <c r="D3983" s="19" t="s">
        <v>8103</v>
      </c>
      <c r="E3983" s="20" t="e">
        <f t="array" ref="E3983">INDEX(C:C,SMALL(IF(ISNUMBER(FIND(CELL("contents"),$C$2:$C$4852)),ROW($C$2:$C$4852),4^8),ROW(C3983)))&amp;""</f>
        <v>#N/A</v>
      </c>
    </row>
    <row r="3984" ht="14.100000000000001" customHeight="1">
      <c r="B3984" s="19" t="s">
        <v>8105</v>
      </c>
      <c r="C3984" s="19" t="s">
        <v>8106</v>
      </c>
      <c r="D3984" s="19" t="s">
        <v>8105</v>
      </c>
      <c r="E3984" s="20" t="e">
        <f t="array" ref="E3984">INDEX(C:C,SMALL(IF(ISNUMBER(FIND(CELL("contents"),$C$2:$C$4852)),ROW($C$2:$C$4852),4^8),ROW(C3984)))&amp;""</f>
        <v>#N/A</v>
      </c>
    </row>
    <row r="3985" ht="14.100000000000001" customHeight="1">
      <c r="B3985" s="19" t="s">
        <v>8107</v>
      </c>
      <c r="C3985" s="19" t="s">
        <v>8108</v>
      </c>
      <c r="D3985" s="19" t="s">
        <v>8107</v>
      </c>
      <c r="E3985" s="20" t="e">
        <f t="array" ref="E3985">INDEX(C:C,SMALL(IF(ISNUMBER(FIND(CELL("contents"),$C$2:$C$4852)),ROW($C$2:$C$4852),4^8),ROW(C3985)))&amp;""</f>
        <v>#N/A</v>
      </c>
    </row>
    <row r="3986" ht="14.100000000000001" customHeight="1">
      <c r="B3986" s="19" t="s">
        <v>8109</v>
      </c>
      <c r="C3986" s="19" t="s">
        <v>8110</v>
      </c>
      <c r="D3986" s="19" t="s">
        <v>8109</v>
      </c>
      <c r="E3986" s="20" t="e">
        <f t="array" ref="E3986">INDEX(C:C,SMALL(IF(ISNUMBER(FIND(CELL("contents"),$C$2:$C$4852)),ROW($C$2:$C$4852),4^8),ROW(C3986)))&amp;""</f>
        <v>#N/A</v>
      </c>
    </row>
    <row r="3987" ht="14.100000000000001" customHeight="1">
      <c r="B3987" s="19" t="s">
        <v>8111</v>
      </c>
      <c r="C3987" s="19" t="s">
        <v>8112</v>
      </c>
      <c r="D3987" s="19" t="s">
        <v>8111</v>
      </c>
      <c r="E3987" s="20" t="e">
        <f t="array" ref="E3987">INDEX(C:C,SMALL(IF(ISNUMBER(FIND(CELL("contents"),$C$2:$C$4852)),ROW($C$2:$C$4852),4^8),ROW(C3987)))&amp;""</f>
        <v>#N/A</v>
      </c>
    </row>
    <row r="3988" ht="14.100000000000001" customHeight="1">
      <c r="B3988" s="19" t="s">
        <v>8113</v>
      </c>
      <c r="C3988" s="19" t="s">
        <v>8114</v>
      </c>
      <c r="D3988" s="19" t="s">
        <v>8113</v>
      </c>
      <c r="E3988" s="20" t="e">
        <f t="array" ref="E3988">INDEX(C:C,SMALL(IF(ISNUMBER(FIND(CELL("contents"),$C$2:$C$4852)),ROW($C$2:$C$4852),4^8),ROW(C3988)))&amp;""</f>
        <v>#N/A</v>
      </c>
    </row>
    <row r="3989" ht="14.100000000000001" customHeight="1">
      <c r="B3989" s="19" t="s">
        <v>8115</v>
      </c>
      <c r="C3989" s="19" t="s">
        <v>8116</v>
      </c>
      <c r="D3989" s="19" t="s">
        <v>8115</v>
      </c>
      <c r="E3989" s="20" t="e">
        <f t="array" ref="E3989">INDEX(C:C,SMALL(IF(ISNUMBER(FIND(CELL("contents"),$C$2:$C$4852)),ROW($C$2:$C$4852),4^8),ROW(C3989)))&amp;""</f>
        <v>#N/A</v>
      </c>
    </row>
    <row r="3990" ht="14.100000000000001" customHeight="1">
      <c r="B3990" s="19" t="s">
        <v>8117</v>
      </c>
      <c r="C3990" s="19" t="s">
        <v>8118</v>
      </c>
      <c r="D3990" s="19" t="s">
        <v>8117</v>
      </c>
      <c r="E3990" s="20" t="e">
        <f t="array" ref="E3990">INDEX(C:C,SMALL(IF(ISNUMBER(FIND(CELL("contents"),$C$2:$C$4852)),ROW($C$2:$C$4852),4^8),ROW(C3990)))&amp;""</f>
        <v>#N/A</v>
      </c>
    </row>
    <row r="3991" ht="14.100000000000001" customHeight="1">
      <c r="B3991" s="19" t="s">
        <v>8119</v>
      </c>
      <c r="C3991" s="19" t="s">
        <v>8120</v>
      </c>
      <c r="D3991" s="19" t="s">
        <v>8119</v>
      </c>
      <c r="E3991" s="20" t="e">
        <f t="array" ref="E3991">INDEX(C:C,SMALL(IF(ISNUMBER(FIND(CELL("contents"),$C$2:$C$4852)),ROW($C$2:$C$4852),4^8),ROW(C3991)))&amp;""</f>
        <v>#N/A</v>
      </c>
    </row>
    <row r="3992" ht="14.100000000000001" customHeight="1">
      <c r="B3992" s="19" t="s">
        <v>8121</v>
      </c>
      <c r="C3992" s="19" t="s">
        <v>8122</v>
      </c>
      <c r="D3992" s="19" t="s">
        <v>8121</v>
      </c>
      <c r="E3992" s="20" t="e">
        <f t="array" ref="E3992">INDEX(C:C,SMALL(IF(ISNUMBER(FIND(CELL("contents"),$C$2:$C$4852)),ROW($C$2:$C$4852),4^8),ROW(C3992)))&amp;""</f>
        <v>#N/A</v>
      </c>
    </row>
    <row r="3993" ht="14.100000000000001" customHeight="1">
      <c r="B3993" s="19" t="s">
        <v>8123</v>
      </c>
      <c r="C3993" s="19" t="s">
        <v>8124</v>
      </c>
      <c r="D3993" s="19" t="s">
        <v>8123</v>
      </c>
      <c r="E3993" s="20" t="e">
        <f t="array" ref="E3993">INDEX(C:C,SMALL(IF(ISNUMBER(FIND(CELL("contents"),$C$2:$C$4852)),ROW($C$2:$C$4852),4^8),ROW(C3993)))&amp;""</f>
        <v>#N/A</v>
      </c>
    </row>
    <row r="3994" ht="14.100000000000001" customHeight="1">
      <c r="B3994" s="19" t="s">
        <v>8125</v>
      </c>
      <c r="C3994" s="19" t="s">
        <v>8126</v>
      </c>
      <c r="D3994" s="19" t="s">
        <v>8125</v>
      </c>
      <c r="E3994" s="20" t="e">
        <f t="array" ref="E3994">INDEX(C:C,SMALL(IF(ISNUMBER(FIND(CELL("contents"),$C$2:$C$4852)),ROW($C$2:$C$4852),4^8),ROW(C3994)))&amp;""</f>
        <v>#N/A</v>
      </c>
    </row>
    <row r="3995" ht="14.100000000000001" customHeight="1">
      <c r="B3995" s="19" t="s">
        <v>8127</v>
      </c>
      <c r="C3995" s="19" t="s">
        <v>8128</v>
      </c>
      <c r="D3995" s="19" t="s">
        <v>8127</v>
      </c>
      <c r="E3995" s="20" t="e">
        <f t="array" ref="E3995">INDEX(C:C,SMALL(IF(ISNUMBER(FIND(CELL("contents"),$C$2:$C$4852)),ROW($C$2:$C$4852),4^8),ROW(C3995)))&amp;""</f>
        <v>#N/A</v>
      </c>
    </row>
    <row r="3996" ht="14.100000000000001" customHeight="1">
      <c r="B3996" s="19" t="s">
        <v>8129</v>
      </c>
      <c r="C3996" s="19" t="s">
        <v>8130</v>
      </c>
      <c r="D3996" s="19" t="s">
        <v>8129</v>
      </c>
      <c r="E3996" s="20" t="e">
        <f t="array" ref="E3996">INDEX(C:C,SMALL(IF(ISNUMBER(FIND(CELL("contents"),$C$2:$C$4852)),ROW($C$2:$C$4852),4^8),ROW(C3996)))&amp;""</f>
        <v>#N/A</v>
      </c>
    </row>
    <row r="3997" ht="14.100000000000001" customHeight="1">
      <c r="B3997" s="19" t="s">
        <v>8131</v>
      </c>
      <c r="C3997" s="19" t="s">
        <v>8132</v>
      </c>
      <c r="D3997" s="19" t="s">
        <v>8131</v>
      </c>
      <c r="E3997" s="20" t="e">
        <f t="array" ref="E3997">INDEX(C:C,SMALL(IF(ISNUMBER(FIND(CELL("contents"),$C$2:$C$4852)),ROW($C$2:$C$4852),4^8),ROW(C3997)))&amp;""</f>
        <v>#N/A</v>
      </c>
    </row>
    <row r="3998" ht="14.100000000000001" customHeight="1">
      <c r="B3998" s="19" t="s">
        <v>8133</v>
      </c>
      <c r="C3998" s="19" t="s">
        <v>8134</v>
      </c>
      <c r="D3998" s="19" t="s">
        <v>8133</v>
      </c>
      <c r="E3998" s="20" t="e">
        <f t="array" ref="E3998">INDEX(C:C,SMALL(IF(ISNUMBER(FIND(CELL("contents"),$C$2:$C$4852)),ROW($C$2:$C$4852),4^8),ROW(C3998)))&amp;""</f>
        <v>#N/A</v>
      </c>
    </row>
    <row r="3999" ht="14.100000000000001" customHeight="1">
      <c r="B3999" s="19" t="s">
        <v>8135</v>
      </c>
      <c r="C3999" s="19" t="s">
        <v>8136</v>
      </c>
      <c r="D3999" s="19" t="s">
        <v>8135</v>
      </c>
      <c r="E3999" s="20" t="e">
        <f t="array" ref="E3999">INDEX(C:C,SMALL(IF(ISNUMBER(FIND(CELL("contents"),$C$2:$C$4852)),ROW($C$2:$C$4852),4^8),ROW(C3999)))&amp;""</f>
        <v>#N/A</v>
      </c>
    </row>
    <row r="4000" ht="14.100000000000001" customHeight="1">
      <c r="B4000" s="19" t="s">
        <v>8137</v>
      </c>
      <c r="C4000" s="19" t="s">
        <v>8138</v>
      </c>
      <c r="D4000" s="19" t="s">
        <v>8137</v>
      </c>
      <c r="E4000" s="20" t="e">
        <f t="array" ref="E4000">INDEX(C:C,SMALL(IF(ISNUMBER(FIND(CELL("contents"),$C$2:$C$4852)),ROW($C$2:$C$4852),4^8),ROW(C4000)))&amp;""</f>
        <v>#N/A</v>
      </c>
    </row>
    <row r="4001" ht="14.100000000000001" customHeight="1">
      <c r="B4001" s="19" t="s">
        <v>8139</v>
      </c>
      <c r="C4001" s="19" t="s">
        <v>8140</v>
      </c>
      <c r="D4001" s="19" t="s">
        <v>8139</v>
      </c>
      <c r="E4001" s="20" t="e">
        <f t="array" ref="E4001">INDEX(C:C,SMALL(IF(ISNUMBER(FIND(CELL("contents"),$C$2:$C$4852)),ROW($C$2:$C$4852),4^8),ROW(C4001)))&amp;""</f>
        <v>#N/A</v>
      </c>
    </row>
    <row r="4002" ht="14.100000000000001" customHeight="1">
      <c r="B4002" s="19" t="s">
        <v>8141</v>
      </c>
      <c r="C4002" s="19" t="s">
        <v>8142</v>
      </c>
      <c r="D4002" s="19" t="s">
        <v>8141</v>
      </c>
      <c r="E4002" s="20" t="e">
        <f t="array" ref="E4002">INDEX(C:C,SMALL(IF(ISNUMBER(FIND(CELL("contents"),$C$2:$C$4852)),ROW($C$2:$C$4852),4^8),ROW(C4002)))&amp;""</f>
        <v>#N/A</v>
      </c>
    </row>
    <row r="4003" ht="14.100000000000001" customHeight="1">
      <c r="B4003" s="19" t="s">
        <v>8143</v>
      </c>
      <c r="C4003" s="19" t="s">
        <v>8144</v>
      </c>
      <c r="D4003" s="19" t="s">
        <v>8143</v>
      </c>
      <c r="E4003" s="20" t="e">
        <f t="array" ref="E4003">INDEX(C:C,SMALL(IF(ISNUMBER(FIND(CELL("contents"),$C$2:$C$4852)),ROW($C$2:$C$4852),4^8),ROW(C4003)))&amp;""</f>
        <v>#N/A</v>
      </c>
    </row>
    <row r="4004" ht="14.100000000000001" customHeight="1">
      <c r="B4004" s="19" t="s">
        <v>8145</v>
      </c>
      <c r="C4004" s="19" t="s">
        <v>8146</v>
      </c>
      <c r="D4004" s="19" t="s">
        <v>8145</v>
      </c>
      <c r="E4004" s="20" t="e">
        <f t="array" ref="E4004">INDEX(C:C,SMALL(IF(ISNUMBER(FIND(CELL("contents"),$C$2:$C$4852)),ROW($C$2:$C$4852),4^8),ROW(C4004)))&amp;""</f>
        <v>#N/A</v>
      </c>
    </row>
    <row r="4005" ht="14.100000000000001" customHeight="1">
      <c r="B4005" s="19" t="s">
        <v>8147</v>
      </c>
      <c r="C4005" s="19" t="s">
        <v>8148</v>
      </c>
      <c r="D4005" s="19" t="s">
        <v>8147</v>
      </c>
      <c r="E4005" s="20" t="e">
        <f t="array" ref="E4005">INDEX(C:C,SMALL(IF(ISNUMBER(FIND(CELL("contents"),$C$2:$C$4852)),ROW($C$2:$C$4852),4^8),ROW(C4005)))&amp;""</f>
        <v>#N/A</v>
      </c>
    </row>
    <row r="4006" ht="14.100000000000001" customHeight="1">
      <c r="B4006" s="19" t="s">
        <v>8149</v>
      </c>
      <c r="C4006" s="19" t="s">
        <v>8150</v>
      </c>
      <c r="D4006" s="19" t="s">
        <v>8149</v>
      </c>
      <c r="E4006" s="20" t="e">
        <f t="array" ref="E4006">INDEX(C:C,SMALL(IF(ISNUMBER(FIND(CELL("contents"),$C$2:$C$4852)),ROW($C$2:$C$4852),4^8),ROW(C4006)))&amp;""</f>
        <v>#N/A</v>
      </c>
    </row>
    <row r="4007" ht="14.100000000000001" customHeight="1">
      <c r="B4007" s="19" t="s">
        <v>8151</v>
      </c>
      <c r="C4007" s="19" t="s">
        <v>8152</v>
      </c>
      <c r="D4007" s="19" t="s">
        <v>8151</v>
      </c>
      <c r="E4007" s="20" t="e">
        <f t="array" ref="E4007">INDEX(C:C,SMALL(IF(ISNUMBER(FIND(CELL("contents"),$C$2:$C$4852)),ROW($C$2:$C$4852),4^8),ROW(C4007)))&amp;""</f>
        <v>#N/A</v>
      </c>
    </row>
    <row r="4008" ht="14.100000000000001" customHeight="1">
      <c r="B4008" s="19" t="s">
        <v>8153</v>
      </c>
      <c r="C4008" s="19" t="s">
        <v>8154</v>
      </c>
      <c r="D4008" s="19" t="s">
        <v>8153</v>
      </c>
      <c r="E4008" s="20" t="e">
        <f t="array" ref="E4008">INDEX(C:C,SMALL(IF(ISNUMBER(FIND(CELL("contents"),$C$2:$C$4852)),ROW($C$2:$C$4852),4^8),ROW(C4008)))&amp;""</f>
        <v>#N/A</v>
      </c>
    </row>
    <row r="4009" ht="14.100000000000001" customHeight="1">
      <c r="B4009" s="19" t="s">
        <v>8155</v>
      </c>
      <c r="C4009" s="19" t="s">
        <v>8156</v>
      </c>
      <c r="D4009" s="19" t="s">
        <v>8155</v>
      </c>
      <c r="E4009" s="20" t="e">
        <f t="array" ref="E4009">INDEX(C:C,SMALL(IF(ISNUMBER(FIND(CELL("contents"),$C$2:$C$4852)),ROW($C$2:$C$4852),4^8),ROW(C4009)))&amp;""</f>
        <v>#N/A</v>
      </c>
    </row>
    <row r="4010" ht="14.100000000000001" customHeight="1">
      <c r="B4010" s="19" t="s">
        <v>8157</v>
      </c>
      <c r="C4010" s="19" t="s">
        <v>8158</v>
      </c>
      <c r="D4010" s="19" t="s">
        <v>8157</v>
      </c>
      <c r="E4010" s="20" t="e">
        <f t="array" ref="E4010">INDEX(C:C,SMALL(IF(ISNUMBER(FIND(CELL("contents"),$C$2:$C$4852)),ROW($C$2:$C$4852),4^8),ROW(C4010)))&amp;""</f>
        <v>#N/A</v>
      </c>
    </row>
    <row r="4011" ht="14.100000000000001" customHeight="1">
      <c r="B4011" s="19" t="s">
        <v>8159</v>
      </c>
      <c r="C4011" s="19" t="s">
        <v>8160</v>
      </c>
      <c r="D4011" s="19" t="s">
        <v>8159</v>
      </c>
      <c r="E4011" s="20" t="e">
        <f t="array" ref="E4011">INDEX(C:C,SMALL(IF(ISNUMBER(FIND(CELL("contents"),$C$2:$C$4852)),ROW($C$2:$C$4852),4^8),ROW(C4011)))&amp;""</f>
        <v>#N/A</v>
      </c>
    </row>
    <row r="4012" ht="14.100000000000001" customHeight="1">
      <c r="B4012" s="19" t="s">
        <v>8161</v>
      </c>
      <c r="C4012" s="19" t="s">
        <v>8162</v>
      </c>
      <c r="D4012" s="19" t="s">
        <v>8161</v>
      </c>
      <c r="E4012" s="20" t="e">
        <f t="array" ref="E4012">INDEX(C:C,SMALL(IF(ISNUMBER(FIND(CELL("contents"),$C$2:$C$4852)),ROW($C$2:$C$4852),4^8),ROW(C4012)))&amp;""</f>
        <v>#N/A</v>
      </c>
    </row>
    <row r="4013" ht="14.100000000000001" customHeight="1">
      <c r="B4013" s="19" t="s">
        <v>8163</v>
      </c>
      <c r="C4013" s="19" t="s">
        <v>8164</v>
      </c>
      <c r="D4013" s="19" t="s">
        <v>8163</v>
      </c>
      <c r="E4013" s="20" t="e">
        <f t="array" ref="E4013">INDEX(C:C,SMALL(IF(ISNUMBER(FIND(CELL("contents"),$C$2:$C$4852)),ROW($C$2:$C$4852),4^8),ROW(C4013)))&amp;""</f>
        <v>#N/A</v>
      </c>
    </row>
    <row r="4014" ht="14.100000000000001" customHeight="1">
      <c r="B4014" s="19" t="s">
        <v>8165</v>
      </c>
      <c r="C4014" s="19" t="s">
        <v>8166</v>
      </c>
      <c r="D4014" s="19" t="s">
        <v>8165</v>
      </c>
      <c r="E4014" s="20" t="e">
        <f t="array" ref="E4014">INDEX(C:C,SMALL(IF(ISNUMBER(FIND(CELL("contents"),$C$2:$C$4852)),ROW($C$2:$C$4852),4^8),ROW(C4014)))&amp;""</f>
        <v>#N/A</v>
      </c>
    </row>
    <row r="4015" ht="14.100000000000001" customHeight="1">
      <c r="B4015" s="19" t="s">
        <v>8167</v>
      </c>
      <c r="C4015" s="19" t="s">
        <v>8168</v>
      </c>
      <c r="D4015" s="19" t="s">
        <v>8167</v>
      </c>
      <c r="E4015" s="20" t="e">
        <f t="array" ref="E4015">INDEX(C:C,SMALL(IF(ISNUMBER(FIND(CELL("contents"),$C$2:$C$4852)),ROW($C$2:$C$4852),4^8),ROW(C4015)))&amp;""</f>
        <v>#N/A</v>
      </c>
    </row>
    <row r="4016" ht="14.100000000000001" customHeight="1">
      <c r="B4016" s="19" t="s">
        <v>8169</v>
      </c>
      <c r="C4016" s="19" t="s">
        <v>8170</v>
      </c>
      <c r="D4016" s="19" t="s">
        <v>8169</v>
      </c>
      <c r="E4016" s="20" t="e">
        <f t="array" ref="E4016">INDEX(C:C,SMALL(IF(ISNUMBER(FIND(CELL("contents"),$C$2:$C$4852)),ROW($C$2:$C$4852),4^8),ROW(C4016)))&amp;""</f>
        <v>#N/A</v>
      </c>
    </row>
    <row r="4017" ht="14.100000000000001" customHeight="1">
      <c r="B4017" s="19" t="s">
        <v>8171</v>
      </c>
      <c r="C4017" s="19" t="s">
        <v>8172</v>
      </c>
      <c r="D4017" s="19" t="s">
        <v>8171</v>
      </c>
      <c r="E4017" s="20" t="e">
        <f t="array" ref="E4017">INDEX(C:C,SMALL(IF(ISNUMBER(FIND(CELL("contents"),$C$2:$C$4852)),ROW($C$2:$C$4852),4^8),ROW(C4017)))&amp;""</f>
        <v>#N/A</v>
      </c>
    </row>
    <row r="4018" ht="14.100000000000001" customHeight="1">
      <c r="B4018" s="19" t="s">
        <v>8173</v>
      </c>
      <c r="C4018" s="19" t="s">
        <v>8174</v>
      </c>
      <c r="D4018" s="19" t="s">
        <v>8173</v>
      </c>
      <c r="E4018" s="20" t="e">
        <f t="array" ref="E4018">INDEX(C:C,SMALL(IF(ISNUMBER(FIND(CELL("contents"),$C$2:$C$4852)),ROW($C$2:$C$4852),4^8),ROW(C4018)))&amp;""</f>
        <v>#N/A</v>
      </c>
    </row>
    <row r="4019" ht="14.100000000000001" customHeight="1">
      <c r="B4019" s="19" t="s">
        <v>8175</v>
      </c>
      <c r="C4019" s="19" t="s">
        <v>8176</v>
      </c>
      <c r="D4019" s="19" t="s">
        <v>8175</v>
      </c>
      <c r="E4019" s="20" t="e">
        <f t="array" ref="E4019">INDEX(C:C,SMALL(IF(ISNUMBER(FIND(CELL("contents"),$C$2:$C$4852)),ROW($C$2:$C$4852),4^8),ROW(C4019)))&amp;""</f>
        <v>#N/A</v>
      </c>
    </row>
    <row r="4020" ht="14.100000000000001" customHeight="1">
      <c r="B4020" s="19" t="s">
        <v>8177</v>
      </c>
      <c r="C4020" s="19" t="s">
        <v>8178</v>
      </c>
      <c r="D4020" s="19" t="s">
        <v>8177</v>
      </c>
      <c r="E4020" s="20" t="e">
        <f t="array" ref="E4020">INDEX(C:C,SMALL(IF(ISNUMBER(FIND(CELL("contents"),$C$2:$C$4852)),ROW($C$2:$C$4852),4^8),ROW(C4020)))&amp;""</f>
        <v>#N/A</v>
      </c>
    </row>
    <row r="4021" ht="14.100000000000001" customHeight="1">
      <c r="B4021" s="19" t="s">
        <v>8179</v>
      </c>
      <c r="C4021" s="19" t="s">
        <v>8180</v>
      </c>
      <c r="D4021" s="19" t="s">
        <v>8179</v>
      </c>
      <c r="E4021" s="20" t="e">
        <f t="array" ref="E4021">INDEX(C:C,SMALL(IF(ISNUMBER(FIND(CELL("contents"),$C$2:$C$4852)),ROW($C$2:$C$4852),4^8),ROW(C4021)))&amp;""</f>
        <v>#N/A</v>
      </c>
    </row>
    <row r="4022" ht="14.100000000000001" customHeight="1">
      <c r="B4022" s="19" t="s">
        <v>8181</v>
      </c>
      <c r="C4022" s="19" t="s">
        <v>8182</v>
      </c>
      <c r="D4022" s="19" t="s">
        <v>8181</v>
      </c>
      <c r="E4022" s="20" t="e">
        <f t="array" ref="E4022">INDEX(C:C,SMALL(IF(ISNUMBER(FIND(CELL("contents"),$C$2:$C$4852)),ROW($C$2:$C$4852),4^8),ROW(C4022)))&amp;""</f>
        <v>#N/A</v>
      </c>
    </row>
    <row r="4023" ht="14.100000000000001" customHeight="1">
      <c r="B4023" s="19" t="s">
        <v>8183</v>
      </c>
      <c r="C4023" s="19" t="s">
        <v>8184</v>
      </c>
      <c r="D4023" s="19" t="s">
        <v>8183</v>
      </c>
      <c r="E4023" s="20" t="e">
        <f t="array" ref="E4023">INDEX(C:C,SMALL(IF(ISNUMBER(FIND(CELL("contents"),$C$2:$C$4852)),ROW($C$2:$C$4852),4^8),ROW(C4023)))&amp;""</f>
        <v>#N/A</v>
      </c>
    </row>
    <row r="4024" ht="14.100000000000001" customHeight="1">
      <c r="B4024" s="19" t="s">
        <v>8185</v>
      </c>
      <c r="C4024" s="19" t="s">
        <v>8186</v>
      </c>
      <c r="D4024" s="19" t="s">
        <v>8185</v>
      </c>
      <c r="E4024" s="20" t="e">
        <f t="array" ref="E4024">INDEX(C:C,SMALL(IF(ISNUMBER(FIND(CELL("contents"),$C$2:$C$4852)),ROW($C$2:$C$4852),4^8),ROW(C4024)))&amp;""</f>
        <v>#N/A</v>
      </c>
    </row>
    <row r="4025" ht="14.100000000000001" customHeight="1">
      <c r="B4025" s="19" t="s">
        <v>8187</v>
      </c>
      <c r="C4025" s="19" t="s">
        <v>8188</v>
      </c>
      <c r="D4025" s="19" t="s">
        <v>8187</v>
      </c>
      <c r="E4025" s="20" t="e">
        <f t="array" ref="E4025">INDEX(C:C,SMALL(IF(ISNUMBER(FIND(CELL("contents"),$C$2:$C$4852)),ROW($C$2:$C$4852),4^8),ROW(C4025)))&amp;""</f>
        <v>#N/A</v>
      </c>
    </row>
    <row r="4026" ht="14.100000000000001" customHeight="1">
      <c r="B4026" s="19" t="s">
        <v>8189</v>
      </c>
      <c r="C4026" s="19" t="s">
        <v>8190</v>
      </c>
      <c r="D4026" s="19" t="s">
        <v>8189</v>
      </c>
      <c r="E4026" s="20" t="e">
        <f t="array" ref="E4026">INDEX(C:C,SMALL(IF(ISNUMBER(FIND(CELL("contents"),$C$2:$C$4852)),ROW($C$2:$C$4852),4^8),ROW(C4026)))&amp;""</f>
        <v>#N/A</v>
      </c>
    </row>
    <row r="4027" ht="14.100000000000001" customHeight="1">
      <c r="B4027" s="19" t="s">
        <v>8191</v>
      </c>
      <c r="C4027" s="19" t="s">
        <v>8192</v>
      </c>
      <c r="D4027" s="19" t="s">
        <v>8191</v>
      </c>
      <c r="E4027" s="20" t="e">
        <f t="array" ref="E4027">INDEX(C:C,SMALL(IF(ISNUMBER(FIND(CELL("contents"),$C$2:$C$4852)),ROW($C$2:$C$4852),4^8),ROW(C4027)))&amp;""</f>
        <v>#N/A</v>
      </c>
    </row>
    <row r="4028" ht="14.100000000000001" customHeight="1">
      <c r="B4028" s="19" t="s">
        <v>8193</v>
      </c>
      <c r="C4028" s="19" t="s">
        <v>8194</v>
      </c>
      <c r="D4028" s="19" t="s">
        <v>8193</v>
      </c>
      <c r="E4028" s="20" t="e">
        <f t="array" ref="E4028">INDEX(C:C,SMALL(IF(ISNUMBER(FIND(CELL("contents"),$C$2:$C$4852)),ROW($C$2:$C$4852),4^8),ROW(C4028)))&amp;""</f>
        <v>#N/A</v>
      </c>
    </row>
    <row r="4029" ht="14.100000000000001" customHeight="1">
      <c r="B4029" s="19" t="s">
        <v>8195</v>
      </c>
      <c r="C4029" s="19" t="s">
        <v>8196</v>
      </c>
      <c r="D4029" s="19" t="s">
        <v>8195</v>
      </c>
      <c r="E4029" s="20" t="e">
        <f t="array" ref="E4029">INDEX(C:C,SMALL(IF(ISNUMBER(FIND(CELL("contents"),$C$2:$C$4852)),ROW($C$2:$C$4852),4^8),ROW(C4029)))&amp;""</f>
        <v>#N/A</v>
      </c>
    </row>
    <row r="4030" ht="14.100000000000001" customHeight="1">
      <c r="B4030" s="19" t="s">
        <v>8197</v>
      </c>
      <c r="C4030" s="19" t="s">
        <v>8198</v>
      </c>
      <c r="D4030" s="19" t="s">
        <v>8197</v>
      </c>
      <c r="E4030" s="20" t="e">
        <f t="array" ref="E4030">INDEX(C:C,SMALL(IF(ISNUMBER(FIND(CELL("contents"),$C$2:$C$4852)),ROW($C$2:$C$4852),4^8),ROW(C4030)))&amp;""</f>
        <v>#N/A</v>
      </c>
    </row>
    <row r="4031" ht="14.100000000000001" customHeight="1">
      <c r="B4031" s="19" t="s">
        <v>8199</v>
      </c>
      <c r="C4031" s="19" t="s">
        <v>8200</v>
      </c>
      <c r="D4031" s="19" t="s">
        <v>8199</v>
      </c>
      <c r="E4031" s="20" t="e">
        <f t="array" ref="E4031">INDEX(C:C,SMALL(IF(ISNUMBER(FIND(CELL("contents"),$C$2:$C$4852)),ROW($C$2:$C$4852),4^8),ROW(C4031)))&amp;""</f>
        <v>#N/A</v>
      </c>
    </row>
    <row r="4032" ht="14.100000000000001" customHeight="1">
      <c r="B4032" s="19" t="s">
        <v>8201</v>
      </c>
      <c r="C4032" s="19" t="s">
        <v>8202</v>
      </c>
      <c r="D4032" s="19" t="s">
        <v>8201</v>
      </c>
      <c r="E4032" s="20" t="e">
        <f t="array" ref="E4032">INDEX(C:C,SMALL(IF(ISNUMBER(FIND(CELL("contents"),$C$2:$C$4852)),ROW($C$2:$C$4852),4^8),ROW(C4032)))&amp;""</f>
        <v>#N/A</v>
      </c>
    </row>
    <row r="4033" ht="14.100000000000001" customHeight="1">
      <c r="B4033" s="19" t="s">
        <v>8203</v>
      </c>
      <c r="C4033" s="19" t="s">
        <v>8204</v>
      </c>
      <c r="D4033" s="19" t="s">
        <v>8203</v>
      </c>
      <c r="E4033" s="20" t="e">
        <f t="array" ref="E4033">INDEX(C:C,SMALL(IF(ISNUMBER(FIND(CELL("contents"),$C$2:$C$4852)),ROW($C$2:$C$4852),4^8),ROW(C4033)))&amp;""</f>
        <v>#N/A</v>
      </c>
    </row>
    <row r="4034" ht="14.100000000000001" customHeight="1">
      <c r="B4034" s="19" t="s">
        <v>8205</v>
      </c>
      <c r="C4034" s="19" t="s">
        <v>8206</v>
      </c>
      <c r="D4034" s="19" t="s">
        <v>8205</v>
      </c>
      <c r="E4034" s="20" t="e">
        <f t="array" ref="E4034">INDEX(C:C,SMALL(IF(ISNUMBER(FIND(CELL("contents"),$C$2:$C$4852)),ROW($C$2:$C$4852),4^8),ROW(C4034)))&amp;""</f>
        <v>#N/A</v>
      </c>
    </row>
    <row r="4035" ht="14.100000000000001" customHeight="1">
      <c r="B4035" s="19" t="s">
        <v>8207</v>
      </c>
      <c r="C4035" s="19" t="s">
        <v>8208</v>
      </c>
      <c r="D4035" s="19" t="s">
        <v>8207</v>
      </c>
      <c r="E4035" s="20" t="e">
        <f t="array" ref="E4035">INDEX(C:C,SMALL(IF(ISNUMBER(FIND(CELL("contents"),$C$2:$C$4852)),ROW($C$2:$C$4852),4^8),ROW(C4035)))&amp;""</f>
        <v>#N/A</v>
      </c>
    </row>
    <row r="4036" ht="14.100000000000001" customHeight="1">
      <c r="B4036" s="19" t="s">
        <v>8209</v>
      </c>
      <c r="C4036" s="19" t="s">
        <v>8210</v>
      </c>
      <c r="D4036" s="19" t="s">
        <v>8209</v>
      </c>
      <c r="E4036" s="20" t="e">
        <f t="array" ref="E4036">INDEX(C:C,SMALL(IF(ISNUMBER(FIND(CELL("contents"),$C$2:$C$4852)),ROW($C$2:$C$4852),4^8),ROW(C4036)))&amp;""</f>
        <v>#N/A</v>
      </c>
    </row>
    <row r="4037" ht="14.100000000000001" customHeight="1">
      <c r="B4037" s="19" t="s">
        <v>8211</v>
      </c>
      <c r="C4037" s="19" t="s">
        <v>8212</v>
      </c>
      <c r="D4037" s="19" t="s">
        <v>8211</v>
      </c>
      <c r="E4037" s="20" t="e">
        <f t="array" ref="E4037">INDEX(C:C,SMALL(IF(ISNUMBER(FIND(CELL("contents"),$C$2:$C$4852)),ROW($C$2:$C$4852),4^8),ROW(C4037)))&amp;""</f>
        <v>#N/A</v>
      </c>
    </row>
    <row r="4038" ht="14.100000000000001" customHeight="1">
      <c r="B4038" s="19" t="s">
        <v>8213</v>
      </c>
      <c r="C4038" s="19" t="s">
        <v>8214</v>
      </c>
      <c r="D4038" s="19" t="s">
        <v>8213</v>
      </c>
      <c r="E4038" s="20" t="e">
        <f t="array" ref="E4038">INDEX(C:C,SMALL(IF(ISNUMBER(FIND(CELL("contents"),$C$2:$C$4852)),ROW($C$2:$C$4852),4^8),ROW(C4038)))&amp;""</f>
        <v>#N/A</v>
      </c>
    </row>
    <row r="4039" ht="14.100000000000001" customHeight="1">
      <c r="B4039" s="19" t="s">
        <v>8215</v>
      </c>
      <c r="C4039" s="19" t="s">
        <v>8216</v>
      </c>
      <c r="D4039" s="19" t="s">
        <v>8215</v>
      </c>
      <c r="E4039" s="20" t="e">
        <f t="array" ref="E4039">INDEX(C:C,SMALL(IF(ISNUMBER(FIND(CELL("contents"),$C$2:$C$4852)),ROW($C$2:$C$4852),4^8),ROW(C4039)))&amp;""</f>
        <v>#N/A</v>
      </c>
    </row>
    <row r="4040" ht="14.100000000000001" customHeight="1">
      <c r="B4040" s="19" t="s">
        <v>8217</v>
      </c>
      <c r="C4040" s="19" t="s">
        <v>8218</v>
      </c>
      <c r="D4040" s="19" t="s">
        <v>8217</v>
      </c>
      <c r="E4040" s="20" t="e">
        <f t="array" ref="E4040">INDEX(C:C,SMALL(IF(ISNUMBER(FIND(CELL("contents"),$C$2:$C$4852)),ROW($C$2:$C$4852),4^8),ROW(C4040)))&amp;""</f>
        <v>#N/A</v>
      </c>
    </row>
    <row r="4041" ht="14.100000000000001" customHeight="1">
      <c r="B4041" s="19" t="s">
        <v>8219</v>
      </c>
      <c r="C4041" s="19" t="s">
        <v>8220</v>
      </c>
      <c r="D4041" s="19" t="s">
        <v>8219</v>
      </c>
      <c r="E4041" s="20" t="e">
        <f t="array" ref="E4041">INDEX(C:C,SMALL(IF(ISNUMBER(FIND(CELL("contents"),$C$2:$C$4852)),ROW($C$2:$C$4852),4^8),ROW(C4041)))&amp;""</f>
        <v>#N/A</v>
      </c>
    </row>
    <row r="4042" ht="14.100000000000001" customHeight="1">
      <c r="B4042" s="19" t="s">
        <v>8221</v>
      </c>
      <c r="C4042" s="19" t="s">
        <v>8222</v>
      </c>
      <c r="D4042" s="19" t="s">
        <v>8221</v>
      </c>
      <c r="E4042" s="20" t="e">
        <f t="array" ref="E4042">INDEX(C:C,SMALL(IF(ISNUMBER(FIND(CELL("contents"),$C$2:$C$4852)),ROW($C$2:$C$4852),4^8),ROW(C4042)))&amp;""</f>
        <v>#N/A</v>
      </c>
    </row>
    <row r="4043" ht="14.100000000000001" customHeight="1">
      <c r="B4043" s="19" t="s">
        <v>8223</v>
      </c>
      <c r="C4043" s="19" t="s">
        <v>8224</v>
      </c>
      <c r="D4043" s="19" t="s">
        <v>8223</v>
      </c>
      <c r="E4043" s="20" t="e">
        <f t="array" ref="E4043">INDEX(C:C,SMALL(IF(ISNUMBER(FIND(CELL("contents"),$C$2:$C$4852)),ROW($C$2:$C$4852),4^8),ROW(C4043)))&amp;""</f>
        <v>#N/A</v>
      </c>
    </row>
    <row r="4044" ht="14.100000000000001" customHeight="1">
      <c r="B4044" s="19" t="s">
        <v>8225</v>
      </c>
      <c r="C4044" s="19" t="s">
        <v>8226</v>
      </c>
      <c r="D4044" s="19" t="s">
        <v>8225</v>
      </c>
      <c r="E4044" s="20" t="e">
        <f t="array" ref="E4044">INDEX(C:C,SMALL(IF(ISNUMBER(FIND(CELL("contents"),$C$2:$C$4852)),ROW($C$2:$C$4852),4^8),ROW(C4044)))&amp;""</f>
        <v>#N/A</v>
      </c>
    </row>
    <row r="4045" ht="14.100000000000001" customHeight="1">
      <c r="B4045" s="19" t="s">
        <v>8227</v>
      </c>
      <c r="C4045" s="19" t="s">
        <v>8228</v>
      </c>
      <c r="D4045" s="19" t="s">
        <v>8227</v>
      </c>
      <c r="E4045" s="20" t="e">
        <f t="array" ref="E4045">INDEX(C:C,SMALL(IF(ISNUMBER(FIND(CELL("contents"),$C$2:$C$4852)),ROW($C$2:$C$4852),4^8),ROW(C4045)))&amp;""</f>
        <v>#N/A</v>
      </c>
    </row>
    <row r="4046" ht="14.100000000000001" customHeight="1">
      <c r="B4046" s="19" t="s">
        <v>8229</v>
      </c>
      <c r="C4046" s="19" t="s">
        <v>8230</v>
      </c>
      <c r="D4046" s="19" t="s">
        <v>8229</v>
      </c>
      <c r="E4046" s="20" t="e">
        <f t="array" ref="E4046">INDEX(C:C,SMALL(IF(ISNUMBER(FIND(CELL("contents"),$C$2:$C$4852)),ROW($C$2:$C$4852),4^8),ROW(C4046)))&amp;""</f>
        <v>#N/A</v>
      </c>
    </row>
    <row r="4047" ht="14.100000000000001" customHeight="1">
      <c r="B4047" s="19" t="s">
        <v>8231</v>
      </c>
      <c r="C4047" s="19" t="s">
        <v>8232</v>
      </c>
      <c r="D4047" s="19" t="s">
        <v>8231</v>
      </c>
      <c r="E4047" s="20" t="e">
        <f t="array" ref="E4047">INDEX(C:C,SMALL(IF(ISNUMBER(FIND(CELL("contents"),$C$2:$C$4852)),ROW($C$2:$C$4852),4^8),ROW(C4047)))&amp;""</f>
        <v>#N/A</v>
      </c>
    </row>
    <row r="4048" ht="14.100000000000001" customHeight="1">
      <c r="B4048" s="19" t="s">
        <v>8233</v>
      </c>
      <c r="C4048" s="19" t="s">
        <v>8234</v>
      </c>
      <c r="D4048" s="19" t="s">
        <v>8233</v>
      </c>
      <c r="E4048" s="20" t="e">
        <f t="array" ref="E4048">INDEX(C:C,SMALL(IF(ISNUMBER(FIND(CELL("contents"),$C$2:$C$4852)),ROW($C$2:$C$4852),4^8),ROW(C4048)))&amp;""</f>
        <v>#N/A</v>
      </c>
    </row>
    <row r="4049" ht="14.100000000000001" customHeight="1">
      <c r="B4049" s="19" t="s">
        <v>8235</v>
      </c>
      <c r="C4049" s="19" t="s">
        <v>8236</v>
      </c>
      <c r="D4049" s="19" t="s">
        <v>8235</v>
      </c>
      <c r="E4049" s="20" t="e">
        <f t="array" ref="E4049">INDEX(C:C,SMALL(IF(ISNUMBER(FIND(CELL("contents"),$C$2:$C$4852)),ROW($C$2:$C$4852),4^8),ROW(C4049)))&amp;""</f>
        <v>#N/A</v>
      </c>
    </row>
    <row r="4050" ht="14.100000000000001" customHeight="1">
      <c r="B4050" s="19" t="s">
        <v>8237</v>
      </c>
      <c r="C4050" s="19" t="s">
        <v>8238</v>
      </c>
      <c r="D4050" s="19" t="s">
        <v>8237</v>
      </c>
      <c r="E4050" s="20" t="e">
        <f t="array" ref="E4050">INDEX(C:C,SMALL(IF(ISNUMBER(FIND(CELL("contents"),$C$2:$C$4852)),ROW($C$2:$C$4852),4^8),ROW(C4050)))&amp;""</f>
        <v>#N/A</v>
      </c>
    </row>
    <row r="4051" ht="14.100000000000001" customHeight="1">
      <c r="B4051" s="19" t="s">
        <v>8239</v>
      </c>
      <c r="C4051" s="19" t="s">
        <v>8240</v>
      </c>
      <c r="D4051" s="19" t="s">
        <v>8239</v>
      </c>
      <c r="E4051" s="20" t="e">
        <f t="array" ref="E4051">INDEX(C:C,SMALL(IF(ISNUMBER(FIND(CELL("contents"),$C$2:$C$4852)),ROW($C$2:$C$4852),4^8),ROW(C4051)))&amp;""</f>
        <v>#N/A</v>
      </c>
    </row>
    <row r="4052" ht="14.100000000000001" customHeight="1">
      <c r="B4052" s="19" t="s">
        <v>8241</v>
      </c>
      <c r="C4052" s="19" t="s">
        <v>8242</v>
      </c>
      <c r="D4052" s="19" t="s">
        <v>8241</v>
      </c>
      <c r="E4052" s="20" t="e">
        <f t="array" ref="E4052">INDEX(C:C,SMALL(IF(ISNUMBER(FIND(CELL("contents"),$C$2:$C$4852)),ROW($C$2:$C$4852),4^8),ROW(C4052)))&amp;""</f>
        <v>#N/A</v>
      </c>
    </row>
    <row r="4053" ht="14.100000000000001" customHeight="1">
      <c r="B4053" s="19" t="s">
        <v>8243</v>
      </c>
      <c r="C4053" s="19" t="s">
        <v>8244</v>
      </c>
      <c r="D4053" s="19" t="s">
        <v>8243</v>
      </c>
      <c r="E4053" s="20" t="e">
        <f t="array" ref="E4053">INDEX(C:C,SMALL(IF(ISNUMBER(FIND(CELL("contents"),$C$2:$C$4852)),ROW($C$2:$C$4852),4^8),ROW(C4053)))&amp;""</f>
        <v>#N/A</v>
      </c>
    </row>
    <row r="4054" ht="14.100000000000001" customHeight="1">
      <c r="B4054" s="19" t="s">
        <v>8245</v>
      </c>
      <c r="C4054" s="19" t="s">
        <v>8246</v>
      </c>
      <c r="D4054" s="19" t="s">
        <v>8245</v>
      </c>
      <c r="E4054" s="20" t="e">
        <f t="array" ref="E4054">INDEX(C:C,SMALL(IF(ISNUMBER(FIND(CELL("contents"),$C$2:$C$4852)),ROW($C$2:$C$4852),4^8),ROW(C4054)))&amp;""</f>
        <v>#N/A</v>
      </c>
    </row>
    <row r="4055" ht="14.100000000000001" customHeight="1">
      <c r="B4055" s="19" t="s">
        <v>8247</v>
      </c>
      <c r="C4055" s="19" t="s">
        <v>8248</v>
      </c>
      <c r="D4055" s="19" t="s">
        <v>8247</v>
      </c>
      <c r="E4055" s="20" t="e">
        <f t="array" ref="E4055">INDEX(C:C,SMALL(IF(ISNUMBER(FIND(CELL("contents"),$C$2:$C$4852)),ROW($C$2:$C$4852),4^8),ROW(C4055)))&amp;""</f>
        <v>#N/A</v>
      </c>
    </row>
    <row r="4056" ht="14.100000000000001" customHeight="1">
      <c r="B4056" s="19" t="s">
        <v>8249</v>
      </c>
      <c r="C4056" s="19" t="s">
        <v>8250</v>
      </c>
      <c r="D4056" s="19" t="s">
        <v>8249</v>
      </c>
      <c r="E4056" s="20" t="e">
        <f t="array" ref="E4056">INDEX(C:C,SMALL(IF(ISNUMBER(FIND(CELL("contents"),$C$2:$C$4852)),ROW($C$2:$C$4852),4^8),ROW(C4056)))&amp;""</f>
        <v>#N/A</v>
      </c>
    </row>
    <row r="4057" ht="14.100000000000001" customHeight="1">
      <c r="B4057" s="19" t="s">
        <v>8251</v>
      </c>
      <c r="C4057" s="19" t="s">
        <v>8252</v>
      </c>
      <c r="D4057" s="19" t="s">
        <v>8251</v>
      </c>
      <c r="E4057" s="20" t="e">
        <f t="array" ref="E4057">INDEX(C:C,SMALL(IF(ISNUMBER(FIND(CELL("contents"),$C$2:$C$4852)),ROW($C$2:$C$4852),4^8),ROW(C4057)))&amp;""</f>
        <v>#N/A</v>
      </c>
    </row>
    <row r="4058" ht="14.100000000000001" customHeight="1">
      <c r="B4058" s="19" t="s">
        <v>8253</v>
      </c>
      <c r="C4058" s="19" t="s">
        <v>8254</v>
      </c>
      <c r="D4058" s="19" t="s">
        <v>8253</v>
      </c>
      <c r="E4058" s="20" t="e">
        <f t="array" ref="E4058">INDEX(C:C,SMALL(IF(ISNUMBER(FIND(CELL("contents"),$C$2:$C$4852)),ROW($C$2:$C$4852),4^8),ROW(C4058)))&amp;""</f>
        <v>#N/A</v>
      </c>
    </row>
    <row r="4059" ht="14.100000000000001" customHeight="1">
      <c r="B4059" s="19" t="s">
        <v>8255</v>
      </c>
      <c r="C4059" s="19" t="s">
        <v>8256</v>
      </c>
      <c r="D4059" s="19" t="s">
        <v>8255</v>
      </c>
      <c r="E4059" s="20" t="e">
        <f t="array" ref="E4059">INDEX(C:C,SMALL(IF(ISNUMBER(FIND(CELL("contents"),$C$2:$C$4852)),ROW($C$2:$C$4852),4^8),ROW(C4059)))&amp;""</f>
        <v>#N/A</v>
      </c>
    </row>
    <row r="4060" ht="14.100000000000001" customHeight="1">
      <c r="B4060" s="19" t="s">
        <v>8257</v>
      </c>
      <c r="C4060" s="19" t="s">
        <v>8258</v>
      </c>
      <c r="D4060" s="19" t="s">
        <v>8257</v>
      </c>
      <c r="E4060" s="20" t="e">
        <f t="array" ref="E4060">INDEX(C:C,SMALL(IF(ISNUMBER(FIND(CELL("contents"),$C$2:$C$4852)),ROW($C$2:$C$4852),4^8),ROW(C4060)))&amp;""</f>
        <v>#N/A</v>
      </c>
    </row>
    <row r="4061" ht="14.100000000000001" customHeight="1">
      <c r="B4061" s="19" t="s">
        <v>8259</v>
      </c>
      <c r="C4061" s="19" t="s">
        <v>8260</v>
      </c>
      <c r="D4061" s="19" t="s">
        <v>8259</v>
      </c>
      <c r="E4061" s="20" t="e">
        <f t="array" ref="E4061">INDEX(C:C,SMALL(IF(ISNUMBER(FIND(CELL("contents"),$C$2:$C$4852)),ROW($C$2:$C$4852),4^8),ROW(C4061)))&amp;""</f>
        <v>#N/A</v>
      </c>
    </row>
    <row r="4062" ht="14.100000000000001" customHeight="1">
      <c r="B4062" s="19" t="s">
        <v>8261</v>
      </c>
      <c r="C4062" s="19" t="s">
        <v>8262</v>
      </c>
      <c r="D4062" s="19" t="s">
        <v>8261</v>
      </c>
      <c r="E4062" s="20" t="e">
        <f t="array" ref="E4062">INDEX(C:C,SMALL(IF(ISNUMBER(FIND(CELL("contents"),$C$2:$C$4852)),ROW($C$2:$C$4852),4^8),ROW(C4062)))&amp;""</f>
        <v>#N/A</v>
      </c>
    </row>
    <row r="4063" ht="14.100000000000001" customHeight="1">
      <c r="B4063" s="19" t="s">
        <v>8263</v>
      </c>
      <c r="C4063" s="19" t="s">
        <v>8264</v>
      </c>
      <c r="D4063" s="19" t="s">
        <v>8263</v>
      </c>
      <c r="E4063" s="20" t="e">
        <f t="array" ref="E4063">INDEX(C:C,SMALL(IF(ISNUMBER(FIND(CELL("contents"),$C$2:$C$4852)),ROW($C$2:$C$4852),4^8),ROW(C4063)))&amp;""</f>
        <v>#N/A</v>
      </c>
    </row>
    <row r="4064" ht="14.100000000000001" customHeight="1">
      <c r="B4064" s="19" t="s">
        <v>8265</v>
      </c>
      <c r="C4064" s="19" t="s">
        <v>8266</v>
      </c>
      <c r="D4064" s="19" t="s">
        <v>8265</v>
      </c>
      <c r="E4064" s="20" t="e">
        <f t="array" ref="E4064">INDEX(C:C,SMALL(IF(ISNUMBER(FIND(CELL("contents"),$C$2:$C$4852)),ROW($C$2:$C$4852),4^8),ROW(C4064)))&amp;""</f>
        <v>#N/A</v>
      </c>
    </row>
    <row r="4065" ht="14.100000000000001" customHeight="1">
      <c r="B4065" s="8" t="s">
        <v>8267</v>
      </c>
      <c r="C4065" s="8" t="s">
        <v>8268</v>
      </c>
      <c r="D4065" s="8" t="s">
        <v>8267</v>
      </c>
      <c r="E4065" s="20" t="e">
        <f t="array" ref="E4065">INDEX(C:C,SMALL(IF(ISNUMBER(FIND(CELL("contents"),$C$2:$C$4852)),ROW($C$2:$C$4852),4^8),ROW(C4065)))&amp;""</f>
        <v>#N/A</v>
      </c>
    </row>
    <row r="4066" ht="14.100000000000001" customHeight="1">
      <c r="B4066" s="8" t="s">
        <v>8269</v>
      </c>
      <c r="C4066" s="8" t="s">
        <v>8270</v>
      </c>
      <c r="D4066" s="8" t="s">
        <v>8269</v>
      </c>
      <c r="E4066" s="20" t="e">
        <f t="array" ref="E4066">INDEX(C:C,SMALL(IF(ISNUMBER(FIND(CELL("contents"),$C$2:$C$4852)),ROW($C$2:$C$4852),4^8),ROW(C4066)))&amp;""</f>
        <v>#N/A</v>
      </c>
    </row>
    <row r="4067" ht="14.100000000000001" customHeight="1">
      <c r="B4067" s="8" t="s">
        <v>8271</v>
      </c>
      <c r="C4067" s="8" t="s">
        <v>8272</v>
      </c>
      <c r="D4067" s="8" t="s">
        <v>8271</v>
      </c>
      <c r="E4067" s="20" t="e">
        <f t="array" ref="E4067">INDEX(C:C,SMALL(IF(ISNUMBER(FIND(CELL("contents"),$C$2:$C$4852)),ROW($C$2:$C$4852),4^8),ROW(C4067)))&amp;""</f>
        <v>#N/A</v>
      </c>
    </row>
    <row r="4068" ht="14.100000000000001" customHeight="1">
      <c r="B4068" s="8" t="s">
        <v>8273</v>
      </c>
      <c r="C4068" s="8" t="s">
        <v>8274</v>
      </c>
      <c r="D4068" s="8" t="s">
        <v>8273</v>
      </c>
      <c r="E4068" s="20" t="e">
        <f t="array" ref="E4068">INDEX(C:C,SMALL(IF(ISNUMBER(FIND(CELL("contents"),$C$2:$C$4852)),ROW($C$2:$C$4852),4^8),ROW(C4068)))&amp;""</f>
        <v>#N/A</v>
      </c>
    </row>
    <row r="4069" ht="14.100000000000001" customHeight="1">
      <c r="B4069" s="8" t="s">
        <v>8275</v>
      </c>
      <c r="C4069" s="8" t="s">
        <v>8276</v>
      </c>
      <c r="D4069" s="8" t="s">
        <v>8275</v>
      </c>
      <c r="E4069" s="20" t="e">
        <f t="array" ref="E4069">INDEX(C:C,SMALL(IF(ISNUMBER(FIND(CELL("contents"),$C$2:$C$4852)),ROW($C$2:$C$4852),4^8),ROW(C4069)))&amp;""</f>
        <v>#N/A</v>
      </c>
    </row>
    <row r="4070" ht="14.100000000000001" customHeight="1">
      <c r="B4070" s="8" t="s">
        <v>8277</v>
      </c>
      <c r="C4070" s="8" t="s">
        <v>8278</v>
      </c>
      <c r="D4070" s="8" t="s">
        <v>8277</v>
      </c>
      <c r="E4070" s="20" t="e">
        <f t="array" ref="E4070">INDEX(C:C,SMALL(IF(ISNUMBER(FIND(CELL("contents"),$C$2:$C$4852)),ROW($C$2:$C$4852),4^8),ROW(C4070)))&amp;""</f>
        <v>#N/A</v>
      </c>
    </row>
    <row r="4071" ht="14.100000000000001" customHeight="1">
      <c r="B4071" s="8" t="s">
        <v>8279</v>
      </c>
      <c r="C4071" s="8" t="s">
        <v>8280</v>
      </c>
      <c r="D4071" s="8" t="s">
        <v>8279</v>
      </c>
      <c r="E4071" s="20" t="e">
        <f t="array" ref="E4071">INDEX(C:C,SMALL(IF(ISNUMBER(FIND(CELL("contents"),$C$2:$C$4852)),ROW($C$2:$C$4852),4^8),ROW(C4071)))&amp;""</f>
        <v>#N/A</v>
      </c>
    </row>
    <row r="4072" ht="14.100000000000001" customHeight="1">
      <c r="B4072" s="8" t="s">
        <v>8281</v>
      </c>
      <c r="C4072" s="8" t="s">
        <v>8282</v>
      </c>
      <c r="D4072" s="8" t="s">
        <v>8281</v>
      </c>
      <c r="E4072" s="20" t="e">
        <f t="array" ref="E4072">INDEX(C:C,SMALL(IF(ISNUMBER(FIND(CELL("contents"),$C$2:$C$4852)),ROW($C$2:$C$4852),4^8),ROW(C4072)))&amp;""</f>
        <v>#N/A</v>
      </c>
    </row>
    <row r="4073" ht="14.100000000000001" customHeight="1">
      <c r="B4073" s="8" t="s">
        <v>8283</v>
      </c>
      <c r="C4073" s="8" t="s">
        <v>8284</v>
      </c>
      <c r="D4073" s="8" t="s">
        <v>8283</v>
      </c>
      <c r="E4073" s="20" t="e">
        <f t="array" ref="E4073">INDEX(C:C,SMALL(IF(ISNUMBER(FIND(CELL("contents"),$C$2:$C$4852)),ROW($C$2:$C$4852),4^8),ROW(C4073)))&amp;""</f>
        <v>#N/A</v>
      </c>
    </row>
    <row r="4074" ht="14.100000000000001" customHeight="1">
      <c r="B4074" s="8" t="s">
        <v>8285</v>
      </c>
      <c r="C4074" s="8" t="s">
        <v>7876</v>
      </c>
      <c r="D4074" s="8" t="s">
        <v>8285</v>
      </c>
      <c r="E4074" s="20" t="e">
        <f t="array" ref="E4074">INDEX(C:C,SMALL(IF(ISNUMBER(FIND(CELL("contents"),$C$2:$C$4852)),ROW($C$2:$C$4852),4^8),ROW(C4074)))&amp;""</f>
        <v>#N/A</v>
      </c>
    </row>
    <row r="4075" ht="14.100000000000001" customHeight="1">
      <c r="B4075" s="8" t="s">
        <v>8286</v>
      </c>
      <c r="C4075" s="8" t="s">
        <v>8287</v>
      </c>
      <c r="D4075" s="8" t="s">
        <v>8286</v>
      </c>
      <c r="E4075" s="20" t="e">
        <f t="array" ref="E4075">INDEX(C:C,SMALL(IF(ISNUMBER(FIND(CELL("contents"),$C$2:$C$4852)),ROW($C$2:$C$4852),4^8),ROW(C4075)))&amp;""</f>
        <v>#N/A</v>
      </c>
    </row>
    <row r="4076" ht="14.100000000000001" customHeight="1">
      <c r="B4076" s="8" t="s">
        <v>8288</v>
      </c>
      <c r="C4076" s="8" t="s">
        <v>8289</v>
      </c>
      <c r="D4076" s="8" t="s">
        <v>8288</v>
      </c>
      <c r="E4076" s="20" t="e">
        <f t="array" ref="E4076">INDEX(C:C,SMALL(IF(ISNUMBER(FIND(CELL("contents"),$C$2:$C$4852)),ROW($C$2:$C$4852),4^8),ROW(C4076)))&amp;""</f>
        <v>#N/A</v>
      </c>
    </row>
    <row r="4077" ht="14.100000000000001" customHeight="1">
      <c r="B4077" s="8" t="s">
        <v>8290</v>
      </c>
      <c r="C4077" s="8" t="s">
        <v>8291</v>
      </c>
      <c r="D4077" s="8" t="s">
        <v>8290</v>
      </c>
      <c r="E4077" s="20" t="e">
        <f t="array" ref="E4077">INDEX(C:C,SMALL(IF(ISNUMBER(FIND(CELL("contents"),$C$2:$C$4852)),ROW($C$2:$C$4852),4^8),ROW(C4077)))&amp;""</f>
        <v>#N/A</v>
      </c>
    </row>
    <row r="4078" ht="14.100000000000001" customHeight="1">
      <c r="B4078" s="8" t="s">
        <v>8292</v>
      </c>
      <c r="C4078" s="8" t="s">
        <v>8293</v>
      </c>
      <c r="D4078" s="8" t="s">
        <v>8292</v>
      </c>
      <c r="E4078" s="20" t="e">
        <f t="array" ref="E4078">INDEX(C:C,SMALL(IF(ISNUMBER(FIND(CELL("contents"),$C$2:$C$4852)),ROW($C$2:$C$4852),4^8),ROW(C4078)))&amp;""</f>
        <v>#N/A</v>
      </c>
    </row>
    <row r="4079" ht="14.100000000000001" customHeight="1">
      <c r="B4079" s="8" t="s">
        <v>8294</v>
      </c>
      <c r="C4079" s="8" t="s">
        <v>8295</v>
      </c>
      <c r="D4079" s="8" t="s">
        <v>8294</v>
      </c>
      <c r="E4079" s="20" t="e">
        <f t="array" ref="E4079">INDEX(C:C,SMALL(IF(ISNUMBER(FIND(CELL("contents"),$C$2:$C$4852)),ROW($C$2:$C$4852),4^8),ROW(C4079)))&amp;""</f>
        <v>#N/A</v>
      </c>
    </row>
    <row r="4080" ht="14.100000000000001" customHeight="1">
      <c r="B4080" s="8" t="s">
        <v>8296</v>
      </c>
      <c r="C4080" s="8" t="s">
        <v>8297</v>
      </c>
      <c r="D4080" s="8" t="s">
        <v>8296</v>
      </c>
      <c r="E4080" s="20" t="e">
        <f t="array" ref="E4080">INDEX(C:C,SMALL(IF(ISNUMBER(FIND(CELL("contents"),$C$2:$C$4852)),ROW($C$2:$C$4852),4^8),ROW(C4080)))&amp;""</f>
        <v>#N/A</v>
      </c>
    </row>
    <row r="4081" ht="14.100000000000001" customHeight="1">
      <c r="B4081" s="8" t="s">
        <v>8298</v>
      </c>
      <c r="C4081" s="8" t="s">
        <v>8299</v>
      </c>
      <c r="D4081" s="8" t="s">
        <v>8298</v>
      </c>
      <c r="E4081" s="20" t="e">
        <f t="array" ref="E4081">INDEX(C:C,SMALL(IF(ISNUMBER(FIND(CELL("contents"),$C$2:$C$4852)),ROW($C$2:$C$4852),4^8),ROW(C4081)))&amp;""</f>
        <v>#N/A</v>
      </c>
    </row>
    <row r="4082" ht="14.100000000000001" customHeight="1">
      <c r="B4082" s="8" t="s">
        <v>8300</v>
      </c>
      <c r="C4082" s="8" t="s">
        <v>8301</v>
      </c>
      <c r="D4082" s="8" t="s">
        <v>8300</v>
      </c>
      <c r="E4082" s="20" t="e">
        <f t="array" ref="E4082">INDEX(C:C,SMALL(IF(ISNUMBER(FIND(CELL("contents"),$C$2:$C$4852)),ROW($C$2:$C$4852),4^8),ROW(C4082)))&amp;""</f>
        <v>#N/A</v>
      </c>
    </row>
    <row r="4083" ht="14.100000000000001" customHeight="1">
      <c r="B4083" s="8" t="s">
        <v>8302</v>
      </c>
      <c r="C4083" s="8" t="s">
        <v>8303</v>
      </c>
      <c r="D4083" s="8" t="s">
        <v>8302</v>
      </c>
      <c r="E4083" s="20" t="e">
        <f t="array" ref="E4083">INDEX(C:C,SMALL(IF(ISNUMBER(FIND(CELL("contents"),$C$2:$C$4852)),ROW($C$2:$C$4852),4^8),ROW(C4083)))&amp;""</f>
        <v>#N/A</v>
      </c>
    </row>
    <row r="4084" ht="14.100000000000001" customHeight="1">
      <c r="B4084" s="8" t="s">
        <v>8304</v>
      </c>
      <c r="C4084" s="8" t="s">
        <v>8305</v>
      </c>
      <c r="D4084" s="8" t="s">
        <v>8304</v>
      </c>
      <c r="E4084" s="20" t="e">
        <f t="array" ref="E4084">INDEX(C:C,SMALL(IF(ISNUMBER(FIND(CELL("contents"),$C$2:$C$4852)),ROW($C$2:$C$4852),4^8),ROW(C4084)))&amp;""</f>
        <v>#N/A</v>
      </c>
    </row>
    <row r="4085" ht="14.100000000000001" customHeight="1">
      <c r="B4085" s="8" t="s">
        <v>8306</v>
      </c>
      <c r="C4085" s="8" t="s">
        <v>8307</v>
      </c>
      <c r="D4085" s="8" t="s">
        <v>8306</v>
      </c>
      <c r="E4085" s="20" t="e">
        <f t="array" ref="E4085">INDEX(C:C,SMALL(IF(ISNUMBER(FIND(CELL("contents"),$C$2:$C$4852)),ROW($C$2:$C$4852),4^8),ROW(C4085)))&amp;""</f>
        <v>#N/A</v>
      </c>
    </row>
    <row r="4086" ht="14.100000000000001" customHeight="1">
      <c r="B4086" s="8" t="s">
        <v>8308</v>
      </c>
      <c r="C4086" s="8" t="s">
        <v>8309</v>
      </c>
      <c r="D4086" s="8" t="s">
        <v>8308</v>
      </c>
      <c r="E4086" s="20" t="e">
        <f t="array" ref="E4086">INDEX(C:C,SMALL(IF(ISNUMBER(FIND(CELL("contents"),$C$2:$C$4852)),ROW($C$2:$C$4852),4^8),ROW(C4086)))&amp;""</f>
        <v>#N/A</v>
      </c>
    </row>
    <row r="4087" ht="14.100000000000001" customHeight="1">
      <c r="B4087" s="8" t="s">
        <v>8310</v>
      </c>
      <c r="C4087" s="8" t="s">
        <v>8311</v>
      </c>
      <c r="D4087" s="8" t="s">
        <v>8310</v>
      </c>
      <c r="E4087" s="20" t="e">
        <f t="array" ref="E4087">INDEX(C:C,SMALL(IF(ISNUMBER(FIND(CELL("contents"),$C$2:$C$4852)),ROW($C$2:$C$4852),4^8),ROW(C4087)))&amp;""</f>
        <v>#N/A</v>
      </c>
    </row>
    <row r="4088" ht="14.100000000000001" customHeight="1">
      <c r="B4088" s="8" t="s">
        <v>8312</v>
      </c>
      <c r="C4088" s="8" t="s">
        <v>8313</v>
      </c>
      <c r="D4088" s="8" t="s">
        <v>8312</v>
      </c>
      <c r="E4088" s="20" t="e">
        <f t="array" ref="E4088">INDEX(C:C,SMALL(IF(ISNUMBER(FIND(CELL("contents"),$C$2:$C$4852)),ROW($C$2:$C$4852),4^8),ROW(C4088)))&amp;""</f>
        <v>#N/A</v>
      </c>
    </row>
    <row r="4089" ht="14.100000000000001" customHeight="1">
      <c r="B4089" s="8" t="s">
        <v>8314</v>
      </c>
      <c r="C4089" s="8" t="s">
        <v>8315</v>
      </c>
      <c r="D4089" s="8" t="s">
        <v>8314</v>
      </c>
      <c r="E4089" s="20" t="e">
        <f t="array" ref="E4089">INDEX(C:C,SMALL(IF(ISNUMBER(FIND(CELL("contents"),$C$2:$C$4852)),ROW($C$2:$C$4852),4^8),ROW(C4089)))&amp;""</f>
        <v>#N/A</v>
      </c>
    </row>
    <row r="4090" ht="14.100000000000001" customHeight="1">
      <c r="B4090" s="8" t="s">
        <v>8316</v>
      </c>
      <c r="C4090" s="8" t="s">
        <v>8317</v>
      </c>
      <c r="D4090" s="8" t="s">
        <v>8316</v>
      </c>
      <c r="E4090" s="20" t="e">
        <f t="array" ref="E4090">INDEX(C:C,SMALL(IF(ISNUMBER(FIND(CELL("contents"),$C$2:$C$4852)),ROW($C$2:$C$4852),4^8),ROW(C4090)))&amp;""</f>
        <v>#N/A</v>
      </c>
    </row>
    <row r="4091" ht="14.100000000000001" customHeight="1">
      <c r="B4091" s="8" t="s">
        <v>8318</v>
      </c>
      <c r="C4091" s="8" t="s">
        <v>8319</v>
      </c>
      <c r="D4091" s="8" t="s">
        <v>8318</v>
      </c>
      <c r="E4091" s="20" t="e">
        <f t="array" ref="E4091">INDEX(C:C,SMALL(IF(ISNUMBER(FIND(CELL("contents"),$C$2:$C$4852)),ROW($C$2:$C$4852),4^8),ROW(C4091)))&amp;""</f>
        <v>#N/A</v>
      </c>
    </row>
    <row r="4092" ht="14.100000000000001" customHeight="1">
      <c r="B4092" s="8" t="s">
        <v>8320</v>
      </c>
      <c r="C4092" s="8" t="s">
        <v>8321</v>
      </c>
      <c r="D4092" s="8" t="s">
        <v>8320</v>
      </c>
      <c r="E4092" s="20" t="e">
        <f t="array" ref="E4092">INDEX(C:C,SMALL(IF(ISNUMBER(FIND(CELL("contents"),$C$2:$C$4852)),ROW($C$2:$C$4852),4^8),ROW(C4092)))&amp;""</f>
        <v>#N/A</v>
      </c>
    </row>
    <row r="4093" ht="14.100000000000001" customHeight="1">
      <c r="B4093" s="8" t="s">
        <v>8322</v>
      </c>
      <c r="C4093" s="8" t="s">
        <v>8323</v>
      </c>
      <c r="D4093" s="8" t="s">
        <v>8322</v>
      </c>
      <c r="E4093" s="20" t="e">
        <f t="array" ref="E4093">INDEX(C:C,SMALL(IF(ISNUMBER(FIND(CELL("contents"),$C$2:$C$4852)),ROW($C$2:$C$4852),4^8),ROW(C4093)))&amp;""</f>
        <v>#N/A</v>
      </c>
    </row>
    <row r="4094" ht="14.100000000000001" customHeight="1">
      <c r="B4094" s="8" t="s">
        <v>8324</v>
      </c>
      <c r="C4094" s="8" t="s">
        <v>8325</v>
      </c>
      <c r="D4094" s="8" t="s">
        <v>8324</v>
      </c>
      <c r="E4094" s="20" t="e">
        <f t="array" ref="E4094">INDEX(C:C,SMALL(IF(ISNUMBER(FIND(CELL("contents"),$C$2:$C$4852)),ROW($C$2:$C$4852),4^8),ROW(C4094)))&amp;""</f>
        <v>#N/A</v>
      </c>
    </row>
    <row r="4095" ht="14.100000000000001" customHeight="1">
      <c r="B4095" s="8" t="s">
        <v>8326</v>
      </c>
      <c r="C4095" s="8" t="s">
        <v>8327</v>
      </c>
      <c r="D4095" s="8" t="s">
        <v>8326</v>
      </c>
      <c r="E4095" s="20" t="e">
        <f t="array" ref="E4095">INDEX(C:C,SMALL(IF(ISNUMBER(FIND(CELL("contents"),$C$2:$C$4852)),ROW($C$2:$C$4852),4^8),ROW(C4095)))&amp;""</f>
        <v>#N/A</v>
      </c>
    </row>
    <row r="4096" ht="14.100000000000001" customHeight="1">
      <c r="B4096" s="8" t="s">
        <v>8328</v>
      </c>
      <c r="C4096" s="8" t="s">
        <v>8329</v>
      </c>
      <c r="D4096" s="8" t="s">
        <v>8328</v>
      </c>
      <c r="E4096" s="20" t="e">
        <f t="array" ref="E4096">INDEX(C:C,SMALL(IF(ISNUMBER(FIND(CELL("contents"),$C$2:$C$4852)),ROW($C$2:$C$4852),4^8),ROW(C4096)))&amp;""</f>
        <v>#N/A</v>
      </c>
    </row>
    <row r="4097" ht="14.100000000000001" customHeight="1">
      <c r="B4097" s="8" t="s">
        <v>8330</v>
      </c>
      <c r="C4097" s="8" t="s">
        <v>8331</v>
      </c>
      <c r="D4097" s="8" t="s">
        <v>8330</v>
      </c>
      <c r="E4097" s="20" t="e">
        <f t="array" ref="E4097">INDEX(C:C,SMALL(IF(ISNUMBER(FIND(CELL("contents"),$C$2:$C$4852)),ROW($C$2:$C$4852),4^8),ROW(C4097)))&amp;""</f>
        <v>#N/A</v>
      </c>
    </row>
    <row r="4098" ht="14.100000000000001" customHeight="1">
      <c r="B4098" s="8" t="s">
        <v>8332</v>
      </c>
      <c r="C4098" s="8" t="s">
        <v>8333</v>
      </c>
      <c r="D4098" s="8" t="s">
        <v>8332</v>
      </c>
      <c r="E4098" s="20" t="e">
        <f t="array" ref="E4098">INDEX(C:C,SMALL(IF(ISNUMBER(FIND(CELL("contents"),$C$2:$C$4852)),ROW($C$2:$C$4852),4^8),ROW(C4098)))&amp;""</f>
        <v>#N/A</v>
      </c>
    </row>
    <row r="4099" ht="14.100000000000001" customHeight="1">
      <c r="B4099" s="8" t="s">
        <v>8334</v>
      </c>
      <c r="C4099" s="8" t="s">
        <v>8335</v>
      </c>
      <c r="D4099" s="8" t="s">
        <v>8334</v>
      </c>
      <c r="E4099" s="20" t="e">
        <f t="array" ref="E4099">INDEX(C:C,SMALL(IF(ISNUMBER(FIND(CELL("contents"),$C$2:$C$4852)),ROW($C$2:$C$4852),4^8),ROW(C4099)))&amp;""</f>
        <v>#N/A</v>
      </c>
    </row>
    <row r="4100" ht="14.100000000000001" customHeight="1">
      <c r="B4100" s="8" t="s">
        <v>8336</v>
      </c>
      <c r="C4100" s="8" t="s">
        <v>8337</v>
      </c>
      <c r="D4100" s="8" t="s">
        <v>8336</v>
      </c>
      <c r="E4100" s="20" t="e">
        <f t="array" ref="E4100">INDEX(C:C,SMALL(IF(ISNUMBER(FIND(CELL("contents"),$C$2:$C$4852)),ROW($C$2:$C$4852),4^8),ROW(C4100)))&amp;""</f>
        <v>#N/A</v>
      </c>
    </row>
    <row r="4101" ht="14.100000000000001" customHeight="1">
      <c r="B4101" s="8" t="s">
        <v>8338</v>
      </c>
      <c r="C4101" s="8" t="s">
        <v>8339</v>
      </c>
      <c r="D4101" s="8" t="s">
        <v>8338</v>
      </c>
      <c r="E4101" s="20" t="e">
        <f t="array" ref="E4101">INDEX(C:C,SMALL(IF(ISNUMBER(FIND(CELL("contents"),$C$2:$C$4852)),ROW($C$2:$C$4852),4^8),ROW(C4101)))&amp;""</f>
        <v>#N/A</v>
      </c>
    </row>
    <row r="4102" ht="14.100000000000001" customHeight="1">
      <c r="B4102" s="8" t="s">
        <v>8340</v>
      </c>
      <c r="C4102" s="8" t="s">
        <v>8341</v>
      </c>
      <c r="D4102" s="8" t="s">
        <v>8340</v>
      </c>
      <c r="E4102" s="20" t="e">
        <f t="array" ref="E4102">INDEX(C:C,SMALL(IF(ISNUMBER(FIND(CELL("contents"),$C$2:$C$4852)),ROW($C$2:$C$4852),4^8),ROW(C4102)))&amp;""</f>
        <v>#N/A</v>
      </c>
    </row>
    <row r="4103" ht="14.100000000000001" customHeight="1">
      <c r="B4103" s="8" t="s">
        <v>8342</v>
      </c>
      <c r="C4103" s="8" t="s">
        <v>8343</v>
      </c>
      <c r="D4103" s="8" t="s">
        <v>8342</v>
      </c>
      <c r="E4103" s="20" t="e">
        <f t="array" ref="E4103">INDEX(C:C,SMALL(IF(ISNUMBER(FIND(CELL("contents"),$C$2:$C$4852)),ROW($C$2:$C$4852),4^8),ROW(C4103)))&amp;""</f>
        <v>#N/A</v>
      </c>
    </row>
    <row r="4104" ht="14.100000000000001" customHeight="1">
      <c r="B4104" s="8" t="s">
        <v>8344</v>
      </c>
      <c r="C4104" s="8" t="s">
        <v>8345</v>
      </c>
      <c r="D4104" s="8" t="s">
        <v>8344</v>
      </c>
      <c r="E4104" s="20" t="e">
        <f t="array" ref="E4104">INDEX(C:C,SMALL(IF(ISNUMBER(FIND(CELL("contents"),$C$2:$C$4852)),ROW($C$2:$C$4852),4^8),ROW(C4104)))&amp;""</f>
        <v>#N/A</v>
      </c>
    </row>
    <row r="4105" ht="14.100000000000001" customHeight="1">
      <c r="B4105" s="8" t="s">
        <v>8346</v>
      </c>
      <c r="C4105" s="8" t="s">
        <v>8347</v>
      </c>
      <c r="D4105" s="8" t="s">
        <v>8346</v>
      </c>
      <c r="E4105" s="20" t="e">
        <f t="array" ref="E4105">INDEX(C:C,SMALL(IF(ISNUMBER(FIND(CELL("contents"),$C$2:$C$4852)),ROW($C$2:$C$4852),4^8),ROW(C4105)))&amp;""</f>
        <v>#N/A</v>
      </c>
    </row>
    <row r="4106" ht="14.100000000000001" customHeight="1">
      <c r="B4106" s="8" t="s">
        <v>8348</v>
      </c>
      <c r="C4106" s="8" t="s">
        <v>8349</v>
      </c>
      <c r="D4106" s="8" t="s">
        <v>8348</v>
      </c>
      <c r="E4106" s="20" t="e">
        <f t="array" ref="E4106">INDEX(C:C,SMALL(IF(ISNUMBER(FIND(CELL("contents"),$C$2:$C$4852)),ROW($C$2:$C$4852),4^8),ROW(C4106)))&amp;""</f>
        <v>#N/A</v>
      </c>
    </row>
    <row r="4107" ht="14.100000000000001" customHeight="1">
      <c r="B4107" s="8" t="s">
        <v>8350</v>
      </c>
      <c r="C4107" s="8" t="s">
        <v>8351</v>
      </c>
      <c r="D4107" s="8" t="s">
        <v>8350</v>
      </c>
      <c r="E4107" s="20" t="e">
        <f t="array" ref="E4107">INDEX(C:C,SMALL(IF(ISNUMBER(FIND(CELL("contents"),$C$2:$C$4852)),ROW($C$2:$C$4852),4^8),ROW(C4107)))&amp;""</f>
        <v>#N/A</v>
      </c>
    </row>
    <row r="4108" ht="14.100000000000001" customHeight="1">
      <c r="B4108" s="8" t="s">
        <v>8352</v>
      </c>
      <c r="C4108" s="8" t="s">
        <v>8353</v>
      </c>
      <c r="D4108" s="8" t="s">
        <v>8352</v>
      </c>
      <c r="E4108" s="20" t="e">
        <f t="array" ref="E4108">INDEX(C:C,SMALL(IF(ISNUMBER(FIND(CELL("contents"),$C$2:$C$4852)),ROW($C$2:$C$4852),4^8),ROW(C4108)))&amp;""</f>
        <v>#N/A</v>
      </c>
    </row>
    <row r="4109" ht="14.100000000000001" customHeight="1">
      <c r="B4109" s="8" t="s">
        <v>8354</v>
      </c>
      <c r="C4109" s="8" t="s">
        <v>8355</v>
      </c>
      <c r="D4109" s="8" t="s">
        <v>8354</v>
      </c>
      <c r="E4109" s="20" t="e">
        <f t="array" ref="E4109">INDEX(C:C,SMALL(IF(ISNUMBER(FIND(CELL("contents"),$C$2:$C$4852)),ROW($C$2:$C$4852),4^8),ROW(C4109)))&amp;""</f>
        <v>#N/A</v>
      </c>
    </row>
    <row r="4110" ht="14.100000000000001" customHeight="1">
      <c r="B4110" s="8" t="s">
        <v>8356</v>
      </c>
      <c r="C4110" s="8" t="s">
        <v>8357</v>
      </c>
      <c r="D4110" s="8" t="s">
        <v>8356</v>
      </c>
      <c r="E4110" s="20" t="e">
        <f t="array" ref="E4110">INDEX(C:C,SMALL(IF(ISNUMBER(FIND(CELL("contents"),$C$2:$C$4852)),ROW($C$2:$C$4852),4^8),ROW(C4110)))&amp;""</f>
        <v>#N/A</v>
      </c>
    </row>
    <row r="4111" ht="14.100000000000001" customHeight="1">
      <c r="B4111" s="8" t="s">
        <v>8358</v>
      </c>
      <c r="C4111" s="8" t="s">
        <v>8359</v>
      </c>
      <c r="D4111" s="8" t="s">
        <v>8358</v>
      </c>
      <c r="E4111" s="20" t="e">
        <f t="array" ref="E4111">INDEX(C:C,SMALL(IF(ISNUMBER(FIND(CELL("contents"),$C$2:$C$4852)),ROW($C$2:$C$4852),4^8),ROW(C4111)))&amp;""</f>
        <v>#N/A</v>
      </c>
    </row>
    <row r="4112" ht="14.100000000000001" customHeight="1">
      <c r="B4112" s="8" t="s">
        <v>8360</v>
      </c>
      <c r="C4112" s="8" t="s">
        <v>8361</v>
      </c>
      <c r="D4112" s="8" t="s">
        <v>8360</v>
      </c>
      <c r="E4112" s="20" t="e">
        <f t="array" ref="E4112">INDEX(C:C,SMALL(IF(ISNUMBER(FIND(CELL("contents"),$C$2:$C$4852)),ROW($C$2:$C$4852),4^8),ROW(C4112)))&amp;""</f>
        <v>#N/A</v>
      </c>
    </row>
    <row r="4113" ht="14.100000000000001" customHeight="1">
      <c r="B4113" s="8" t="s">
        <v>8362</v>
      </c>
      <c r="C4113" s="8" t="s">
        <v>8363</v>
      </c>
      <c r="D4113" s="8" t="s">
        <v>8362</v>
      </c>
      <c r="E4113" s="20" t="e">
        <f t="array" ref="E4113">INDEX(C:C,SMALL(IF(ISNUMBER(FIND(CELL("contents"),$C$2:$C$4852)),ROW($C$2:$C$4852),4^8),ROW(C4113)))&amp;""</f>
        <v>#N/A</v>
      </c>
    </row>
    <row r="4114" ht="14.100000000000001" customHeight="1">
      <c r="B4114" s="8" t="s">
        <v>8364</v>
      </c>
      <c r="C4114" s="8" t="s">
        <v>8365</v>
      </c>
      <c r="D4114" s="8" t="s">
        <v>8364</v>
      </c>
      <c r="E4114" s="20" t="e">
        <f t="array" ref="E4114">INDEX(C:C,SMALL(IF(ISNUMBER(FIND(CELL("contents"),$C$2:$C$4852)),ROW($C$2:$C$4852),4^8),ROW(C4114)))&amp;""</f>
        <v>#N/A</v>
      </c>
    </row>
    <row r="4115" ht="14.100000000000001" customHeight="1">
      <c r="B4115" s="8" t="s">
        <v>8366</v>
      </c>
      <c r="C4115" s="8" t="s">
        <v>8367</v>
      </c>
      <c r="D4115" s="8" t="s">
        <v>8366</v>
      </c>
      <c r="E4115" s="20" t="e">
        <f t="array" ref="E4115">INDEX(C:C,SMALL(IF(ISNUMBER(FIND(CELL("contents"),$C$2:$C$4852)),ROW($C$2:$C$4852),4^8),ROW(C4115)))&amp;""</f>
        <v>#N/A</v>
      </c>
    </row>
    <row r="4116" ht="14.100000000000001" customHeight="1">
      <c r="B4116" s="8" t="s">
        <v>8368</v>
      </c>
      <c r="C4116" s="8" t="s">
        <v>8369</v>
      </c>
      <c r="D4116" s="8" t="s">
        <v>8368</v>
      </c>
      <c r="E4116" s="20" t="e">
        <f t="array" ref="E4116">INDEX(C:C,SMALL(IF(ISNUMBER(FIND(CELL("contents"),$C$2:$C$4852)),ROW($C$2:$C$4852),4^8),ROW(C4116)))&amp;""</f>
        <v>#N/A</v>
      </c>
    </row>
    <row r="4117" ht="14.100000000000001" customHeight="1">
      <c r="B4117" s="8" t="s">
        <v>8370</v>
      </c>
      <c r="C4117" s="8" t="s">
        <v>8371</v>
      </c>
      <c r="D4117" s="8" t="s">
        <v>8370</v>
      </c>
      <c r="E4117" s="20" t="e">
        <f t="array" ref="E4117">INDEX(C:C,SMALL(IF(ISNUMBER(FIND(CELL("contents"),$C$2:$C$4852)),ROW($C$2:$C$4852),4^8),ROW(C4117)))&amp;""</f>
        <v>#N/A</v>
      </c>
    </row>
    <row r="4118" ht="14.100000000000001" customHeight="1">
      <c r="B4118" s="8" t="s">
        <v>8372</v>
      </c>
      <c r="C4118" s="8" t="s">
        <v>8373</v>
      </c>
      <c r="D4118" s="8" t="s">
        <v>8372</v>
      </c>
      <c r="E4118" s="20" t="e">
        <f t="array" ref="E4118">INDEX(C:C,SMALL(IF(ISNUMBER(FIND(CELL("contents"),$C$2:$C$4852)),ROW($C$2:$C$4852),4^8),ROW(C4118)))&amp;""</f>
        <v>#N/A</v>
      </c>
    </row>
    <row r="4119" ht="14.100000000000001" customHeight="1">
      <c r="B4119" s="8" t="s">
        <v>8374</v>
      </c>
      <c r="C4119" s="8" t="s">
        <v>8375</v>
      </c>
      <c r="D4119" s="8" t="s">
        <v>8374</v>
      </c>
      <c r="E4119" s="20" t="e">
        <f t="array" ref="E4119">INDEX(C:C,SMALL(IF(ISNUMBER(FIND(CELL("contents"),$C$2:$C$4852)),ROW($C$2:$C$4852),4^8),ROW(C4119)))&amp;""</f>
        <v>#N/A</v>
      </c>
    </row>
    <row r="4120" ht="14.100000000000001" customHeight="1">
      <c r="B4120" s="8" t="s">
        <v>8376</v>
      </c>
      <c r="C4120" s="8" t="s">
        <v>8377</v>
      </c>
      <c r="D4120" s="8" t="s">
        <v>8376</v>
      </c>
      <c r="E4120" s="20" t="e">
        <f t="array" ref="E4120">INDEX(C:C,SMALL(IF(ISNUMBER(FIND(CELL("contents"),$C$2:$C$4852)),ROW($C$2:$C$4852),4^8),ROW(C4120)))&amp;""</f>
        <v>#N/A</v>
      </c>
    </row>
    <row r="4121" ht="14.100000000000001" customHeight="1">
      <c r="B4121" s="8" t="s">
        <v>8378</v>
      </c>
      <c r="C4121" s="8" t="s">
        <v>8379</v>
      </c>
      <c r="D4121" s="8" t="s">
        <v>8378</v>
      </c>
      <c r="E4121" s="20" t="e">
        <f t="array" ref="E4121">INDEX(C:C,SMALL(IF(ISNUMBER(FIND(CELL("contents"),$C$2:$C$4852)),ROW($C$2:$C$4852),4^8),ROW(C4121)))&amp;""</f>
        <v>#N/A</v>
      </c>
    </row>
    <row r="4122" ht="14.100000000000001" customHeight="1">
      <c r="B4122" s="8" t="s">
        <v>8380</v>
      </c>
      <c r="C4122" s="8" t="s">
        <v>8381</v>
      </c>
      <c r="D4122" s="8" t="s">
        <v>8380</v>
      </c>
      <c r="E4122" s="20" t="e">
        <f t="array" ref="E4122">INDEX(C:C,SMALL(IF(ISNUMBER(FIND(CELL("contents"),$C$2:$C$4852)),ROW($C$2:$C$4852),4^8),ROW(C4122)))&amp;""</f>
        <v>#N/A</v>
      </c>
    </row>
    <row r="4123" ht="14.100000000000001" customHeight="1">
      <c r="B4123" s="8" t="s">
        <v>8382</v>
      </c>
      <c r="C4123" s="8" t="s">
        <v>8383</v>
      </c>
      <c r="D4123" s="8" t="s">
        <v>8382</v>
      </c>
      <c r="E4123" s="20" t="e">
        <f t="array" ref="E4123">INDEX(C:C,SMALL(IF(ISNUMBER(FIND(CELL("contents"),$C$2:$C$4852)),ROW($C$2:$C$4852),4^8),ROW(C4123)))&amp;""</f>
        <v>#N/A</v>
      </c>
    </row>
    <row r="4124" ht="14.100000000000001" customHeight="1">
      <c r="B4124" s="8" t="s">
        <v>8384</v>
      </c>
      <c r="C4124" s="8" t="s">
        <v>8385</v>
      </c>
      <c r="D4124" s="8" t="s">
        <v>8384</v>
      </c>
      <c r="E4124" s="20" t="e">
        <f t="array" ref="E4124">INDEX(C:C,SMALL(IF(ISNUMBER(FIND(CELL("contents"),$C$2:$C$4852)),ROW($C$2:$C$4852),4^8),ROW(C4124)))&amp;""</f>
        <v>#N/A</v>
      </c>
    </row>
    <row r="4125" ht="14.100000000000001" customHeight="1">
      <c r="B4125" s="8" t="s">
        <v>8386</v>
      </c>
      <c r="C4125" s="8" t="s">
        <v>8387</v>
      </c>
      <c r="D4125" s="8" t="s">
        <v>8386</v>
      </c>
      <c r="E4125" s="20" t="e">
        <f t="array" ref="E4125">INDEX(C:C,SMALL(IF(ISNUMBER(FIND(CELL("contents"),$C$2:$C$4852)),ROW($C$2:$C$4852),4^8),ROW(C4125)))&amp;""</f>
        <v>#N/A</v>
      </c>
    </row>
    <row r="4126" ht="14.100000000000001" customHeight="1">
      <c r="B4126" s="8" t="s">
        <v>8388</v>
      </c>
      <c r="C4126" s="8" t="s">
        <v>8389</v>
      </c>
      <c r="D4126" s="8" t="s">
        <v>8388</v>
      </c>
      <c r="E4126" s="20" t="e">
        <f t="array" ref="E4126">INDEX(C:C,SMALL(IF(ISNUMBER(FIND(CELL("contents"),$C$2:$C$4852)),ROW($C$2:$C$4852),4^8),ROW(C4126)))&amp;""</f>
        <v>#N/A</v>
      </c>
    </row>
    <row r="4127" ht="14.100000000000001" customHeight="1">
      <c r="B4127" s="8" t="s">
        <v>8390</v>
      </c>
      <c r="C4127" s="8" t="s">
        <v>8391</v>
      </c>
      <c r="D4127" s="8" t="s">
        <v>8390</v>
      </c>
      <c r="E4127" s="20" t="e">
        <f t="array" ref="E4127">INDEX(C:C,SMALL(IF(ISNUMBER(FIND(CELL("contents"),$C$2:$C$4852)),ROW($C$2:$C$4852),4^8),ROW(C4127)))&amp;""</f>
        <v>#N/A</v>
      </c>
    </row>
    <row r="4128" ht="14.100000000000001" customHeight="1">
      <c r="B4128" s="8" t="s">
        <v>8392</v>
      </c>
      <c r="C4128" s="8" t="s">
        <v>8393</v>
      </c>
      <c r="D4128" s="8" t="s">
        <v>8392</v>
      </c>
      <c r="E4128" s="20" t="e">
        <f t="array" ref="E4128">INDEX(C:C,SMALL(IF(ISNUMBER(FIND(CELL("contents"),$C$2:$C$4852)),ROW($C$2:$C$4852),4^8),ROW(C4128)))&amp;""</f>
        <v>#N/A</v>
      </c>
    </row>
    <row r="4129" ht="14.100000000000001" customHeight="1">
      <c r="B4129" s="8" t="s">
        <v>8394</v>
      </c>
      <c r="C4129" s="8" t="s">
        <v>8395</v>
      </c>
      <c r="D4129" s="8" t="s">
        <v>8394</v>
      </c>
      <c r="E4129" s="20" t="e">
        <f t="array" ref="E4129">INDEX(C:C,SMALL(IF(ISNUMBER(FIND(CELL("contents"),$C$2:$C$4852)),ROW($C$2:$C$4852),4^8),ROW(C4129)))&amp;""</f>
        <v>#N/A</v>
      </c>
    </row>
    <row r="4130" ht="14.100000000000001" customHeight="1">
      <c r="B4130" s="19" t="s">
        <v>8396</v>
      </c>
      <c r="C4130" s="19" t="s">
        <v>8397</v>
      </c>
      <c r="D4130" s="19" t="s">
        <v>8396</v>
      </c>
      <c r="E4130" s="20" t="e">
        <f t="array" ref="E4130">INDEX(C:C,SMALL(IF(ISNUMBER(FIND(CELL("contents"),$C$2:$C$4852)),ROW($C$2:$C$4852),4^8),ROW(C4130)))&amp;""</f>
        <v>#N/A</v>
      </c>
    </row>
    <row r="4131" ht="14.100000000000001" customHeight="1">
      <c r="B4131" s="19" t="s">
        <v>8398</v>
      </c>
      <c r="C4131" s="19" t="s">
        <v>8399</v>
      </c>
      <c r="D4131" s="19" t="s">
        <v>8398</v>
      </c>
      <c r="E4131" s="20" t="e">
        <f t="array" ref="E4131">INDEX(C:C,SMALL(IF(ISNUMBER(FIND(CELL("contents"),$C$2:$C$4852)),ROW($C$2:$C$4852),4^8),ROW(C4131)))&amp;""</f>
        <v>#N/A</v>
      </c>
    </row>
    <row r="4132" ht="14.100000000000001" customHeight="1">
      <c r="B4132" s="19" t="s">
        <v>8400</v>
      </c>
      <c r="C4132" s="19" t="s">
        <v>8401</v>
      </c>
      <c r="D4132" s="19" t="s">
        <v>8400</v>
      </c>
      <c r="E4132" s="20" t="e">
        <f t="array" ref="E4132">INDEX(C:C,SMALL(IF(ISNUMBER(FIND(CELL("contents"),$C$2:$C$4852)),ROW($C$2:$C$4852),4^8),ROW(C4132)))&amp;""</f>
        <v>#N/A</v>
      </c>
    </row>
    <row r="4133" ht="14.100000000000001" customHeight="1">
      <c r="B4133" s="19" t="s">
        <v>8402</v>
      </c>
      <c r="C4133" s="19" t="s">
        <v>8403</v>
      </c>
      <c r="D4133" s="19" t="s">
        <v>8402</v>
      </c>
      <c r="E4133" s="20" t="e">
        <f t="array" ref="E4133">INDEX(C:C,SMALL(IF(ISNUMBER(FIND(CELL("contents"),$C$2:$C$4852)),ROW($C$2:$C$4852),4^8),ROW(C4133)))&amp;""</f>
        <v>#N/A</v>
      </c>
    </row>
    <row r="4134" ht="14.100000000000001" customHeight="1">
      <c r="B4134" s="19" t="s">
        <v>8404</v>
      </c>
      <c r="C4134" s="19" t="s">
        <v>8405</v>
      </c>
      <c r="D4134" s="19" t="s">
        <v>8404</v>
      </c>
      <c r="E4134" s="20" t="e">
        <f t="array" ref="E4134">INDEX(C:C,SMALL(IF(ISNUMBER(FIND(CELL("contents"),$C$2:$C$4852)),ROW($C$2:$C$4852),4^8),ROW(C4134)))&amp;""</f>
        <v>#N/A</v>
      </c>
    </row>
    <row r="4135" ht="14.100000000000001" customHeight="1">
      <c r="B4135" s="19" t="s">
        <v>8406</v>
      </c>
      <c r="C4135" s="19" t="s">
        <v>8406</v>
      </c>
      <c r="D4135" s="19" t="s">
        <v>8406</v>
      </c>
      <c r="E4135" s="20" t="e">
        <f t="array" ref="E4135">INDEX(C:C,SMALL(IF(ISNUMBER(FIND(CELL("contents"),$C$2:$C$4852)),ROW($C$2:$C$4852),4^8),ROW(C4135)))&amp;""</f>
        <v>#N/A</v>
      </c>
    </row>
    <row r="4136" ht="14.100000000000001" customHeight="1">
      <c r="B4136" s="19" t="s">
        <v>8407</v>
      </c>
      <c r="C4136" s="19" t="s">
        <v>8408</v>
      </c>
      <c r="D4136" s="19" t="s">
        <v>8407</v>
      </c>
      <c r="E4136" s="20" t="e">
        <f t="array" ref="E4136">INDEX(C:C,SMALL(IF(ISNUMBER(FIND(CELL("contents"),$C$2:$C$4852)),ROW($C$2:$C$4852),4^8),ROW(C4136)))&amp;""</f>
        <v>#N/A</v>
      </c>
    </row>
    <row r="4137" ht="14.100000000000001" customHeight="1">
      <c r="B4137" s="19" t="s">
        <v>8409</v>
      </c>
      <c r="C4137" s="19" t="s">
        <v>8410</v>
      </c>
      <c r="D4137" s="19" t="s">
        <v>8409</v>
      </c>
      <c r="E4137" s="20" t="e">
        <f t="array" ref="E4137">INDEX(C:C,SMALL(IF(ISNUMBER(FIND(CELL("contents"),$C$2:$C$4852)),ROW($C$2:$C$4852),4^8),ROW(C4137)))&amp;""</f>
        <v>#N/A</v>
      </c>
    </row>
    <row r="4138" ht="14.100000000000001" customHeight="1">
      <c r="B4138" s="19" t="s">
        <v>8411</v>
      </c>
      <c r="C4138" s="19" t="s">
        <v>8412</v>
      </c>
      <c r="D4138" s="19" t="s">
        <v>8411</v>
      </c>
      <c r="E4138" s="20" t="e">
        <f t="array" ref="E4138">INDEX(C:C,SMALL(IF(ISNUMBER(FIND(CELL("contents"),$C$2:$C$4852)),ROW($C$2:$C$4852),4^8),ROW(C4138)))&amp;""</f>
        <v>#N/A</v>
      </c>
    </row>
    <row r="4139" ht="14.100000000000001" customHeight="1">
      <c r="B4139" s="19" t="s">
        <v>8413</v>
      </c>
      <c r="C4139" s="19" t="s">
        <v>8414</v>
      </c>
      <c r="D4139" s="19" t="s">
        <v>8413</v>
      </c>
      <c r="E4139" s="20" t="e">
        <f t="array" ref="E4139">INDEX(C:C,SMALL(IF(ISNUMBER(FIND(CELL("contents"),$C$2:$C$4852)),ROW($C$2:$C$4852),4^8),ROW(C4139)))&amp;""</f>
        <v>#N/A</v>
      </c>
    </row>
    <row r="4140" ht="14.100000000000001" customHeight="1">
      <c r="B4140" s="19" t="s">
        <v>8415</v>
      </c>
      <c r="C4140" s="19" t="s">
        <v>8416</v>
      </c>
      <c r="D4140" s="19" t="s">
        <v>8415</v>
      </c>
      <c r="E4140" s="20" t="e">
        <f t="array" ref="E4140">INDEX(C:C,SMALL(IF(ISNUMBER(FIND(CELL("contents"),$C$2:$C$4852)),ROW($C$2:$C$4852),4^8),ROW(C4140)))&amp;""</f>
        <v>#N/A</v>
      </c>
    </row>
    <row r="4141" ht="14.100000000000001" customHeight="1">
      <c r="B4141" s="19" t="s">
        <v>8417</v>
      </c>
      <c r="C4141" s="19" t="s">
        <v>8418</v>
      </c>
      <c r="D4141" s="19" t="s">
        <v>8417</v>
      </c>
      <c r="E4141" s="20" t="e">
        <f t="array" ref="E4141">INDEX(C:C,SMALL(IF(ISNUMBER(FIND(CELL("contents"),$C$2:$C$4852)),ROW($C$2:$C$4852),4^8),ROW(C4141)))&amp;""</f>
        <v>#N/A</v>
      </c>
    </row>
    <row r="4142" ht="14.100000000000001" customHeight="1">
      <c r="B4142" s="19" t="s">
        <v>8419</v>
      </c>
      <c r="C4142" s="19" t="s">
        <v>8420</v>
      </c>
      <c r="D4142" s="19" t="s">
        <v>8419</v>
      </c>
      <c r="E4142" s="20" t="e">
        <f t="array" ref="E4142">INDEX(C:C,SMALL(IF(ISNUMBER(FIND(CELL("contents"),$C$2:$C$4852)),ROW($C$2:$C$4852),4^8),ROW(C4142)))&amp;""</f>
        <v>#N/A</v>
      </c>
    </row>
    <row r="4143" ht="14.100000000000001" customHeight="1">
      <c r="B4143" s="19" t="s">
        <v>8421</v>
      </c>
      <c r="C4143" s="19" t="s">
        <v>8422</v>
      </c>
      <c r="D4143" s="19" t="s">
        <v>8421</v>
      </c>
      <c r="E4143" s="20" t="e">
        <f t="array" ref="E4143">INDEX(C:C,SMALL(IF(ISNUMBER(FIND(CELL("contents"),$C$2:$C$4852)),ROW($C$2:$C$4852),4^8),ROW(C4143)))&amp;""</f>
        <v>#N/A</v>
      </c>
    </row>
    <row r="4144" ht="14.100000000000001" customHeight="1">
      <c r="B4144" s="19" t="s">
        <v>8423</v>
      </c>
      <c r="C4144" s="19" t="s">
        <v>8424</v>
      </c>
      <c r="D4144" s="19" t="s">
        <v>8423</v>
      </c>
      <c r="E4144" s="20" t="e">
        <f t="array" ref="E4144">INDEX(C:C,SMALL(IF(ISNUMBER(FIND(CELL("contents"),$C$2:$C$4852)),ROW($C$2:$C$4852),4^8),ROW(C4144)))&amp;""</f>
        <v>#N/A</v>
      </c>
    </row>
    <row r="4145" ht="14.100000000000001" customHeight="1">
      <c r="B4145" s="19" t="s">
        <v>8425</v>
      </c>
      <c r="C4145" s="19" t="s">
        <v>8426</v>
      </c>
      <c r="D4145" s="19" t="s">
        <v>8425</v>
      </c>
      <c r="E4145" s="20" t="e">
        <f t="array" ref="E4145">INDEX(C:C,SMALL(IF(ISNUMBER(FIND(CELL("contents"),$C$2:$C$4852)),ROW($C$2:$C$4852),4^8),ROW(C4145)))&amp;""</f>
        <v>#N/A</v>
      </c>
    </row>
    <row r="4146" ht="14.100000000000001" customHeight="1">
      <c r="B4146" s="19" t="s">
        <v>8427</v>
      </c>
      <c r="C4146" s="19" t="s">
        <v>8428</v>
      </c>
      <c r="D4146" s="19" t="s">
        <v>8427</v>
      </c>
      <c r="E4146" s="20" t="e">
        <f t="array" ref="E4146">INDEX(C:C,SMALL(IF(ISNUMBER(FIND(CELL("contents"),$C$2:$C$4852)),ROW($C$2:$C$4852),4^8),ROW(C4146)))&amp;""</f>
        <v>#N/A</v>
      </c>
    </row>
    <row r="4147" ht="14.100000000000001" customHeight="1">
      <c r="B4147" s="19" t="s">
        <v>8429</v>
      </c>
      <c r="C4147" s="19" t="s">
        <v>8430</v>
      </c>
      <c r="D4147" s="19" t="s">
        <v>8429</v>
      </c>
      <c r="E4147" s="20" t="e">
        <f t="array" ref="E4147">INDEX(C:C,SMALL(IF(ISNUMBER(FIND(CELL("contents"),$C$2:$C$4852)),ROW($C$2:$C$4852),4^8),ROW(C4147)))&amp;""</f>
        <v>#N/A</v>
      </c>
    </row>
    <row r="4148" ht="14.100000000000001" customHeight="1">
      <c r="B4148" s="19" t="s">
        <v>8431</v>
      </c>
      <c r="C4148" s="19" t="s">
        <v>8432</v>
      </c>
      <c r="D4148" s="19" t="s">
        <v>8431</v>
      </c>
      <c r="E4148" s="20" t="e">
        <f t="array" ref="E4148">INDEX(C:C,SMALL(IF(ISNUMBER(FIND(CELL("contents"),$C$2:$C$4852)),ROW($C$2:$C$4852),4^8),ROW(C4148)))&amp;""</f>
        <v>#N/A</v>
      </c>
    </row>
    <row r="4149" ht="14.100000000000001" customHeight="1">
      <c r="B4149" s="19" t="s">
        <v>8433</v>
      </c>
      <c r="C4149" s="19" t="s">
        <v>8434</v>
      </c>
      <c r="D4149" s="19" t="s">
        <v>8433</v>
      </c>
      <c r="E4149" s="20" t="e">
        <f t="array" ref="E4149">INDEX(C:C,SMALL(IF(ISNUMBER(FIND(CELL("contents"),$C$2:$C$4852)),ROW($C$2:$C$4852),4^8),ROW(C4149)))&amp;""</f>
        <v>#N/A</v>
      </c>
    </row>
    <row r="4150" ht="14.100000000000001" customHeight="1">
      <c r="B4150" s="19" t="s">
        <v>8435</v>
      </c>
      <c r="C4150" s="19" t="s">
        <v>8436</v>
      </c>
      <c r="D4150" s="19" t="s">
        <v>8435</v>
      </c>
      <c r="E4150" s="20" t="e">
        <f t="array" ref="E4150">INDEX(C:C,SMALL(IF(ISNUMBER(FIND(CELL("contents"),$C$2:$C$4852)),ROW($C$2:$C$4852),4^8),ROW(C4150)))&amp;""</f>
        <v>#N/A</v>
      </c>
    </row>
    <row r="4151" ht="14.100000000000001" customHeight="1">
      <c r="B4151" s="19" t="s">
        <v>8437</v>
      </c>
      <c r="C4151" s="19" t="s">
        <v>8438</v>
      </c>
      <c r="D4151" s="19" t="s">
        <v>8437</v>
      </c>
      <c r="E4151" s="20" t="e">
        <f t="array" ref="E4151">INDEX(C:C,SMALL(IF(ISNUMBER(FIND(CELL("contents"),$C$2:$C$4852)),ROW($C$2:$C$4852),4^8),ROW(C4151)))&amp;""</f>
        <v>#N/A</v>
      </c>
    </row>
    <row r="4152" ht="14.100000000000001" customHeight="1">
      <c r="B4152" s="19" t="s">
        <v>8439</v>
      </c>
      <c r="C4152" s="19" t="s">
        <v>8440</v>
      </c>
      <c r="D4152" s="19" t="s">
        <v>8439</v>
      </c>
      <c r="E4152" s="20" t="e">
        <f t="array" ref="E4152">INDEX(C:C,SMALL(IF(ISNUMBER(FIND(CELL("contents"),$C$2:$C$4852)),ROW($C$2:$C$4852),4^8),ROW(C4152)))&amp;""</f>
        <v>#N/A</v>
      </c>
    </row>
    <row r="4153" ht="14.100000000000001" customHeight="1">
      <c r="B4153" s="19" t="s">
        <v>8441</v>
      </c>
      <c r="C4153" s="19" t="s">
        <v>8442</v>
      </c>
      <c r="D4153" s="19" t="s">
        <v>8441</v>
      </c>
      <c r="E4153" s="20" t="e">
        <f t="array" ref="E4153">INDEX(C:C,SMALL(IF(ISNUMBER(FIND(CELL("contents"),$C$2:$C$4852)),ROW($C$2:$C$4852),4^8),ROW(C4153)))&amp;""</f>
        <v>#N/A</v>
      </c>
    </row>
    <row r="4154" ht="14.100000000000001" customHeight="1">
      <c r="B4154" s="19" t="s">
        <v>8443</v>
      </c>
      <c r="C4154" s="19" t="s">
        <v>8444</v>
      </c>
      <c r="D4154" s="19" t="s">
        <v>8443</v>
      </c>
      <c r="E4154" s="20" t="e">
        <f t="array" ref="E4154">INDEX(C:C,SMALL(IF(ISNUMBER(FIND(CELL("contents"),$C$2:$C$4852)),ROW($C$2:$C$4852),4^8),ROW(C4154)))&amp;""</f>
        <v>#N/A</v>
      </c>
    </row>
    <row r="4155" ht="14.100000000000001" customHeight="1">
      <c r="B4155" s="19" t="s">
        <v>8445</v>
      </c>
      <c r="C4155" s="19" t="s">
        <v>8446</v>
      </c>
      <c r="D4155" s="19" t="s">
        <v>8445</v>
      </c>
      <c r="E4155" s="20" t="e">
        <f t="array" ref="E4155">INDEX(C:C,SMALL(IF(ISNUMBER(FIND(CELL("contents"),$C$2:$C$4852)),ROW($C$2:$C$4852),4^8),ROW(C4155)))&amp;""</f>
        <v>#N/A</v>
      </c>
    </row>
    <row r="4156" ht="14.100000000000001" customHeight="1">
      <c r="B4156" s="19" t="s">
        <v>8447</v>
      </c>
      <c r="C4156" s="19" t="s">
        <v>8448</v>
      </c>
      <c r="D4156" s="19" t="s">
        <v>8447</v>
      </c>
      <c r="E4156" s="20" t="e">
        <f t="array" ref="E4156">INDEX(C:C,SMALL(IF(ISNUMBER(FIND(CELL("contents"),$C$2:$C$4852)),ROW($C$2:$C$4852),4^8),ROW(C4156)))&amp;""</f>
        <v>#N/A</v>
      </c>
    </row>
    <row r="4157" ht="14.100000000000001" customHeight="1">
      <c r="B4157" s="19" t="s">
        <v>8449</v>
      </c>
      <c r="C4157" s="19" t="s">
        <v>8450</v>
      </c>
      <c r="D4157" s="19" t="s">
        <v>8449</v>
      </c>
      <c r="E4157" s="20" t="e">
        <f t="array" ref="E4157">INDEX(C:C,SMALL(IF(ISNUMBER(FIND(CELL("contents"),$C$2:$C$4852)),ROW($C$2:$C$4852),4^8),ROW(C4157)))&amp;""</f>
        <v>#N/A</v>
      </c>
    </row>
    <row r="4158" ht="14.100000000000001" customHeight="1">
      <c r="B4158" s="19" t="s">
        <v>8451</v>
      </c>
      <c r="C4158" s="19" t="s">
        <v>8452</v>
      </c>
      <c r="D4158" s="19" t="s">
        <v>8451</v>
      </c>
      <c r="E4158" s="20" t="e">
        <f t="array" ref="E4158">INDEX(C:C,SMALL(IF(ISNUMBER(FIND(CELL("contents"),$C$2:$C$4852)),ROW($C$2:$C$4852),4^8),ROW(C4158)))&amp;""</f>
        <v>#N/A</v>
      </c>
    </row>
    <row r="4159" ht="14.100000000000001" customHeight="1">
      <c r="B4159" s="19" t="s">
        <v>8453</v>
      </c>
      <c r="C4159" s="19" t="s">
        <v>8454</v>
      </c>
      <c r="D4159" s="19" t="s">
        <v>8453</v>
      </c>
      <c r="E4159" s="20" t="e">
        <f t="array" ref="E4159">INDEX(C:C,SMALL(IF(ISNUMBER(FIND(CELL("contents"),$C$2:$C$4852)),ROW($C$2:$C$4852),4^8),ROW(C4159)))&amp;""</f>
        <v>#N/A</v>
      </c>
    </row>
    <row r="4160" ht="14.100000000000001" customHeight="1">
      <c r="B4160" s="19" t="s">
        <v>8455</v>
      </c>
      <c r="C4160" s="19" t="s">
        <v>8456</v>
      </c>
      <c r="D4160" s="19" t="s">
        <v>8455</v>
      </c>
      <c r="E4160" s="20" t="e">
        <f t="array" ref="E4160">INDEX(C:C,SMALL(IF(ISNUMBER(FIND(CELL("contents"),$C$2:$C$4852)),ROW($C$2:$C$4852),4^8),ROW(C4160)))&amp;""</f>
        <v>#N/A</v>
      </c>
    </row>
    <row r="4161" ht="14.100000000000001" customHeight="1">
      <c r="B4161" s="19" t="s">
        <v>8457</v>
      </c>
      <c r="C4161" s="19" t="s">
        <v>8458</v>
      </c>
      <c r="D4161" s="19" t="s">
        <v>8457</v>
      </c>
      <c r="E4161" s="20" t="e">
        <f t="array" ref="E4161">INDEX(C:C,SMALL(IF(ISNUMBER(FIND(CELL("contents"),$C$2:$C$4852)),ROW($C$2:$C$4852),4^8),ROW(C4161)))&amp;""</f>
        <v>#N/A</v>
      </c>
    </row>
    <row r="4162" ht="14.100000000000001" customHeight="1">
      <c r="B4162" s="19" t="s">
        <v>8459</v>
      </c>
      <c r="C4162" s="19" t="s">
        <v>8460</v>
      </c>
      <c r="D4162" s="19" t="s">
        <v>8459</v>
      </c>
      <c r="E4162" s="20" t="e">
        <f t="array" ref="E4162">INDEX(C:C,SMALL(IF(ISNUMBER(FIND(CELL("contents"),$C$2:$C$4852)),ROW($C$2:$C$4852),4^8),ROW(C4162)))&amp;""</f>
        <v>#N/A</v>
      </c>
    </row>
    <row r="4163" ht="14.100000000000001" customHeight="1">
      <c r="B4163" s="19" t="s">
        <v>8461</v>
      </c>
      <c r="C4163" s="19" t="s">
        <v>8462</v>
      </c>
      <c r="D4163" s="19" t="s">
        <v>8461</v>
      </c>
      <c r="E4163" s="20" t="e">
        <f t="array" ref="E4163">INDEX(C:C,SMALL(IF(ISNUMBER(FIND(CELL("contents"),$C$2:$C$4852)),ROW($C$2:$C$4852),4^8),ROW(C4163)))&amp;""</f>
        <v>#N/A</v>
      </c>
    </row>
    <row r="4164" ht="14.100000000000001" customHeight="1">
      <c r="B4164" s="19" t="s">
        <v>8463</v>
      </c>
      <c r="C4164" s="19" t="s">
        <v>7557</v>
      </c>
      <c r="D4164" s="19" t="s">
        <v>8463</v>
      </c>
      <c r="E4164" s="20" t="e">
        <f t="array" ref="E4164">INDEX(C:C,SMALL(IF(ISNUMBER(FIND(CELL("contents"),$C$2:$C$4852)),ROW($C$2:$C$4852),4^8),ROW(C4164)))&amp;""</f>
        <v>#N/A</v>
      </c>
    </row>
    <row r="4165" ht="14.100000000000001" customHeight="1">
      <c r="B4165" s="19" t="s">
        <v>8464</v>
      </c>
      <c r="C4165" s="19" t="s">
        <v>8465</v>
      </c>
      <c r="D4165" s="19" t="s">
        <v>8464</v>
      </c>
      <c r="E4165" s="20" t="e">
        <f t="array" ref="E4165">INDEX(C:C,SMALL(IF(ISNUMBER(FIND(CELL("contents"),$C$2:$C$4852)),ROW($C$2:$C$4852),4^8),ROW(C4165)))&amp;""</f>
        <v>#N/A</v>
      </c>
    </row>
    <row r="4166" ht="14.100000000000001" customHeight="1">
      <c r="B4166" s="19" t="s">
        <v>8466</v>
      </c>
      <c r="C4166" s="19" t="s">
        <v>8467</v>
      </c>
      <c r="D4166" s="19" t="s">
        <v>8466</v>
      </c>
      <c r="E4166" s="20" t="e">
        <f t="array" ref="E4166">INDEX(C:C,SMALL(IF(ISNUMBER(FIND(CELL("contents"),$C$2:$C$4852)),ROW($C$2:$C$4852),4^8),ROW(C4166)))&amp;""</f>
        <v>#N/A</v>
      </c>
    </row>
    <row r="4167" ht="14.100000000000001" customHeight="1">
      <c r="B4167" s="19" t="s">
        <v>8468</v>
      </c>
      <c r="C4167" s="19" t="s">
        <v>8469</v>
      </c>
      <c r="D4167" s="19" t="s">
        <v>8468</v>
      </c>
      <c r="E4167" s="20" t="e">
        <f t="array" ref="E4167">INDEX(C:C,SMALL(IF(ISNUMBER(FIND(CELL("contents"),$C$2:$C$4852)),ROW($C$2:$C$4852),4^8),ROW(C4167)))&amp;""</f>
        <v>#N/A</v>
      </c>
    </row>
    <row r="4168" ht="14.100000000000001" customHeight="1">
      <c r="B4168" s="19" t="s">
        <v>8470</v>
      </c>
      <c r="C4168" s="19" t="s">
        <v>8471</v>
      </c>
      <c r="D4168" s="19" t="s">
        <v>8470</v>
      </c>
      <c r="E4168" s="20" t="e">
        <f t="array" ref="E4168">INDEX(C:C,SMALL(IF(ISNUMBER(FIND(CELL("contents"),$C$2:$C$4852)),ROW($C$2:$C$4852),4^8),ROW(C4168)))&amp;""</f>
        <v>#N/A</v>
      </c>
    </row>
    <row r="4169" ht="14.100000000000001" customHeight="1">
      <c r="B4169" s="19" t="s">
        <v>8472</v>
      </c>
      <c r="C4169" s="19" t="s">
        <v>8473</v>
      </c>
      <c r="D4169" s="19" t="s">
        <v>8472</v>
      </c>
      <c r="E4169" s="20" t="e">
        <f t="array" ref="E4169">INDEX(C:C,SMALL(IF(ISNUMBER(FIND(CELL("contents"),$C$2:$C$4852)),ROW($C$2:$C$4852),4^8),ROW(C4169)))&amp;""</f>
        <v>#N/A</v>
      </c>
    </row>
    <row r="4170" ht="14.100000000000001" customHeight="1">
      <c r="B4170" s="19" t="s">
        <v>8474</v>
      </c>
      <c r="C4170" s="19" t="s">
        <v>8475</v>
      </c>
      <c r="D4170" s="19" t="s">
        <v>8474</v>
      </c>
      <c r="E4170" s="20" t="e">
        <f t="array" ref="E4170">INDEX(C:C,SMALL(IF(ISNUMBER(FIND(CELL("contents"),$C$2:$C$4852)),ROW($C$2:$C$4852),4^8),ROW(C4170)))&amp;""</f>
        <v>#N/A</v>
      </c>
    </row>
    <row r="4171" ht="14.100000000000001" customHeight="1">
      <c r="B4171" s="19" t="s">
        <v>8476</v>
      </c>
      <c r="C4171" s="19" t="s">
        <v>8477</v>
      </c>
      <c r="D4171" s="19" t="s">
        <v>8476</v>
      </c>
      <c r="E4171" s="20" t="e">
        <f t="array" ref="E4171">INDEX(C:C,SMALL(IF(ISNUMBER(FIND(CELL("contents"),$C$2:$C$4852)),ROW($C$2:$C$4852),4^8),ROW(C4171)))&amp;""</f>
        <v>#N/A</v>
      </c>
    </row>
    <row r="4172" ht="14.100000000000001" customHeight="1">
      <c r="B4172" s="19" t="s">
        <v>8478</v>
      </c>
      <c r="C4172" s="19" t="s">
        <v>8479</v>
      </c>
      <c r="D4172" s="19" t="s">
        <v>8478</v>
      </c>
      <c r="E4172" s="20" t="e">
        <f t="array" ref="E4172">INDEX(C:C,SMALL(IF(ISNUMBER(FIND(CELL("contents"),$C$2:$C$4852)),ROW($C$2:$C$4852),4^8),ROW(C4172)))&amp;""</f>
        <v>#N/A</v>
      </c>
    </row>
    <row r="4173" ht="14.100000000000001" customHeight="1">
      <c r="B4173" s="19" t="s">
        <v>8480</v>
      </c>
      <c r="C4173" s="19" t="s">
        <v>8481</v>
      </c>
      <c r="D4173" s="19" t="s">
        <v>8480</v>
      </c>
      <c r="E4173" s="20" t="e">
        <f t="array" ref="E4173">INDEX(C:C,SMALL(IF(ISNUMBER(FIND(CELL("contents"),$C$2:$C$4852)),ROW($C$2:$C$4852),4^8),ROW(C4173)))&amp;""</f>
        <v>#N/A</v>
      </c>
    </row>
    <row r="4174" ht="14.100000000000001" customHeight="1">
      <c r="B4174" s="19" t="s">
        <v>8482</v>
      </c>
      <c r="C4174" s="19" t="s">
        <v>8483</v>
      </c>
      <c r="D4174" s="19" t="s">
        <v>8482</v>
      </c>
      <c r="E4174" s="20" t="e">
        <f t="array" ref="E4174">INDEX(C:C,SMALL(IF(ISNUMBER(FIND(CELL("contents"),$C$2:$C$4852)),ROW($C$2:$C$4852),4^8),ROW(C4174)))&amp;""</f>
        <v>#N/A</v>
      </c>
    </row>
    <row r="4175" ht="14.100000000000001" customHeight="1">
      <c r="B4175" s="19" t="s">
        <v>8484</v>
      </c>
      <c r="C4175" s="19" t="s">
        <v>8485</v>
      </c>
      <c r="D4175" s="19" t="s">
        <v>8484</v>
      </c>
      <c r="E4175" s="20" t="e">
        <f t="array" ref="E4175">INDEX(C:C,SMALL(IF(ISNUMBER(FIND(CELL("contents"),$C$2:$C$4852)),ROW($C$2:$C$4852),4^8),ROW(C4175)))&amp;""</f>
        <v>#N/A</v>
      </c>
    </row>
    <row r="4176" ht="14.100000000000001" customHeight="1">
      <c r="B4176" s="19" t="s">
        <v>8486</v>
      </c>
      <c r="C4176" s="19" t="s">
        <v>8487</v>
      </c>
      <c r="D4176" s="19" t="s">
        <v>8486</v>
      </c>
      <c r="E4176" s="20" t="e">
        <f t="array" ref="E4176">INDEX(C:C,SMALL(IF(ISNUMBER(FIND(CELL("contents"),$C$2:$C$4852)),ROW($C$2:$C$4852),4^8),ROW(C4176)))&amp;""</f>
        <v>#N/A</v>
      </c>
    </row>
    <row r="4177" ht="14.100000000000001" customHeight="1">
      <c r="B4177" s="19" t="s">
        <v>8488</v>
      </c>
      <c r="C4177" s="19" t="s">
        <v>8489</v>
      </c>
      <c r="D4177" s="19" t="s">
        <v>8488</v>
      </c>
      <c r="E4177" s="20" t="e">
        <f t="array" ref="E4177">INDEX(C:C,SMALL(IF(ISNUMBER(FIND(CELL("contents"),$C$2:$C$4852)),ROW($C$2:$C$4852),4^8),ROW(C4177)))&amp;""</f>
        <v>#N/A</v>
      </c>
    </row>
    <row r="4178" ht="14.100000000000001" customHeight="1">
      <c r="B4178" s="19" t="s">
        <v>8490</v>
      </c>
      <c r="C4178" s="19" t="s">
        <v>8491</v>
      </c>
      <c r="D4178" s="19" t="s">
        <v>8490</v>
      </c>
      <c r="E4178" s="20" t="e">
        <f t="array" ref="E4178">INDEX(C:C,SMALL(IF(ISNUMBER(FIND(CELL("contents"),$C$2:$C$4852)),ROW($C$2:$C$4852),4^8),ROW(C4178)))&amp;""</f>
        <v>#N/A</v>
      </c>
    </row>
    <row r="4179" ht="14.100000000000001" customHeight="1">
      <c r="B4179" s="19" t="s">
        <v>8492</v>
      </c>
      <c r="C4179" s="19" t="s">
        <v>8493</v>
      </c>
      <c r="D4179" s="19" t="s">
        <v>8492</v>
      </c>
      <c r="E4179" s="20" t="e">
        <f t="array" ref="E4179">INDEX(C:C,SMALL(IF(ISNUMBER(FIND(CELL("contents"),$C$2:$C$4852)),ROW($C$2:$C$4852),4^8),ROW(C4179)))&amp;""</f>
        <v>#N/A</v>
      </c>
    </row>
    <row r="4180" ht="14.100000000000001" customHeight="1">
      <c r="B4180" s="19" t="s">
        <v>8494</v>
      </c>
      <c r="C4180" s="19" t="s">
        <v>8495</v>
      </c>
      <c r="D4180" s="19" t="s">
        <v>8494</v>
      </c>
      <c r="E4180" s="20" t="e">
        <f t="array" ref="E4180">INDEX(C:C,SMALL(IF(ISNUMBER(FIND(CELL("contents"),$C$2:$C$4852)),ROW($C$2:$C$4852),4^8),ROW(C4180)))&amp;""</f>
        <v>#N/A</v>
      </c>
    </row>
    <row r="4181" ht="14.100000000000001" customHeight="1">
      <c r="B4181" s="19" t="s">
        <v>8496</v>
      </c>
      <c r="C4181" s="19" t="s">
        <v>8497</v>
      </c>
      <c r="D4181" s="19" t="s">
        <v>8496</v>
      </c>
      <c r="E4181" s="20" t="e">
        <f t="array" ref="E4181">INDEX(C:C,SMALL(IF(ISNUMBER(FIND(CELL("contents"),$C$2:$C$4852)),ROW($C$2:$C$4852),4^8),ROW(C4181)))&amp;""</f>
        <v>#N/A</v>
      </c>
    </row>
    <row r="4182" ht="14.100000000000001" customHeight="1">
      <c r="B4182" s="19" t="s">
        <v>8498</v>
      </c>
      <c r="C4182" s="19" t="s">
        <v>8499</v>
      </c>
      <c r="D4182" s="19" t="s">
        <v>8498</v>
      </c>
      <c r="E4182" s="20" t="e">
        <f t="array" ref="E4182">INDEX(C:C,SMALL(IF(ISNUMBER(FIND(CELL("contents"),$C$2:$C$4852)),ROW($C$2:$C$4852),4^8),ROW(C4182)))&amp;""</f>
        <v>#N/A</v>
      </c>
    </row>
    <row r="4183" ht="14.100000000000001" customHeight="1">
      <c r="B4183" s="19" t="s">
        <v>8500</v>
      </c>
      <c r="C4183" s="19" t="s">
        <v>8501</v>
      </c>
      <c r="D4183" s="19" t="s">
        <v>8500</v>
      </c>
      <c r="E4183" s="20" t="e">
        <f t="array" ref="E4183">INDEX(C:C,SMALL(IF(ISNUMBER(FIND(CELL("contents"),$C$2:$C$4852)),ROW($C$2:$C$4852),4^8),ROW(C4183)))&amp;""</f>
        <v>#N/A</v>
      </c>
    </row>
    <row r="4184" ht="14.100000000000001" customHeight="1">
      <c r="B4184" s="19" t="s">
        <v>8502</v>
      </c>
      <c r="C4184" s="19" t="s">
        <v>8503</v>
      </c>
      <c r="D4184" s="19" t="s">
        <v>8502</v>
      </c>
      <c r="E4184" s="20" t="e">
        <f t="array" ref="E4184">INDEX(C:C,SMALL(IF(ISNUMBER(FIND(CELL("contents"),$C$2:$C$4852)),ROW($C$2:$C$4852),4^8),ROW(C4184)))&amp;""</f>
        <v>#N/A</v>
      </c>
    </row>
    <row r="4185" ht="14.100000000000001" customHeight="1">
      <c r="B4185" s="19" t="s">
        <v>8504</v>
      </c>
      <c r="C4185" s="19" t="s">
        <v>8505</v>
      </c>
      <c r="D4185" s="19" t="s">
        <v>8504</v>
      </c>
      <c r="E4185" s="20" t="e">
        <f t="array" ref="E4185">INDEX(C:C,SMALL(IF(ISNUMBER(FIND(CELL("contents"),$C$2:$C$4852)),ROW($C$2:$C$4852),4^8),ROW(C4185)))&amp;""</f>
        <v>#N/A</v>
      </c>
    </row>
    <row r="4186" ht="14.100000000000001" customHeight="1">
      <c r="B4186" s="19" t="s">
        <v>8506</v>
      </c>
      <c r="C4186" s="19" t="s">
        <v>8507</v>
      </c>
      <c r="D4186" s="19" t="s">
        <v>8506</v>
      </c>
      <c r="E4186" s="20" t="e">
        <f t="array" ref="E4186">INDEX(C:C,SMALL(IF(ISNUMBER(FIND(CELL("contents"),$C$2:$C$4852)),ROW($C$2:$C$4852),4^8),ROW(C4186)))&amp;""</f>
        <v>#N/A</v>
      </c>
    </row>
    <row r="4187" ht="14.100000000000001" customHeight="1">
      <c r="B4187" s="19" t="s">
        <v>8508</v>
      </c>
      <c r="C4187" s="19" t="s">
        <v>8509</v>
      </c>
      <c r="D4187" s="19" t="s">
        <v>8508</v>
      </c>
      <c r="E4187" s="20" t="e">
        <f t="array" ref="E4187">INDEX(C:C,SMALL(IF(ISNUMBER(FIND(CELL("contents"),$C$2:$C$4852)),ROW($C$2:$C$4852),4^8),ROW(C4187)))&amp;""</f>
        <v>#N/A</v>
      </c>
    </row>
    <row r="4188" ht="14.100000000000001" customHeight="1">
      <c r="B4188" s="19" t="s">
        <v>8510</v>
      </c>
      <c r="C4188" s="19" t="s">
        <v>8511</v>
      </c>
      <c r="D4188" s="19" t="s">
        <v>8510</v>
      </c>
      <c r="E4188" s="20" t="e">
        <f t="array" ref="E4188">INDEX(C:C,SMALL(IF(ISNUMBER(FIND(CELL("contents"),$C$2:$C$4852)),ROW($C$2:$C$4852),4^8),ROW(C4188)))&amp;""</f>
        <v>#N/A</v>
      </c>
    </row>
    <row r="4189" ht="14.100000000000001" customHeight="1">
      <c r="B4189" s="19" t="s">
        <v>8512</v>
      </c>
      <c r="C4189" s="19" t="s">
        <v>8513</v>
      </c>
      <c r="D4189" s="19" t="s">
        <v>8512</v>
      </c>
      <c r="E4189" s="20" t="e">
        <f t="array" ref="E4189">INDEX(C:C,SMALL(IF(ISNUMBER(FIND(CELL("contents"),$C$2:$C$4852)),ROW($C$2:$C$4852),4^8),ROW(C4189)))&amp;""</f>
        <v>#N/A</v>
      </c>
    </row>
    <row r="4190" ht="14.100000000000001" customHeight="1">
      <c r="B4190" s="19" t="s">
        <v>8514</v>
      </c>
      <c r="C4190" s="19" t="s">
        <v>8515</v>
      </c>
      <c r="D4190" s="19" t="s">
        <v>8514</v>
      </c>
      <c r="E4190" s="20" t="e">
        <f t="array" ref="E4190">INDEX(C:C,SMALL(IF(ISNUMBER(FIND(CELL("contents"),$C$2:$C$4852)),ROW($C$2:$C$4852),4^8),ROW(C4190)))&amp;""</f>
        <v>#N/A</v>
      </c>
    </row>
    <row r="4191" ht="14.100000000000001" customHeight="1">
      <c r="B4191" s="19" t="s">
        <v>8516</v>
      </c>
      <c r="C4191" s="19" t="s">
        <v>8517</v>
      </c>
      <c r="D4191" s="19" t="s">
        <v>8516</v>
      </c>
      <c r="E4191" s="20" t="e">
        <f t="array" ref="E4191">INDEX(C:C,SMALL(IF(ISNUMBER(FIND(CELL("contents"),$C$2:$C$4852)),ROW($C$2:$C$4852),4^8),ROW(C4191)))&amp;""</f>
        <v>#N/A</v>
      </c>
    </row>
    <row r="4192" ht="14.100000000000001" customHeight="1">
      <c r="B4192" s="19" t="s">
        <v>8518</v>
      </c>
      <c r="C4192" s="19" t="s">
        <v>8519</v>
      </c>
      <c r="D4192" s="19" t="s">
        <v>8518</v>
      </c>
      <c r="E4192" s="20" t="e">
        <f t="array" ref="E4192">INDEX(C:C,SMALL(IF(ISNUMBER(FIND(CELL("contents"),$C$2:$C$4852)),ROW($C$2:$C$4852),4^8),ROW(C4192)))&amp;""</f>
        <v>#N/A</v>
      </c>
    </row>
    <row r="4193" ht="14.100000000000001" customHeight="1">
      <c r="B4193" s="19" t="s">
        <v>8520</v>
      </c>
      <c r="C4193" s="19" t="s">
        <v>8521</v>
      </c>
      <c r="D4193" s="19" t="s">
        <v>8520</v>
      </c>
      <c r="E4193" s="20" t="e">
        <f t="array" ref="E4193">INDEX(C:C,SMALL(IF(ISNUMBER(FIND(CELL("contents"),$C$2:$C$4852)),ROW($C$2:$C$4852),4^8),ROW(C4193)))&amp;""</f>
        <v>#N/A</v>
      </c>
    </row>
    <row r="4194" ht="14.100000000000001" customHeight="1">
      <c r="B4194" s="19" t="s">
        <v>8522</v>
      </c>
      <c r="C4194" s="19" t="s">
        <v>8523</v>
      </c>
      <c r="D4194" s="19" t="s">
        <v>8522</v>
      </c>
      <c r="E4194" s="20" t="e">
        <f t="array" ref="E4194">INDEX(C:C,SMALL(IF(ISNUMBER(FIND(CELL("contents"),$C$2:$C$4852)),ROW($C$2:$C$4852),4^8),ROW(C4194)))&amp;""</f>
        <v>#N/A</v>
      </c>
    </row>
    <row r="4195" ht="14.100000000000001" customHeight="1">
      <c r="B4195" s="19" t="s">
        <v>8524</v>
      </c>
      <c r="C4195" s="19" t="s">
        <v>8525</v>
      </c>
      <c r="D4195" s="19" t="s">
        <v>8524</v>
      </c>
      <c r="E4195" s="20" t="e">
        <f t="array" ref="E4195">INDEX(C:C,SMALL(IF(ISNUMBER(FIND(CELL("contents"),$C$2:$C$4852)),ROW($C$2:$C$4852),4^8),ROW(C4195)))&amp;""</f>
        <v>#N/A</v>
      </c>
    </row>
    <row r="4196" ht="14.100000000000001" customHeight="1">
      <c r="B4196" s="19" t="s">
        <v>8526</v>
      </c>
      <c r="C4196" s="19" t="s">
        <v>8527</v>
      </c>
      <c r="D4196" s="19" t="s">
        <v>8526</v>
      </c>
      <c r="E4196" s="20" t="e">
        <f t="array" ref="E4196">INDEX(C:C,SMALL(IF(ISNUMBER(FIND(CELL("contents"),$C$2:$C$4852)),ROW($C$2:$C$4852),4^8),ROW(C4196)))&amp;""</f>
        <v>#N/A</v>
      </c>
    </row>
    <row r="4197" ht="14.100000000000001" customHeight="1">
      <c r="B4197" s="19" t="s">
        <v>8528</v>
      </c>
      <c r="C4197" s="19" t="s">
        <v>8529</v>
      </c>
      <c r="D4197" s="19" t="s">
        <v>8528</v>
      </c>
      <c r="E4197" s="20" t="e">
        <f t="array" ref="E4197">INDEX(C:C,SMALL(IF(ISNUMBER(FIND(CELL("contents"),$C$2:$C$4852)),ROW($C$2:$C$4852),4^8),ROW(C4197)))&amp;""</f>
        <v>#N/A</v>
      </c>
    </row>
    <row r="4198" ht="14.100000000000001" customHeight="1">
      <c r="B4198" s="19" t="s">
        <v>8530</v>
      </c>
      <c r="C4198" s="19" t="s">
        <v>8531</v>
      </c>
      <c r="D4198" s="19" t="s">
        <v>8530</v>
      </c>
      <c r="E4198" s="20" t="e">
        <f t="array" ref="E4198">INDEX(C:C,SMALL(IF(ISNUMBER(FIND(CELL("contents"),$C$2:$C$4852)),ROW($C$2:$C$4852),4^8),ROW(C4198)))&amp;""</f>
        <v>#N/A</v>
      </c>
    </row>
    <row r="4199" ht="14.100000000000001" customHeight="1">
      <c r="B4199" s="19" t="s">
        <v>8532</v>
      </c>
      <c r="C4199" s="19" t="s">
        <v>8533</v>
      </c>
      <c r="D4199" s="19" t="s">
        <v>8532</v>
      </c>
      <c r="E4199" s="20" t="e">
        <f t="array" ref="E4199">INDEX(C:C,SMALL(IF(ISNUMBER(FIND(CELL("contents"),$C$2:$C$4852)),ROW($C$2:$C$4852),4^8),ROW(C4199)))&amp;""</f>
        <v>#N/A</v>
      </c>
    </row>
    <row r="4200" ht="14.100000000000001" customHeight="1">
      <c r="B4200" s="19" t="s">
        <v>8534</v>
      </c>
      <c r="C4200" s="19" t="s">
        <v>8535</v>
      </c>
      <c r="D4200" s="19" t="s">
        <v>8534</v>
      </c>
      <c r="E4200" s="20" t="e">
        <f t="array" ref="E4200">INDEX(C:C,SMALL(IF(ISNUMBER(FIND(CELL("contents"),$C$2:$C$4852)),ROW($C$2:$C$4852),4^8),ROW(C4200)))&amp;""</f>
        <v>#N/A</v>
      </c>
    </row>
    <row r="4201" ht="14.100000000000001" customHeight="1">
      <c r="B4201" s="19" t="s">
        <v>8536</v>
      </c>
      <c r="C4201" s="19" t="s">
        <v>8537</v>
      </c>
      <c r="D4201" s="19" t="s">
        <v>8536</v>
      </c>
      <c r="E4201" s="20" t="e">
        <f t="array" ref="E4201">INDEX(C:C,SMALL(IF(ISNUMBER(FIND(CELL("contents"),$C$2:$C$4852)),ROW($C$2:$C$4852),4^8),ROW(C4201)))&amp;""</f>
        <v>#N/A</v>
      </c>
    </row>
    <row r="4202" ht="14.100000000000001" customHeight="1">
      <c r="B4202" s="19" t="s">
        <v>8538</v>
      </c>
      <c r="C4202" s="19" t="s">
        <v>8539</v>
      </c>
      <c r="D4202" s="19" t="s">
        <v>8538</v>
      </c>
      <c r="E4202" s="20" t="e">
        <f t="array" ref="E4202">INDEX(C:C,SMALL(IF(ISNUMBER(FIND(CELL("contents"),$C$2:$C$4852)),ROW($C$2:$C$4852),4^8),ROW(C4202)))&amp;""</f>
        <v>#N/A</v>
      </c>
    </row>
    <row r="4203" ht="14.100000000000001" customHeight="1">
      <c r="B4203" s="19" t="s">
        <v>8540</v>
      </c>
      <c r="C4203" s="19" t="s">
        <v>8541</v>
      </c>
      <c r="D4203" s="19" t="s">
        <v>8540</v>
      </c>
      <c r="E4203" s="20" t="e">
        <f t="array" ref="E4203">INDEX(C:C,SMALL(IF(ISNUMBER(FIND(CELL("contents"),$C$2:$C$4852)),ROW($C$2:$C$4852),4^8),ROW(C4203)))&amp;""</f>
        <v>#N/A</v>
      </c>
    </row>
    <row r="4204" ht="14.100000000000001" customHeight="1">
      <c r="B4204" s="19" t="s">
        <v>8542</v>
      </c>
      <c r="C4204" s="19" t="s">
        <v>8543</v>
      </c>
      <c r="D4204" s="19" t="s">
        <v>8542</v>
      </c>
      <c r="E4204" s="20" t="e">
        <f t="array" ref="E4204">INDEX(C:C,SMALL(IF(ISNUMBER(FIND(CELL("contents"),$C$2:$C$4852)),ROW($C$2:$C$4852),4^8),ROW(C4204)))&amp;""</f>
        <v>#N/A</v>
      </c>
    </row>
    <row r="4205" ht="14.100000000000001" customHeight="1">
      <c r="B4205" s="19" t="s">
        <v>8544</v>
      </c>
      <c r="C4205" s="19" t="s">
        <v>8545</v>
      </c>
      <c r="D4205" s="19" t="s">
        <v>8544</v>
      </c>
      <c r="E4205" s="20" t="e">
        <f t="array" ref="E4205">INDEX(C:C,SMALL(IF(ISNUMBER(FIND(CELL("contents"),$C$2:$C$4852)),ROW($C$2:$C$4852),4^8),ROW(C4205)))&amp;""</f>
        <v>#N/A</v>
      </c>
    </row>
    <row r="4206" ht="14.100000000000001" customHeight="1">
      <c r="B4206" s="19" t="s">
        <v>8546</v>
      </c>
      <c r="C4206" s="19" t="s">
        <v>8547</v>
      </c>
      <c r="D4206" s="19" t="s">
        <v>8546</v>
      </c>
      <c r="E4206" s="20" t="e">
        <f t="array" ref="E4206">INDEX(C:C,SMALL(IF(ISNUMBER(FIND(CELL("contents"),$C$2:$C$4852)),ROW($C$2:$C$4852),4^8),ROW(C4206)))&amp;""</f>
        <v>#N/A</v>
      </c>
    </row>
    <row r="4207" ht="14.100000000000001" customHeight="1">
      <c r="B4207" s="19" t="s">
        <v>8548</v>
      </c>
      <c r="C4207" s="19" t="s">
        <v>8549</v>
      </c>
      <c r="D4207" s="19" t="s">
        <v>8548</v>
      </c>
      <c r="E4207" s="20" t="e">
        <f t="array" ref="E4207">INDEX(C:C,SMALL(IF(ISNUMBER(FIND(CELL("contents"),$C$2:$C$4852)),ROW($C$2:$C$4852),4^8),ROW(C4207)))&amp;""</f>
        <v>#N/A</v>
      </c>
    </row>
    <row r="4208" ht="14.100000000000001" customHeight="1">
      <c r="B4208" s="19" t="s">
        <v>8550</v>
      </c>
      <c r="C4208" s="19" t="s">
        <v>8551</v>
      </c>
      <c r="D4208" s="19" t="s">
        <v>8550</v>
      </c>
      <c r="E4208" s="20" t="e">
        <f t="array" ref="E4208">INDEX(C:C,SMALL(IF(ISNUMBER(FIND(CELL("contents"),$C$2:$C$4852)),ROW($C$2:$C$4852),4^8),ROW(C4208)))&amp;""</f>
        <v>#N/A</v>
      </c>
    </row>
    <row r="4209" ht="14.100000000000001" customHeight="1">
      <c r="B4209" s="19" t="s">
        <v>8552</v>
      </c>
      <c r="C4209" s="19" t="s">
        <v>8553</v>
      </c>
      <c r="D4209" s="19" t="s">
        <v>8552</v>
      </c>
      <c r="E4209" s="20" t="e">
        <f t="array" ref="E4209">INDEX(C:C,SMALL(IF(ISNUMBER(FIND(CELL("contents"),$C$2:$C$4852)),ROW($C$2:$C$4852),4^8),ROW(C4209)))&amp;""</f>
        <v>#N/A</v>
      </c>
    </row>
    <row r="4210" ht="14.100000000000001" customHeight="1">
      <c r="B4210" s="19" t="s">
        <v>8554</v>
      </c>
      <c r="C4210" s="19" t="s">
        <v>8555</v>
      </c>
      <c r="D4210" s="19" t="s">
        <v>8554</v>
      </c>
      <c r="E4210" s="20" t="e">
        <f t="array" ref="E4210">INDEX(C:C,SMALL(IF(ISNUMBER(FIND(CELL("contents"),$C$2:$C$4852)),ROW($C$2:$C$4852),4^8),ROW(C4210)))&amp;""</f>
        <v>#N/A</v>
      </c>
    </row>
    <row r="4211" ht="14.100000000000001" customHeight="1">
      <c r="B4211" s="19" t="s">
        <v>8556</v>
      </c>
      <c r="C4211" s="19" t="s">
        <v>8557</v>
      </c>
      <c r="D4211" s="19" t="s">
        <v>8556</v>
      </c>
      <c r="E4211" s="20" t="e">
        <f t="array" ref="E4211">INDEX(C:C,SMALL(IF(ISNUMBER(FIND(CELL("contents"),$C$2:$C$4852)),ROW($C$2:$C$4852),4^8),ROW(C4211)))&amp;""</f>
        <v>#N/A</v>
      </c>
    </row>
    <row r="4212" ht="14.100000000000001" customHeight="1">
      <c r="B4212" s="19" t="s">
        <v>8558</v>
      </c>
      <c r="C4212" s="19" t="s">
        <v>8559</v>
      </c>
      <c r="D4212" s="19" t="s">
        <v>8558</v>
      </c>
      <c r="E4212" s="20" t="e">
        <f t="array" ref="E4212">INDEX(C:C,SMALL(IF(ISNUMBER(FIND(CELL("contents"),$C$2:$C$4852)),ROW($C$2:$C$4852),4^8),ROW(C4212)))&amp;""</f>
        <v>#N/A</v>
      </c>
    </row>
    <row r="4213" ht="14.100000000000001" customHeight="1">
      <c r="B4213" s="19" t="s">
        <v>8560</v>
      </c>
      <c r="C4213" s="19" t="s">
        <v>8561</v>
      </c>
      <c r="D4213" s="19" t="s">
        <v>8560</v>
      </c>
      <c r="E4213" s="20" t="e">
        <f t="array" ref="E4213">INDEX(C:C,SMALL(IF(ISNUMBER(FIND(CELL("contents"),$C$2:$C$4852)),ROW($C$2:$C$4852),4^8),ROW(C4213)))&amp;""</f>
        <v>#N/A</v>
      </c>
    </row>
    <row r="4214" ht="14.100000000000001" customHeight="1">
      <c r="B4214" s="19" t="s">
        <v>8562</v>
      </c>
      <c r="C4214" s="19" t="s">
        <v>8563</v>
      </c>
      <c r="D4214" s="19" t="s">
        <v>8562</v>
      </c>
      <c r="E4214" s="20" t="e">
        <f t="array" ref="E4214">INDEX(C:C,SMALL(IF(ISNUMBER(FIND(CELL("contents"),$C$2:$C$4852)),ROW($C$2:$C$4852),4^8),ROW(C4214)))&amp;""</f>
        <v>#N/A</v>
      </c>
    </row>
    <row r="4215" ht="14.100000000000001" customHeight="1">
      <c r="B4215" s="19" t="s">
        <v>8564</v>
      </c>
      <c r="C4215" s="19" t="s">
        <v>8565</v>
      </c>
      <c r="D4215" s="19" t="s">
        <v>8564</v>
      </c>
      <c r="E4215" s="20" t="e">
        <f t="array" ref="E4215">INDEX(C:C,SMALL(IF(ISNUMBER(FIND(CELL("contents"),$C$2:$C$4852)),ROW($C$2:$C$4852),4^8),ROW(C4215)))&amp;""</f>
        <v>#N/A</v>
      </c>
    </row>
    <row r="4216" ht="14.100000000000001" customHeight="1">
      <c r="B4216" s="19" t="s">
        <v>8566</v>
      </c>
      <c r="C4216" s="19" t="s">
        <v>8567</v>
      </c>
      <c r="D4216" s="19" t="s">
        <v>8566</v>
      </c>
      <c r="E4216" s="20" t="e">
        <f t="array" ref="E4216">INDEX(C:C,SMALL(IF(ISNUMBER(FIND(CELL("contents"),$C$2:$C$4852)),ROW($C$2:$C$4852),4^8),ROW(C4216)))&amp;""</f>
        <v>#N/A</v>
      </c>
    </row>
    <row r="4217" ht="14.100000000000001" customHeight="1">
      <c r="B4217" s="19" t="s">
        <v>8568</v>
      </c>
      <c r="C4217" s="19" t="s">
        <v>8569</v>
      </c>
      <c r="D4217" s="19" t="s">
        <v>8568</v>
      </c>
      <c r="E4217" s="20" t="e">
        <f t="array" ref="E4217">INDEX(C:C,SMALL(IF(ISNUMBER(FIND(CELL("contents"),$C$2:$C$4852)),ROW($C$2:$C$4852),4^8),ROW(C4217)))&amp;""</f>
        <v>#N/A</v>
      </c>
    </row>
    <row r="4218" ht="14.100000000000001" customHeight="1">
      <c r="B4218" s="19" t="s">
        <v>8570</v>
      </c>
      <c r="C4218" s="19" t="s">
        <v>8571</v>
      </c>
      <c r="D4218" s="19" t="s">
        <v>8570</v>
      </c>
      <c r="E4218" s="20" t="e">
        <f t="array" ref="E4218">INDEX(C:C,SMALL(IF(ISNUMBER(FIND(CELL("contents"),$C$2:$C$4852)),ROW($C$2:$C$4852),4^8),ROW(C4218)))&amp;""</f>
        <v>#N/A</v>
      </c>
    </row>
    <row r="4219" ht="14.100000000000001" customHeight="1">
      <c r="B4219" s="19" t="s">
        <v>8572</v>
      </c>
      <c r="C4219" s="19" t="s">
        <v>8573</v>
      </c>
      <c r="D4219" s="19" t="s">
        <v>8572</v>
      </c>
      <c r="E4219" s="20" t="e">
        <f t="array" ref="E4219">INDEX(C:C,SMALL(IF(ISNUMBER(FIND(CELL("contents"),$C$2:$C$4852)),ROW($C$2:$C$4852),4^8),ROW(C4219)))&amp;""</f>
        <v>#N/A</v>
      </c>
    </row>
    <row r="4220" ht="14.100000000000001" customHeight="1">
      <c r="B4220" s="19" t="s">
        <v>8574</v>
      </c>
      <c r="C4220" s="19" t="s">
        <v>8575</v>
      </c>
      <c r="D4220" s="19" t="s">
        <v>8574</v>
      </c>
      <c r="E4220" s="20" t="e">
        <f t="array" ref="E4220">INDEX(C:C,SMALL(IF(ISNUMBER(FIND(CELL("contents"),$C$2:$C$4852)),ROW($C$2:$C$4852),4^8),ROW(C4220)))&amp;""</f>
        <v>#N/A</v>
      </c>
    </row>
    <row r="4221" ht="14.100000000000001" customHeight="1">
      <c r="B4221" s="19" t="s">
        <v>8576</v>
      </c>
      <c r="C4221" s="19" t="s">
        <v>8577</v>
      </c>
      <c r="D4221" s="19" t="s">
        <v>8576</v>
      </c>
      <c r="E4221" s="20" t="e">
        <f t="array" ref="E4221">INDEX(C:C,SMALL(IF(ISNUMBER(FIND(CELL("contents"),$C$2:$C$4852)),ROW($C$2:$C$4852),4^8),ROW(C4221)))&amp;""</f>
        <v>#N/A</v>
      </c>
    </row>
    <row r="4222" ht="14.100000000000001" customHeight="1">
      <c r="B4222" s="19" t="s">
        <v>8578</v>
      </c>
      <c r="C4222" s="19" t="s">
        <v>8579</v>
      </c>
      <c r="D4222" s="19" t="s">
        <v>8578</v>
      </c>
      <c r="E4222" s="20" t="e">
        <f t="array" ref="E4222">INDEX(C:C,SMALL(IF(ISNUMBER(FIND(CELL("contents"),$C$2:$C$4852)),ROW($C$2:$C$4852),4^8),ROW(C4222)))&amp;""</f>
        <v>#N/A</v>
      </c>
    </row>
    <row r="4223" ht="14.100000000000001" customHeight="1">
      <c r="B4223" s="19" t="s">
        <v>8580</v>
      </c>
      <c r="C4223" s="19" t="s">
        <v>8581</v>
      </c>
      <c r="D4223" s="19" t="s">
        <v>8580</v>
      </c>
      <c r="E4223" s="20" t="e">
        <f t="array" ref="E4223">INDEX(C:C,SMALL(IF(ISNUMBER(FIND(CELL("contents"),$C$2:$C$4852)),ROW($C$2:$C$4852),4^8),ROW(C4223)))&amp;""</f>
        <v>#N/A</v>
      </c>
    </row>
    <row r="4224" ht="14.100000000000001" customHeight="1">
      <c r="B4224" s="19" t="s">
        <v>8582</v>
      </c>
      <c r="C4224" s="19" t="s">
        <v>8583</v>
      </c>
      <c r="D4224" s="19" t="s">
        <v>8582</v>
      </c>
      <c r="E4224" s="20" t="e">
        <f t="array" ref="E4224">INDEX(C:C,SMALL(IF(ISNUMBER(FIND(CELL("contents"),$C$2:$C$4852)),ROW($C$2:$C$4852),4^8),ROW(C4224)))&amp;""</f>
        <v>#N/A</v>
      </c>
    </row>
    <row r="4225" ht="14.100000000000001" customHeight="1">
      <c r="B4225" s="19" t="s">
        <v>8584</v>
      </c>
      <c r="C4225" s="19" t="s">
        <v>8585</v>
      </c>
      <c r="D4225" s="19" t="s">
        <v>8584</v>
      </c>
      <c r="E4225" s="20" t="e">
        <f t="array" ref="E4225">INDEX(C:C,SMALL(IF(ISNUMBER(FIND(CELL("contents"),$C$2:$C$4852)),ROW($C$2:$C$4852),4^8),ROW(C4225)))&amp;""</f>
        <v>#N/A</v>
      </c>
    </row>
    <row r="4226" ht="14.100000000000001" customHeight="1">
      <c r="B4226" s="19" t="s">
        <v>8586</v>
      </c>
      <c r="C4226" s="19" t="s">
        <v>8587</v>
      </c>
      <c r="D4226" s="19" t="s">
        <v>8586</v>
      </c>
      <c r="E4226" s="20" t="e">
        <f t="array" ref="E4226">INDEX(C:C,SMALL(IF(ISNUMBER(FIND(CELL("contents"),$C$2:$C$4852)),ROW($C$2:$C$4852),4^8),ROW(C4226)))&amp;""</f>
        <v>#N/A</v>
      </c>
    </row>
    <row r="4227" ht="14.100000000000001" customHeight="1">
      <c r="B4227" s="19" t="s">
        <v>8588</v>
      </c>
      <c r="C4227" s="19" t="s">
        <v>8589</v>
      </c>
      <c r="D4227" s="19" t="s">
        <v>8588</v>
      </c>
      <c r="E4227" s="20" t="e">
        <f t="array" ref="E4227">INDEX(C:C,SMALL(IF(ISNUMBER(FIND(CELL("contents"),$C$2:$C$4852)),ROW($C$2:$C$4852),4^8),ROW(C4227)))&amp;""</f>
        <v>#N/A</v>
      </c>
    </row>
    <row r="4228" ht="14.100000000000001" customHeight="1">
      <c r="B4228" s="19" t="s">
        <v>8590</v>
      </c>
      <c r="C4228" s="19" t="s">
        <v>8591</v>
      </c>
      <c r="D4228" s="19" t="s">
        <v>8590</v>
      </c>
      <c r="E4228" s="20" t="e">
        <f t="array" ref="E4228">INDEX(C:C,SMALL(IF(ISNUMBER(FIND(CELL("contents"),$C$2:$C$4852)),ROW($C$2:$C$4852),4^8),ROW(C4228)))&amp;""</f>
        <v>#N/A</v>
      </c>
    </row>
    <row r="4229" ht="14.100000000000001" customHeight="1">
      <c r="B4229" s="19" t="s">
        <v>8592</v>
      </c>
      <c r="C4229" s="19" t="s">
        <v>8593</v>
      </c>
      <c r="D4229" s="19" t="s">
        <v>8592</v>
      </c>
      <c r="E4229" s="20" t="e">
        <f t="array" ref="E4229">INDEX(C:C,SMALL(IF(ISNUMBER(FIND(CELL("contents"),$C$2:$C$4852)),ROW($C$2:$C$4852),4^8),ROW(C4229)))&amp;""</f>
        <v>#N/A</v>
      </c>
    </row>
    <row r="4230" ht="14.100000000000001" customHeight="1">
      <c r="B4230" s="19" t="s">
        <v>8594</v>
      </c>
      <c r="C4230" s="19" t="s">
        <v>8595</v>
      </c>
      <c r="D4230" s="19" t="s">
        <v>8594</v>
      </c>
      <c r="E4230" s="20" t="e">
        <f t="array" ref="E4230">INDEX(C:C,SMALL(IF(ISNUMBER(FIND(CELL("contents"),$C$2:$C$4852)),ROW($C$2:$C$4852),4^8),ROW(C4230)))&amp;""</f>
        <v>#N/A</v>
      </c>
    </row>
    <row r="4231" ht="14.100000000000001" customHeight="1">
      <c r="B4231" s="19" t="s">
        <v>8596</v>
      </c>
      <c r="C4231" s="19" t="s">
        <v>8597</v>
      </c>
      <c r="D4231" s="19" t="s">
        <v>8596</v>
      </c>
      <c r="E4231" s="20" t="e">
        <f t="array" ref="E4231">INDEX(C:C,SMALL(IF(ISNUMBER(FIND(CELL("contents"),$C$2:$C$4852)),ROW($C$2:$C$4852),4^8),ROW(C4231)))&amp;""</f>
        <v>#N/A</v>
      </c>
    </row>
    <row r="4232" ht="14.100000000000001" customHeight="1">
      <c r="B4232" s="19" t="s">
        <v>8598</v>
      </c>
      <c r="C4232" s="19" t="s">
        <v>8599</v>
      </c>
      <c r="D4232" s="19" t="s">
        <v>8598</v>
      </c>
      <c r="E4232" s="20" t="e">
        <f t="array" ref="E4232">INDEX(C:C,SMALL(IF(ISNUMBER(FIND(CELL("contents"),$C$2:$C$4852)),ROW($C$2:$C$4852),4^8),ROW(C4232)))&amp;""</f>
        <v>#N/A</v>
      </c>
    </row>
    <row r="4233" ht="14.100000000000001" customHeight="1">
      <c r="B4233" s="19" t="s">
        <v>8600</v>
      </c>
      <c r="C4233" s="19" t="s">
        <v>8601</v>
      </c>
      <c r="D4233" s="19" t="s">
        <v>8600</v>
      </c>
      <c r="E4233" s="20" t="e">
        <f t="array" ref="E4233">INDEX(C:C,SMALL(IF(ISNUMBER(FIND(CELL("contents"),$C$2:$C$4852)),ROW($C$2:$C$4852),4^8),ROW(C4233)))&amp;""</f>
        <v>#N/A</v>
      </c>
    </row>
    <row r="4234" ht="14.100000000000001" customHeight="1">
      <c r="B4234" s="19" t="s">
        <v>8602</v>
      </c>
      <c r="C4234" s="19" t="s">
        <v>8603</v>
      </c>
      <c r="D4234" s="19" t="s">
        <v>8602</v>
      </c>
      <c r="E4234" s="20" t="e">
        <f t="array" ref="E4234">INDEX(C:C,SMALL(IF(ISNUMBER(FIND(CELL("contents"),$C$2:$C$4852)),ROW($C$2:$C$4852),4^8),ROW(C4234)))&amp;""</f>
        <v>#N/A</v>
      </c>
    </row>
    <row r="4235" ht="14.100000000000001" customHeight="1">
      <c r="B4235" s="19" t="s">
        <v>8604</v>
      </c>
      <c r="C4235" s="19" t="s">
        <v>8605</v>
      </c>
      <c r="D4235" s="19" t="s">
        <v>8604</v>
      </c>
      <c r="E4235" s="20" t="e">
        <f t="array" ref="E4235">INDEX(C:C,SMALL(IF(ISNUMBER(FIND(CELL("contents"),$C$2:$C$4852)),ROW($C$2:$C$4852),4^8),ROW(C4235)))&amp;""</f>
        <v>#N/A</v>
      </c>
    </row>
    <row r="4236" ht="14.100000000000001" customHeight="1">
      <c r="B4236" s="19" t="s">
        <v>8606</v>
      </c>
      <c r="C4236" s="19" t="s">
        <v>8607</v>
      </c>
      <c r="D4236" s="19" t="s">
        <v>8606</v>
      </c>
      <c r="E4236" s="20" t="e">
        <f t="array" ref="E4236">INDEX(C:C,SMALL(IF(ISNUMBER(FIND(CELL("contents"),$C$2:$C$4852)),ROW($C$2:$C$4852),4^8),ROW(C4236)))&amp;""</f>
        <v>#N/A</v>
      </c>
    </row>
    <row r="4237" ht="14.100000000000001" customHeight="1">
      <c r="B4237" s="19" t="s">
        <v>8608</v>
      </c>
      <c r="C4237" s="19" t="s">
        <v>8609</v>
      </c>
      <c r="D4237" s="19" t="s">
        <v>8608</v>
      </c>
      <c r="E4237" s="20" t="e">
        <f t="array" ref="E4237">INDEX(C:C,SMALL(IF(ISNUMBER(FIND(CELL("contents"),$C$2:$C$4852)),ROW($C$2:$C$4852),4^8),ROW(C4237)))&amp;""</f>
        <v>#N/A</v>
      </c>
    </row>
    <row r="4238" ht="14.100000000000001" customHeight="1">
      <c r="B4238" s="19" t="s">
        <v>8610</v>
      </c>
      <c r="C4238" s="19" t="s">
        <v>8611</v>
      </c>
      <c r="D4238" s="19" t="s">
        <v>8610</v>
      </c>
      <c r="E4238" s="20" t="e">
        <f t="array" ref="E4238">INDEX(C:C,SMALL(IF(ISNUMBER(FIND(CELL("contents"),$C$2:$C$4852)),ROW($C$2:$C$4852),4^8),ROW(C4238)))&amp;""</f>
        <v>#N/A</v>
      </c>
    </row>
    <row r="4239" ht="14.100000000000001" customHeight="1">
      <c r="B4239" s="19" t="s">
        <v>8612</v>
      </c>
      <c r="C4239" s="19" t="s">
        <v>8613</v>
      </c>
      <c r="D4239" s="19" t="s">
        <v>8612</v>
      </c>
      <c r="E4239" s="20" t="e">
        <f t="array" ref="E4239">INDEX(C:C,SMALL(IF(ISNUMBER(FIND(CELL("contents"),$C$2:$C$4852)),ROW($C$2:$C$4852),4^8),ROW(C4239)))&amp;""</f>
        <v>#N/A</v>
      </c>
    </row>
    <row r="4240" ht="14.100000000000001" customHeight="1">
      <c r="B4240" s="19" t="s">
        <v>8614</v>
      </c>
      <c r="C4240" s="19" t="s">
        <v>8615</v>
      </c>
      <c r="D4240" s="19" t="s">
        <v>8614</v>
      </c>
      <c r="E4240" s="20" t="e">
        <f t="array" ref="E4240">INDEX(C:C,SMALL(IF(ISNUMBER(FIND(CELL("contents"),$C$2:$C$4852)),ROW($C$2:$C$4852),4^8),ROW(C4240)))&amp;""</f>
        <v>#N/A</v>
      </c>
    </row>
    <row r="4241" ht="14.100000000000001" customHeight="1">
      <c r="B4241" s="19" t="s">
        <v>8616</v>
      </c>
      <c r="C4241" s="19" t="s">
        <v>8617</v>
      </c>
      <c r="D4241" s="19" t="s">
        <v>8616</v>
      </c>
      <c r="E4241" s="20" t="e">
        <f t="array" ref="E4241">INDEX(C:C,SMALL(IF(ISNUMBER(FIND(CELL("contents"),$C$2:$C$4852)),ROW($C$2:$C$4852),4^8),ROW(C4241)))&amp;""</f>
        <v>#N/A</v>
      </c>
    </row>
    <row r="4242" ht="14.100000000000001" customHeight="1">
      <c r="B4242" s="19" t="s">
        <v>8618</v>
      </c>
      <c r="C4242" s="19" t="s">
        <v>8619</v>
      </c>
      <c r="D4242" s="19" t="s">
        <v>8618</v>
      </c>
      <c r="E4242" s="20" t="e">
        <f t="array" ref="E4242">INDEX(C:C,SMALL(IF(ISNUMBER(FIND(CELL("contents"),$C$2:$C$4852)),ROW($C$2:$C$4852),4^8),ROW(C4242)))&amp;""</f>
        <v>#N/A</v>
      </c>
    </row>
    <row r="4243" ht="14.100000000000001" customHeight="1">
      <c r="B4243" s="19" t="s">
        <v>8620</v>
      </c>
      <c r="C4243" s="19" t="s">
        <v>8621</v>
      </c>
      <c r="D4243" s="19" t="s">
        <v>8620</v>
      </c>
      <c r="E4243" s="20" t="e">
        <f t="array" ref="E4243">INDEX(C:C,SMALL(IF(ISNUMBER(FIND(CELL("contents"),$C$2:$C$4852)),ROW($C$2:$C$4852),4^8),ROW(C4243)))&amp;""</f>
        <v>#N/A</v>
      </c>
    </row>
    <row r="4244" ht="14.100000000000001" customHeight="1">
      <c r="B4244" s="19" t="s">
        <v>8622</v>
      </c>
      <c r="C4244" s="19" t="s">
        <v>8623</v>
      </c>
      <c r="D4244" s="19" t="s">
        <v>8622</v>
      </c>
      <c r="E4244" s="20" t="e">
        <f t="array" ref="E4244">INDEX(C:C,SMALL(IF(ISNUMBER(FIND(CELL("contents"),$C$2:$C$4852)),ROW($C$2:$C$4852),4^8),ROW(C4244)))&amp;""</f>
        <v>#N/A</v>
      </c>
    </row>
    <row r="4245" ht="14.100000000000001" customHeight="1">
      <c r="B4245" s="19" t="s">
        <v>8624</v>
      </c>
      <c r="C4245" s="19" t="s">
        <v>8625</v>
      </c>
      <c r="D4245" s="19" t="s">
        <v>8624</v>
      </c>
      <c r="E4245" s="20" t="e">
        <f t="array" ref="E4245">INDEX(C:C,SMALL(IF(ISNUMBER(FIND(CELL("contents"),$C$2:$C$4852)),ROW($C$2:$C$4852),4^8),ROW(C4245)))&amp;""</f>
        <v>#N/A</v>
      </c>
    </row>
    <row r="4246" ht="14.100000000000001" customHeight="1">
      <c r="B4246" s="19" t="s">
        <v>8626</v>
      </c>
      <c r="C4246" s="19" t="s">
        <v>8627</v>
      </c>
      <c r="D4246" s="19" t="s">
        <v>8626</v>
      </c>
      <c r="E4246" s="20" t="e">
        <f t="array" ref="E4246">INDEX(C:C,SMALL(IF(ISNUMBER(FIND(CELL("contents"),$C$2:$C$4852)),ROW($C$2:$C$4852),4^8),ROW(C4246)))&amp;""</f>
        <v>#N/A</v>
      </c>
    </row>
    <row r="4247" ht="14.100000000000001" customHeight="1">
      <c r="B4247" s="19" t="s">
        <v>8628</v>
      </c>
      <c r="C4247" s="19" t="s">
        <v>8629</v>
      </c>
      <c r="D4247" s="19" t="s">
        <v>8628</v>
      </c>
      <c r="E4247" s="20" t="e">
        <f t="array" ref="E4247">INDEX(C:C,SMALL(IF(ISNUMBER(FIND(CELL("contents"),$C$2:$C$4852)),ROW($C$2:$C$4852),4^8),ROW(C4247)))&amp;""</f>
        <v>#N/A</v>
      </c>
    </row>
    <row r="4248" ht="14.100000000000001" customHeight="1">
      <c r="B4248" s="19" t="s">
        <v>8630</v>
      </c>
      <c r="C4248" s="19" t="s">
        <v>8631</v>
      </c>
      <c r="D4248" s="19" t="s">
        <v>8630</v>
      </c>
      <c r="E4248" s="20" t="e">
        <f t="array" ref="E4248">INDEX(C:C,SMALL(IF(ISNUMBER(FIND(CELL("contents"),$C$2:$C$4852)),ROW($C$2:$C$4852),4^8),ROW(C4248)))&amp;""</f>
        <v>#N/A</v>
      </c>
    </row>
    <row r="4249" ht="14.100000000000001" customHeight="1">
      <c r="B4249" s="19" t="s">
        <v>8632</v>
      </c>
      <c r="C4249" s="19" t="s">
        <v>8633</v>
      </c>
      <c r="D4249" s="19" t="s">
        <v>8632</v>
      </c>
      <c r="E4249" s="20" t="e">
        <f t="array" ref="E4249">INDEX(C:C,SMALL(IF(ISNUMBER(FIND(CELL("contents"),$C$2:$C$4852)),ROW($C$2:$C$4852),4^8),ROW(C4249)))&amp;""</f>
        <v>#N/A</v>
      </c>
    </row>
    <row r="4250" ht="14.100000000000001" customHeight="1">
      <c r="B4250" s="19" t="s">
        <v>8634</v>
      </c>
      <c r="C4250" s="19" t="s">
        <v>8635</v>
      </c>
      <c r="D4250" s="19" t="s">
        <v>8634</v>
      </c>
      <c r="E4250" s="20" t="e">
        <f t="array" ref="E4250">INDEX(C:C,SMALL(IF(ISNUMBER(FIND(CELL("contents"),$C$2:$C$4852)),ROW($C$2:$C$4852),4^8),ROW(C4250)))&amp;""</f>
        <v>#N/A</v>
      </c>
    </row>
    <row r="4251" ht="14.100000000000001" customHeight="1">
      <c r="B4251" s="19" t="s">
        <v>8636</v>
      </c>
      <c r="C4251" s="19" t="s">
        <v>8637</v>
      </c>
      <c r="D4251" s="19" t="s">
        <v>8636</v>
      </c>
      <c r="E4251" s="20" t="e">
        <f t="array" ref="E4251">INDEX(C:C,SMALL(IF(ISNUMBER(FIND(CELL("contents"),$C$2:$C$4852)),ROW($C$2:$C$4852),4^8),ROW(C4251)))&amp;""</f>
        <v>#N/A</v>
      </c>
    </row>
    <row r="4252" ht="14.100000000000001" customHeight="1">
      <c r="B4252" s="19" t="s">
        <v>8638</v>
      </c>
      <c r="C4252" s="19" t="s">
        <v>8639</v>
      </c>
      <c r="D4252" s="19" t="s">
        <v>8638</v>
      </c>
      <c r="E4252" s="20" t="e">
        <f t="array" ref="E4252">INDEX(C:C,SMALL(IF(ISNUMBER(FIND(CELL("contents"),$C$2:$C$4852)),ROW($C$2:$C$4852),4^8),ROW(C4252)))&amp;""</f>
        <v>#N/A</v>
      </c>
    </row>
    <row r="4253" ht="14.100000000000001" customHeight="1">
      <c r="B4253" s="19" t="s">
        <v>8640</v>
      </c>
      <c r="C4253" s="19" t="s">
        <v>8641</v>
      </c>
      <c r="D4253" s="19" t="s">
        <v>8640</v>
      </c>
      <c r="E4253" s="20" t="e">
        <f t="array" ref="E4253">INDEX(C:C,SMALL(IF(ISNUMBER(FIND(CELL("contents"),$C$2:$C$4852)),ROW($C$2:$C$4852),4^8),ROW(C4253)))&amp;""</f>
        <v>#N/A</v>
      </c>
    </row>
    <row r="4254" ht="14.100000000000001" customHeight="1">
      <c r="B4254" s="19" t="s">
        <v>8642</v>
      </c>
      <c r="C4254" s="19" t="s">
        <v>8643</v>
      </c>
      <c r="D4254" s="19" t="s">
        <v>8642</v>
      </c>
      <c r="E4254" s="20" t="e">
        <f t="array" ref="E4254">INDEX(C:C,SMALL(IF(ISNUMBER(FIND(CELL("contents"),$C$2:$C$4852)),ROW($C$2:$C$4852),4^8),ROW(C4254)))&amp;""</f>
        <v>#N/A</v>
      </c>
    </row>
    <row r="4255" ht="14.100000000000001" customHeight="1">
      <c r="B4255" s="19" t="s">
        <v>8644</v>
      </c>
      <c r="C4255" s="19" t="s">
        <v>8645</v>
      </c>
      <c r="D4255" s="19" t="s">
        <v>8644</v>
      </c>
      <c r="E4255" s="20" t="e">
        <f t="array" ref="E4255">INDEX(C:C,SMALL(IF(ISNUMBER(FIND(CELL("contents"),$C$2:$C$4852)),ROW($C$2:$C$4852),4^8),ROW(C4255)))&amp;""</f>
        <v>#N/A</v>
      </c>
    </row>
    <row r="4256" ht="14.100000000000001" customHeight="1">
      <c r="B4256" s="19" t="s">
        <v>8646</v>
      </c>
      <c r="C4256" s="19" t="s">
        <v>8647</v>
      </c>
      <c r="D4256" s="19" t="s">
        <v>8646</v>
      </c>
      <c r="E4256" s="20" t="e">
        <f t="array" ref="E4256">INDEX(C:C,SMALL(IF(ISNUMBER(FIND(CELL("contents"),$C$2:$C$4852)),ROW($C$2:$C$4852),4^8),ROW(C4256)))&amp;""</f>
        <v>#N/A</v>
      </c>
    </row>
    <row r="4257" ht="14.100000000000001" customHeight="1">
      <c r="B4257" s="19" t="s">
        <v>8648</v>
      </c>
      <c r="C4257" s="19" t="s">
        <v>8649</v>
      </c>
      <c r="D4257" s="19" t="s">
        <v>8648</v>
      </c>
      <c r="E4257" s="20" t="e">
        <f t="array" ref="E4257">INDEX(C:C,SMALL(IF(ISNUMBER(FIND(CELL("contents"),$C$2:$C$4852)),ROW($C$2:$C$4852),4^8),ROW(C4257)))&amp;""</f>
        <v>#N/A</v>
      </c>
    </row>
    <row r="4258" ht="14.100000000000001" customHeight="1">
      <c r="B4258" s="19" t="s">
        <v>8650</v>
      </c>
      <c r="C4258" s="19" t="s">
        <v>8651</v>
      </c>
      <c r="D4258" s="19" t="s">
        <v>8650</v>
      </c>
      <c r="E4258" s="20" t="e">
        <f t="array" ref="E4258">INDEX(C:C,SMALL(IF(ISNUMBER(FIND(CELL("contents"),$C$2:$C$4852)),ROW($C$2:$C$4852),4^8),ROW(C4258)))&amp;""</f>
        <v>#N/A</v>
      </c>
    </row>
    <row r="4259" ht="14.100000000000001" customHeight="1">
      <c r="B4259" s="19" t="s">
        <v>8652</v>
      </c>
      <c r="C4259" s="19" t="s">
        <v>8653</v>
      </c>
      <c r="D4259" s="19" t="s">
        <v>8652</v>
      </c>
      <c r="E4259" s="20" t="e">
        <f t="array" ref="E4259">INDEX(C:C,SMALL(IF(ISNUMBER(FIND(CELL("contents"),$C$2:$C$4852)),ROW($C$2:$C$4852),4^8),ROW(C4259)))&amp;""</f>
        <v>#N/A</v>
      </c>
    </row>
    <row r="4260" ht="14.100000000000001" customHeight="1">
      <c r="B4260" s="19" t="s">
        <v>8654</v>
      </c>
      <c r="C4260" s="19" t="s">
        <v>8655</v>
      </c>
      <c r="D4260" s="19" t="s">
        <v>8654</v>
      </c>
      <c r="E4260" s="20" t="e">
        <f t="array" ref="E4260">INDEX(C:C,SMALL(IF(ISNUMBER(FIND(CELL("contents"),$C$2:$C$4852)),ROW($C$2:$C$4852),4^8),ROW(C4260)))&amp;""</f>
        <v>#N/A</v>
      </c>
    </row>
    <row r="4261" ht="14.100000000000001" customHeight="1">
      <c r="B4261" s="19" t="s">
        <v>8656</v>
      </c>
      <c r="C4261" s="19" t="s">
        <v>8657</v>
      </c>
      <c r="D4261" s="19" t="s">
        <v>8656</v>
      </c>
      <c r="E4261" s="20" t="e">
        <f t="array" ref="E4261">INDEX(C:C,SMALL(IF(ISNUMBER(FIND(CELL("contents"),$C$2:$C$4852)),ROW($C$2:$C$4852),4^8),ROW(C4261)))&amp;""</f>
        <v>#N/A</v>
      </c>
    </row>
    <row r="4262" ht="14.100000000000001" customHeight="1">
      <c r="B4262" s="19" t="s">
        <v>8658</v>
      </c>
      <c r="C4262" s="19" t="s">
        <v>8659</v>
      </c>
      <c r="D4262" s="19" t="s">
        <v>8658</v>
      </c>
      <c r="E4262" s="20" t="e">
        <f t="array" ref="E4262">INDEX(C:C,SMALL(IF(ISNUMBER(FIND(CELL("contents"),$C$2:$C$4852)),ROW($C$2:$C$4852),4^8),ROW(C4262)))&amp;""</f>
        <v>#N/A</v>
      </c>
    </row>
    <row r="4263" ht="14.100000000000001" customHeight="1">
      <c r="B4263" s="19" t="s">
        <v>8660</v>
      </c>
      <c r="C4263" s="19" t="s">
        <v>8661</v>
      </c>
      <c r="D4263" s="19" t="s">
        <v>8660</v>
      </c>
      <c r="E4263" s="20" t="e">
        <f t="array" ref="E4263">INDEX(C:C,SMALL(IF(ISNUMBER(FIND(CELL("contents"),$C$2:$C$4852)),ROW($C$2:$C$4852),4^8),ROW(C4263)))&amp;""</f>
        <v>#N/A</v>
      </c>
    </row>
    <row r="4264" ht="14.100000000000001" customHeight="1">
      <c r="B4264" s="19" t="s">
        <v>8662</v>
      </c>
      <c r="C4264" s="19" t="s">
        <v>8663</v>
      </c>
      <c r="D4264" s="19" t="s">
        <v>8662</v>
      </c>
      <c r="E4264" s="20" t="e">
        <f t="array" ref="E4264">INDEX(C:C,SMALL(IF(ISNUMBER(FIND(CELL("contents"),$C$2:$C$4852)),ROW($C$2:$C$4852),4^8),ROW(C4264)))&amp;""</f>
        <v>#N/A</v>
      </c>
    </row>
    <row r="4265" ht="14.100000000000001" customHeight="1">
      <c r="B4265" s="19" t="s">
        <v>8664</v>
      </c>
      <c r="C4265" s="19" t="s">
        <v>8665</v>
      </c>
      <c r="D4265" s="19" t="s">
        <v>8664</v>
      </c>
      <c r="E4265" s="20" t="e">
        <f t="array" ref="E4265">INDEX(C:C,SMALL(IF(ISNUMBER(FIND(CELL("contents"),$C$2:$C$4852)),ROW($C$2:$C$4852),4^8),ROW(C4265)))&amp;""</f>
        <v>#N/A</v>
      </c>
    </row>
    <row r="4266" ht="14.100000000000001" customHeight="1">
      <c r="B4266" s="19" t="s">
        <v>8666</v>
      </c>
      <c r="C4266" s="19" t="s">
        <v>8667</v>
      </c>
      <c r="D4266" s="19" t="s">
        <v>8666</v>
      </c>
      <c r="E4266" s="20" t="e">
        <f t="array" ref="E4266">INDEX(C:C,SMALL(IF(ISNUMBER(FIND(CELL("contents"),$C$2:$C$4852)),ROW($C$2:$C$4852),4^8),ROW(C4266)))&amp;""</f>
        <v>#N/A</v>
      </c>
    </row>
    <row r="4267" ht="14.100000000000001" customHeight="1">
      <c r="B4267" s="19" t="s">
        <v>8668</v>
      </c>
      <c r="C4267" s="19" t="s">
        <v>8669</v>
      </c>
      <c r="D4267" s="19" t="s">
        <v>8668</v>
      </c>
      <c r="E4267" s="20" t="e">
        <f t="array" ref="E4267">INDEX(C:C,SMALL(IF(ISNUMBER(FIND(CELL("contents"),$C$2:$C$4852)),ROW($C$2:$C$4852),4^8),ROW(C4267)))&amp;""</f>
        <v>#N/A</v>
      </c>
    </row>
    <row r="4268" ht="14.100000000000001" customHeight="1">
      <c r="B4268" s="19" t="s">
        <v>8670</v>
      </c>
      <c r="C4268" s="19" t="s">
        <v>8671</v>
      </c>
      <c r="D4268" s="19" t="s">
        <v>8670</v>
      </c>
      <c r="E4268" s="20" t="e">
        <f t="array" ref="E4268">INDEX(C:C,SMALL(IF(ISNUMBER(FIND(CELL("contents"),$C$2:$C$4852)),ROW($C$2:$C$4852),4^8),ROW(C4268)))&amp;""</f>
        <v>#N/A</v>
      </c>
    </row>
    <row r="4269" ht="14.100000000000001" customHeight="1">
      <c r="B4269" s="19" t="s">
        <v>8672</v>
      </c>
      <c r="C4269" s="19" t="s">
        <v>8673</v>
      </c>
      <c r="D4269" s="19" t="s">
        <v>8672</v>
      </c>
      <c r="E4269" s="20" t="e">
        <f t="array" ref="E4269">INDEX(C:C,SMALL(IF(ISNUMBER(FIND(CELL("contents"),$C$2:$C$4852)),ROW($C$2:$C$4852),4^8),ROW(C4269)))&amp;""</f>
        <v>#N/A</v>
      </c>
    </row>
    <row r="4270" ht="14.100000000000001" customHeight="1">
      <c r="B4270" s="19" t="s">
        <v>8674</v>
      </c>
      <c r="C4270" s="19" t="s">
        <v>8675</v>
      </c>
      <c r="D4270" s="19" t="s">
        <v>8674</v>
      </c>
      <c r="E4270" s="20" t="e">
        <f t="array" ref="E4270">INDEX(C:C,SMALL(IF(ISNUMBER(FIND(CELL("contents"),$C$2:$C$4852)),ROW($C$2:$C$4852),4^8),ROW(C4270)))&amp;""</f>
        <v>#N/A</v>
      </c>
    </row>
    <row r="4271" ht="14.100000000000001" customHeight="1">
      <c r="B4271" s="19" t="s">
        <v>8676</v>
      </c>
      <c r="C4271" s="19" t="s">
        <v>8677</v>
      </c>
      <c r="D4271" s="19" t="s">
        <v>8676</v>
      </c>
      <c r="E4271" s="20" t="e">
        <f t="array" ref="E4271">INDEX(C:C,SMALL(IF(ISNUMBER(FIND(CELL("contents"),$C$2:$C$4852)),ROW($C$2:$C$4852),4^8),ROW(C4271)))&amp;""</f>
        <v>#N/A</v>
      </c>
    </row>
    <row r="4272" ht="14.100000000000001" customHeight="1">
      <c r="B4272" s="19" t="s">
        <v>8678</v>
      </c>
      <c r="C4272" s="19" t="s">
        <v>8679</v>
      </c>
      <c r="D4272" s="19" t="s">
        <v>8678</v>
      </c>
      <c r="E4272" s="20" t="e">
        <f t="array" ref="E4272">INDEX(C:C,SMALL(IF(ISNUMBER(FIND(CELL("contents"),$C$2:$C$4852)),ROW($C$2:$C$4852),4^8),ROW(C4272)))&amp;""</f>
        <v>#N/A</v>
      </c>
    </row>
    <row r="4273" ht="14.100000000000001" customHeight="1">
      <c r="B4273" s="8" t="s">
        <v>8680</v>
      </c>
      <c r="C4273" s="8" t="s">
        <v>8681</v>
      </c>
      <c r="D4273" s="8" t="s">
        <v>8680</v>
      </c>
      <c r="E4273" s="20" t="e">
        <f t="array" ref="E4273">INDEX(C:C,SMALL(IF(ISNUMBER(FIND(CELL("contents"),$C$2:$C$4852)),ROW($C$2:$C$4852),4^8),ROW(C4273)))&amp;""</f>
        <v>#N/A</v>
      </c>
    </row>
    <row r="4274" ht="14.100000000000001" customHeight="1">
      <c r="B4274" s="8" t="s">
        <v>8682</v>
      </c>
      <c r="C4274" s="8" t="s">
        <v>8683</v>
      </c>
      <c r="D4274" s="8" t="s">
        <v>8682</v>
      </c>
      <c r="E4274" s="20" t="e">
        <f t="array" ref="E4274">INDEX(C:C,SMALL(IF(ISNUMBER(FIND(CELL("contents"),$C$2:$C$4852)),ROW($C$2:$C$4852),4^8),ROW(C4274)))&amp;""</f>
        <v>#N/A</v>
      </c>
    </row>
    <row r="4275" ht="14.100000000000001" customHeight="1">
      <c r="B4275" s="8" t="s">
        <v>8684</v>
      </c>
      <c r="C4275" s="8" t="s">
        <v>8685</v>
      </c>
      <c r="D4275" s="8" t="s">
        <v>8684</v>
      </c>
      <c r="E4275" s="20" t="e">
        <f t="array" ref="E4275">INDEX(C:C,SMALL(IF(ISNUMBER(FIND(CELL("contents"),$C$2:$C$4852)),ROW($C$2:$C$4852),4^8),ROW(C4275)))&amp;""</f>
        <v>#N/A</v>
      </c>
    </row>
    <row r="4276" ht="14.100000000000001" customHeight="1">
      <c r="B4276" s="8" t="s">
        <v>8686</v>
      </c>
      <c r="C4276" s="8" t="s">
        <v>8687</v>
      </c>
      <c r="D4276" s="8" t="s">
        <v>8686</v>
      </c>
      <c r="E4276" s="20" t="e">
        <f t="array" ref="E4276">INDEX(C:C,SMALL(IF(ISNUMBER(FIND(CELL("contents"),$C$2:$C$4852)),ROW($C$2:$C$4852),4^8),ROW(C4276)))&amp;""</f>
        <v>#N/A</v>
      </c>
    </row>
    <row r="4277" ht="14.100000000000001" customHeight="1">
      <c r="B4277" s="8" t="s">
        <v>8688</v>
      </c>
      <c r="C4277" s="8" t="s">
        <v>8689</v>
      </c>
      <c r="D4277" s="8" t="s">
        <v>8688</v>
      </c>
      <c r="E4277" s="20" t="e">
        <f t="array" ref="E4277">INDEX(C:C,SMALL(IF(ISNUMBER(FIND(CELL("contents"),$C$2:$C$4852)),ROW($C$2:$C$4852),4^8),ROW(C4277)))&amp;""</f>
        <v>#N/A</v>
      </c>
    </row>
    <row r="4278" ht="14.100000000000001" customHeight="1">
      <c r="B4278" s="8" t="s">
        <v>8690</v>
      </c>
      <c r="C4278" s="8" t="s">
        <v>8691</v>
      </c>
      <c r="D4278" s="8" t="s">
        <v>8690</v>
      </c>
      <c r="E4278" s="20" t="e">
        <f t="array" ref="E4278">INDEX(C:C,SMALL(IF(ISNUMBER(FIND(CELL("contents"),$C$2:$C$4852)),ROW($C$2:$C$4852),4^8),ROW(C4278)))&amp;""</f>
        <v>#N/A</v>
      </c>
    </row>
    <row r="4279" ht="14.100000000000001" customHeight="1">
      <c r="B4279" s="8" t="s">
        <v>8692</v>
      </c>
      <c r="C4279" s="8" t="s">
        <v>8693</v>
      </c>
      <c r="D4279" s="8" t="s">
        <v>8692</v>
      </c>
      <c r="E4279" s="20" t="e">
        <f t="array" ref="E4279">INDEX(C:C,SMALL(IF(ISNUMBER(FIND(CELL("contents"),$C$2:$C$4852)),ROW($C$2:$C$4852),4^8),ROW(C4279)))&amp;""</f>
        <v>#N/A</v>
      </c>
    </row>
    <row r="4280" ht="14.100000000000001" customHeight="1">
      <c r="B4280" s="8" t="s">
        <v>8694</v>
      </c>
      <c r="C4280" s="8" t="s">
        <v>8695</v>
      </c>
      <c r="D4280" s="8" t="s">
        <v>8694</v>
      </c>
      <c r="E4280" s="20" t="e">
        <f t="array" ref="E4280">INDEX(C:C,SMALL(IF(ISNUMBER(FIND(CELL("contents"),$C$2:$C$4852)),ROW($C$2:$C$4852),4^8),ROW(C4280)))&amp;""</f>
        <v>#N/A</v>
      </c>
    </row>
    <row r="4281" ht="14.100000000000001" customHeight="1">
      <c r="B4281" s="8" t="s">
        <v>8696</v>
      </c>
      <c r="C4281" s="8" t="s">
        <v>8697</v>
      </c>
      <c r="D4281" s="8" t="s">
        <v>8696</v>
      </c>
      <c r="E4281" s="20" t="e">
        <f t="array" ref="E4281">INDEX(C:C,SMALL(IF(ISNUMBER(FIND(CELL("contents"),$C$2:$C$4852)),ROW($C$2:$C$4852),4^8),ROW(C4281)))&amp;""</f>
        <v>#N/A</v>
      </c>
    </row>
    <row r="4282" ht="14.100000000000001" customHeight="1">
      <c r="B4282" s="8" t="s">
        <v>8698</v>
      </c>
      <c r="C4282" s="8" t="s">
        <v>8699</v>
      </c>
      <c r="D4282" s="8" t="s">
        <v>8698</v>
      </c>
      <c r="E4282" s="20" t="e">
        <f t="array" ref="E4282">INDEX(C:C,SMALL(IF(ISNUMBER(FIND(CELL("contents"),$C$2:$C$4852)),ROW($C$2:$C$4852),4^8),ROW(C4282)))&amp;""</f>
        <v>#N/A</v>
      </c>
    </row>
    <row r="4283" ht="14.100000000000001" customHeight="1">
      <c r="B4283" s="8" t="s">
        <v>8700</v>
      </c>
      <c r="C4283" s="8" t="s">
        <v>8701</v>
      </c>
      <c r="D4283" s="8" t="s">
        <v>8700</v>
      </c>
      <c r="E4283" s="20" t="e">
        <f t="array" ref="E4283">INDEX(C:C,SMALL(IF(ISNUMBER(FIND(CELL("contents"),$C$2:$C$4852)),ROW($C$2:$C$4852),4^8),ROW(C4283)))&amp;""</f>
        <v>#N/A</v>
      </c>
    </row>
    <row r="4284" ht="14.100000000000001" customHeight="1">
      <c r="B4284" s="8" t="s">
        <v>8702</v>
      </c>
      <c r="C4284" s="8" t="s">
        <v>8703</v>
      </c>
      <c r="D4284" s="8" t="s">
        <v>8702</v>
      </c>
      <c r="E4284" s="20" t="e">
        <f t="array" ref="E4284">INDEX(C:C,SMALL(IF(ISNUMBER(FIND(CELL("contents"),$C$2:$C$4852)),ROW($C$2:$C$4852),4^8),ROW(C4284)))&amp;""</f>
        <v>#N/A</v>
      </c>
    </row>
    <row r="4285" ht="14.100000000000001" customHeight="1">
      <c r="B4285" s="8" t="s">
        <v>8704</v>
      </c>
      <c r="C4285" s="8" t="s">
        <v>8705</v>
      </c>
      <c r="D4285" s="8" t="s">
        <v>8704</v>
      </c>
      <c r="E4285" s="20" t="e">
        <f t="array" ref="E4285">INDEX(C:C,SMALL(IF(ISNUMBER(FIND(CELL("contents"),$C$2:$C$4852)),ROW($C$2:$C$4852),4^8),ROW(C4285)))&amp;""</f>
        <v>#N/A</v>
      </c>
    </row>
    <row r="4286" ht="14.100000000000001" customHeight="1">
      <c r="B4286" s="8" t="s">
        <v>8706</v>
      </c>
      <c r="C4286" s="8" t="s">
        <v>8707</v>
      </c>
      <c r="D4286" s="8" t="s">
        <v>8706</v>
      </c>
      <c r="E4286" s="20" t="e">
        <f t="array" ref="E4286">INDEX(C:C,SMALL(IF(ISNUMBER(FIND(CELL("contents"),$C$2:$C$4852)),ROW($C$2:$C$4852),4^8),ROW(C4286)))&amp;""</f>
        <v>#N/A</v>
      </c>
    </row>
    <row r="4287" ht="14.100000000000001" customHeight="1">
      <c r="B4287" s="8" t="s">
        <v>8708</v>
      </c>
      <c r="C4287" s="8" t="s">
        <v>8709</v>
      </c>
      <c r="D4287" s="8" t="s">
        <v>8708</v>
      </c>
      <c r="E4287" s="20" t="e">
        <f t="array" ref="E4287">INDEX(C:C,SMALL(IF(ISNUMBER(FIND(CELL("contents"),$C$2:$C$4852)),ROW($C$2:$C$4852),4^8),ROW(C4287)))&amp;""</f>
        <v>#N/A</v>
      </c>
    </row>
    <row r="4288" ht="14.100000000000001" customHeight="1">
      <c r="B4288" s="8" t="s">
        <v>8710</v>
      </c>
      <c r="C4288" s="8" t="s">
        <v>8711</v>
      </c>
      <c r="D4288" s="8" t="s">
        <v>8710</v>
      </c>
      <c r="E4288" s="20" t="e">
        <f t="array" ref="E4288">INDEX(C:C,SMALL(IF(ISNUMBER(FIND(CELL("contents"),$C$2:$C$4852)),ROW($C$2:$C$4852),4^8),ROW(C4288)))&amp;""</f>
        <v>#N/A</v>
      </c>
    </row>
    <row r="4289" ht="14.100000000000001" customHeight="1">
      <c r="B4289" s="8" t="s">
        <v>8712</v>
      </c>
      <c r="C4289" s="8" t="s">
        <v>8713</v>
      </c>
      <c r="D4289" s="8" t="s">
        <v>8712</v>
      </c>
      <c r="E4289" s="20" t="e">
        <f t="array" ref="E4289">INDEX(C:C,SMALL(IF(ISNUMBER(FIND(CELL("contents"),$C$2:$C$4852)),ROW($C$2:$C$4852),4^8),ROW(C4289)))&amp;""</f>
        <v>#N/A</v>
      </c>
    </row>
    <row r="4290" ht="14.100000000000001" customHeight="1">
      <c r="B4290" s="8" t="s">
        <v>8714</v>
      </c>
      <c r="C4290" s="8" t="s">
        <v>8715</v>
      </c>
      <c r="D4290" s="8" t="s">
        <v>8714</v>
      </c>
      <c r="E4290" s="20" t="e">
        <f t="array" ref="E4290">INDEX(C:C,SMALL(IF(ISNUMBER(FIND(CELL("contents"),$C$2:$C$4852)),ROW($C$2:$C$4852),4^8),ROW(C4290)))&amp;""</f>
        <v>#N/A</v>
      </c>
    </row>
    <row r="4291" ht="14.100000000000001" customHeight="1">
      <c r="B4291" s="8" t="s">
        <v>8716</v>
      </c>
      <c r="C4291" s="8" t="s">
        <v>8717</v>
      </c>
      <c r="D4291" s="8" t="s">
        <v>8716</v>
      </c>
      <c r="E4291" s="20" t="e">
        <f t="array" ref="E4291">INDEX(C:C,SMALL(IF(ISNUMBER(FIND(CELL("contents"),$C$2:$C$4852)),ROW($C$2:$C$4852),4^8),ROW(C4291)))&amp;""</f>
        <v>#N/A</v>
      </c>
    </row>
    <row r="4292" ht="14.100000000000001" customHeight="1">
      <c r="B4292" s="8" t="s">
        <v>8718</v>
      </c>
      <c r="C4292" s="8" t="s">
        <v>8719</v>
      </c>
      <c r="D4292" s="8" t="s">
        <v>8718</v>
      </c>
      <c r="E4292" s="20" t="e">
        <f t="array" ref="E4292">INDEX(C:C,SMALL(IF(ISNUMBER(FIND(CELL("contents"),$C$2:$C$4852)),ROW($C$2:$C$4852),4^8),ROW(C4292)))&amp;""</f>
        <v>#N/A</v>
      </c>
    </row>
    <row r="4293" ht="14.100000000000001" customHeight="1">
      <c r="B4293" s="8" t="s">
        <v>8720</v>
      </c>
      <c r="C4293" s="8" t="s">
        <v>8721</v>
      </c>
      <c r="D4293" s="8" t="s">
        <v>8720</v>
      </c>
      <c r="E4293" s="20" t="e">
        <f t="array" ref="E4293">INDEX(C:C,SMALL(IF(ISNUMBER(FIND(CELL("contents"),$C$2:$C$4852)),ROW($C$2:$C$4852),4^8),ROW(C4293)))&amp;""</f>
        <v>#N/A</v>
      </c>
    </row>
    <row r="4294" ht="14.100000000000001" customHeight="1">
      <c r="B4294" s="8" t="s">
        <v>8722</v>
      </c>
      <c r="C4294" s="8" t="s">
        <v>8723</v>
      </c>
      <c r="D4294" s="8" t="s">
        <v>8722</v>
      </c>
      <c r="E4294" s="20" t="e">
        <f t="array" ref="E4294">INDEX(C:C,SMALL(IF(ISNUMBER(FIND(CELL("contents"),$C$2:$C$4852)),ROW($C$2:$C$4852),4^8),ROW(C4294)))&amp;""</f>
        <v>#N/A</v>
      </c>
    </row>
    <row r="4295" ht="14.100000000000001" customHeight="1">
      <c r="B4295" s="8" t="s">
        <v>8724</v>
      </c>
      <c r="C4295" s="8" t="s">
        <v>8725</v>
      </c>
      <c r="D4295" s="8" t="s">
        <v>8724</v>
      </c>
      <c r="E4295" s="20" t="e">
        <f t="array" ref="E4295">INDEX(C:C,SMALL(IF(ISNUMBER(FIND(CELL("contents"),$C$2:$C$4852)),ROW($C$2:$C$4852),4^8),ROW(C4295)))&amp;""</f>
        <v>#N/A</v>
      </c>
    </row>
    <row r="4296" ht="14.100000000000001" customHeight="1">
      <c r="B4296" s="8" t="s">
        <v>8726</v>
      </c>
      <c r="C4296" s="8" t="s">
        <v>8727</v>
      </c>
      <c r="D4296" s="8" t="s">
        <v>8726</v>
      </c>
      <c r="E4296" s="20" t="e">
        <f t="array" ref="E4296">INDEX(C:C,SMALL(IF(ISNUMBER(FIND(CELL("contents"),$C$2:$C$4852)),ROW($C$2:$C$4852),4^8),ROW(C4296)))&amp;""</f>
        <v>#N/A</v>
      </c>
    </row>
    <row r="4297" ht="14.100000000000001" customHeight="1">
      <c r="B4297" s="8" t="s">
        <v>8728</v>
      </c>
      <c r="C4297" s="8" t="s">
        <v>8729</v>
      </c>
      <c r="D4297" s="8" t="s">
        <v>8728</v>
      </c>
      <c r="E4297" s="20" t="e">
        <f t="array" ref="E4297">INDEX(C:C,SMALL(IF(ISNUMBER(FIND(CELL("contents"),$C$2:$C$4852)),ROW($C$2:$C$4852),4^8),ROW(C4297)))&amp;""</f>
        <v>#N/A</v>
      </c>
    </row>
    <row r="4298" ht="14.100000000000001" customHeight="1">
      <c r="B4298" s="8" t="s">
        <v>8730</v>
      </c>
      <c r="C4298" s="8" t="s">
        <v>8406</v>
      </c>
      <c r="D4298" s="8" t="s">
        <v>8730</v>
      </c>
      <c r="E4298" s="20" t="e">
        <f t="array" ref="E4298">INDEX(C:C,SMALL(IF(ISNUMBER(FIND(CELL("contents"),$C$2:$C$4852)),ROW($C$2:$C$4852),4^8),ROW(C4298)))&amp;""</f>
        <v>#N/A</v>
      </c>
    </row>
    <row r="4299" ht="14.100000000000001" customHeight="1">
      <c r="B4299" s="8" t="s">
        <v>8731</v>
      </c>
      <c r="C4299" s="8" t="s">
        <v>8732</v>
      </c>
      <c r="D4299" s="8" t="s">
        <v>8731</v>
      </c>
      <c r="E4299" s="20" t="e">
        <f t="array" ref="E4299">INDEX(C:C,SMALL(IF(ISNUMBER(FIND(CELL("contents"),$C$2:$C$4852)),ROW($C$2:$C$4852),4^8),ROW(C4299)))&amp;""</f>
        <v>#N/A</v>
      </c>
    </row>
    <row r="4300" ht="14.100000000000001" customHeight="1">
      <c r="B4300" s="8" t="s">
        <v>8733</v>
      </c>
      <c r="C4300" s="8" t="s">
        <v>7932</v>
      </c>
      <c r="D4300" s="8" t="s">
        <v>8733</v>
      </c>
      <c r="E4300" s="20" t="e">
        <f t="array" ref="E4300">INDEX(C:C,SMALL(IF(ISNUMBER(FIND(CELL("contents"),$C$2:$C$4852)),ROW($C$2:$C$4852),4^8),ROW(C4300)))&amp;""</f>
        <v>#N/A</v>
      </c>
    </row>
    <row r="4301" ht="14.100000000000001" customHeight="1">
      <c r="B4301" s="8" t="s">
        <v>8734</v>
      </c>
      <c r="C4301" s="8" t="s">
        <v>8735</v>
      </c>
      <c r="D4301" s="8" t="s">
        <v>8734</v>
      </c>
      <c r="E4301" s="20" t="e">
        <f t="array" ref="E4301">INDEX(C:C,SMALL(IF(ISNUMBER(FIND(CELL("contents"),$C$2:$C$4852)),ROW($C$2:$C$4852),4^8),ROW(C4301)))&amp;""</f>
        <v>#N/A</v>
      </c>
    </row>
    <row r="4302" ht="14.100000000000001" customHeight="1">
      <c r="B4302" s="8" t="s">
        <v>8736</v>
      </c>
      <c r="C4302" s="8" t="s">
        <v>8737</v>
      </c>
      <c r="D4302" s="8" t="s">
        <v>8736</v>
      </c>
      <c r="E4302" s="20" t="e">
        <f t="array" ref="E4302">INDEX(C:C,SMALL(IF(ISNUMBER(FIND(CELL("contents"),$C$2:$C$4852)),ROW($C$2:$C$4852),4^8),ROW(C4302)))&amp;""</f>
        <v>#N/A</v>
      </c>
    </row>
    <row r="4303" ht="14.100000000000001" customHeight="1">
      <c r="B4303" s="8" t="s">
        <v>8738</v>
      </c>
      <c r="C4303" s="8" t="s">
        <v>8739</v>
      </c>
      <c r="D4303" s="8" t="s">
        <v>8738</v>
      </c>
      <c r="E4303" s="20" t="e">
        <f t="array" ref="E4303">INDEX(C:C,SMALL(IF(ISNUMBER(FIND(CELL("contents"),$C$2:$C$4852)),ROW($C$2:$C$4852),4^8),ROW(C4303)))&amp;""</f>
        <v>#N/A</v>
      </c>
    </row>
    <row r="4304" ht="14.100000000000001" customHeight="1">
      <c r="B4304" s="8" t="s">
        <v>8740</v>
      </c>
      <c r="C4304" s="8" t="s">
        <v>8741</v>
      </c>
      <c r="D4304" s="8" t="s">
        <v>8740</v>
      </c>
      <c r="E4304" s="20" t="e">
        <f t="array" ref="E4304">INDEX(C:C,SMALL(IF(ISNUMBER(FIND(CELL("contents"),$C$2:$C$4852)),ROW($C$2:$C$4852),4^8),ROW(C4304)))&amp;""</f>
        <v>#N/A</v>
      </c>
    </row>
    <row r="4305" ht="14.100000000000001" customHeight="1">
      <c r="B4305" s="8" t="s">
        <v>8742</v>
      </c>
      <c r="C4305" s="8" t="s">
        <v>8743</v>
      </c>
      <c r="D4305" s="8" t="s">
        <v>8742</v>
      </c>
      <c r="E4305" s="20" t="e">
        <f t="array" ref="E4305">INDEX(C:C,SMALL(IF(ISNUMBER(FIND(CELL("contents"),$C$2:$C$4852)),ROW($C$2:$C$4852),4^8),ROW(C4305)))&amp;""</f>
        <v>#N/A</v>
      </c>
    </row>
    <row r="4306" ht="14.100000000000001" customHeight="1">
      <c r="B4306" s="8" t="s">
        <v>8744</v>
      </c>
      <c r="C4306" s="8" t="s">
        <v>8745</v>
      </c>
      <c r="D4306" s="8" t="s">
        <v>8744</v>
      </c>
      <c r="E4306" s="20" t="e">
        <f t="array" ref="E4306">INDEX(C:C,SMALL(IF(ISNUMBER(FIND(CELL("contents"),$C$2:$C$4852)),ROW($C$2:$C$4852),4^8),ROW(C4306)))&amp;""</f>
        <v>#N/A</v>
      </c>
    </row>
    <row r="4307" ht="14.100000000000001" customHeight="1">
      <c r="B4307" s="8" t="s">
        <v>8746</v>
      </c>
      <c r="C4307" s="8" t="s">
        <v>8747</v>
      </c>
      <c r="D4307" s="8" t="s">
        <v>8746</v>
      </c>
      <c r="E4307" s="20" t="e">
        <f t="array" ref="E4307">INDEX(C:C,SMALL(IF(ISNUMBER(FIND(CELL("contents"),$C$2:$C$4852)),ROW($C$2:$C$4852),4^8),ROW(C4307)))&amp;""</f>
        <v>#N/A</v>
      </c>
    </row>
    <row r="4308" ht="14.100000000000001" customHeight="1">
      <c r="B4308" s="8" t="s">
        <v>8748</v>
      </c>
      <c r="C4308" s="8" t="s">
        <v>8749</v>
      </c>
      <c r="D4308" s="8" t="s">
        <v>8748</v>
      </c>
      <c r="E4308" s="20" t="e">
        <f t="array" ref="E4308">INDEX(C:C,SMALL(IF(ISNUMBER(FIND(CELL("contents"),$C$2:$C$4852)),ROW($C$2:$C$4852),4^8),ROW(C4308)))&amp;""</f>
        <v>#N/A</v>
      </c>
    </row>
    <row r="4309" ht="14.100000000000001" customHeight="1">
      <c r="B4309" s="8" t="s">
        <v>8750</v>
      </c>
      <c r="C4309" s="8" t="s">
        <v>8751</v>
      </c>
      <c r="D4309" s="8" t="s">
        <v>8750</v>
      </c>
      <c r="E4309" s="20" t="e">
        <f t="array" ref="E4309">INDEX(C:C,SMALL(IF(ISNUMBER(FIND(CELL("contents"),$C$2:$C$4852)),ROW($C$2:$C$4852),4^8),ROW(C4309)))&amp;""</f>
        <v>#N/A</v>
      </c>
    </row>
    <row r="4310" ht="14.100000000000001" customHeight="1">
      <c r="B4310" s="8" t="s">
        <v>8752</v>
      </c>
      <c r="C4310" s="8" t="s">
        <v>8753</v>
      </c>
      <c r="D4310" s="8" t="s">
        <v>8752</v>
      </c>
      <c r="E4310" s="20" t="e">
        <f t="array" ref="E4310">INDEX(C:C,SMALL(IF(ISNUMBER(FIND(CELL("contents"),$C$2:$C$4852)),ROW($C$2:$C$4852),4^8),ROW(C4310)))&amp;""</f>
        <v>#N/A</v>
      </c>
    </row>
    <row r="4311" ht="14.100000000000001" customHeight="1">
      <c r="B4311" s="8" t="s">
        <v>8754</v>
      </c>
      <c r="C4311" s="8" t="s">
        <v>8755</v>
      </c>
      <c r="D4311" s="8" t="s">
        <v>8754</v>
      </c>
      <c r="E4311" s="20" t="e">
        <f t="array" ref="E4311">INDEX(C:C,SMALL(IF(ISNUMBER(FIND(CELL("contents"),$C$2:$C$4852)),ROW($C$2:$C$4852),4^8),ROW(C4311)))&amp;""</f>
        <v>#N/A</v>
      </c>
    </row>
    <row r="4312" ht="14.100000000000001" customHeight="1">
      <c r="B4312" s="8" t="s">
        <v>8756</v>
      </c>
      <c r="C4312" s="8" t="s">
        <v>8757</v>
      </c>
      <c r="D4312" s="8" t="s">
        <v>8756</v>
      </c>
      <c r="E4312" s="20" t="e">
        <f t="array" ref="E4312">INDEX(C:C,SMALL(IF(ISNUMBER(FIND(CELL("contents"),$C$2:$C$4852)),ROW($C$2:$C$4852),4^8),ROW(C4312)))&amp;""</f>
        <v>#N/A</v>
      </c>
    </row>
    <row r="4313" ht="14.100000000000001" customHeight="1">
      <c r="B4313" s="8" t="s">
        <v>8758</v>
      </c>
      <c r="C4313" s="8" t="s">
        <v>8759</v>
      </c>
      <c r="D4313" s="8" t="s">
        <v>8758</v>
      </c>
      <c r="E4313" s="20" t="e">
        <f t="array" ref="E4313">INDEX(C:C,SMALL(IF(ISNUMBER(FIND(CELL("contents"),$C$2:$C$4852)),ROW($C$2:$C$4852),4^8),ROW(C4313)))&amp;""</f>
        <v>#N/A</v>
      </c>
    </row>
    <row r="4314" ht="14.100000000000001" customHeight="1">
      <c r="B4314" s="8" t="s">
        <v>8760</v>
      </c>
      <c r="C4314" s="8" t="s">
        <v>8761</v>
      </c>
      <c r="D4314" s="8" t="s">
        <v>8760</v>
      </c>
      <c r="E4314" s="20" t="e">
        <f t="array" ref="E4314">INDEX(C:C,SMALL(IF(ISNUMBER(FIND(CELL("contents"),$C$2:$C$4852)),ROW($C$2:$C$4852),4^8),ROW(C4314)))&amp;""</f>
        <v>#N/A</v>
      </c>
    </row>
    <row r="4315" ht="14.100000000000001" customHeight="1">
      <c r="B4315" s="8" t="s">
        <v>8762</v>
      </c>
      <c r="C4315" s="8" t="s">
        <v>8763</v>
      </c>
      <c r="D4315" s="8" t="s">
        <v>8762</v>
      </c>
      <c r="E4315" s="20" t="e">
        <f t="array" ref="E4315">INDEX(C:C,SMALL(IF(ISNUMBER(FIND(CELL("contents"),$C$2:$C$4852)),ROW($C$2:$C$4852),4^8),ROW(C4315)))&amp;""</f>
        <v>#N/A</v>
      </c>
    </row>
    <row r="4316" ht="14.100000000000001" customHeight="1">
      <c r="B4316" s="8" t="s">
        <v>8764</v>
      </c>
      <c r="C4316" s="8" t="s">
        <v>8765</v>
      </c>
      <c r="D4316" s="8" t="s">
        <v>8764</v>
      </c>
      <c r="E4316" s="20" t="e">
        <f t="array" ref="E4316">INDEX(C:C,SMALL(IF(ISNUMBER(FIND(CELL("contents"),$C$2:$C$4852)),ROW($C$2:$C$4852),4^8),ROW(C4316)))&amp;""</f>
        <v>#N/A</v>
      </c>
    </row>
    <row r="4317" ht="14.100000000000001" customHeight="1">
      <c r="B4317" s="8" t="s">
        <v>8766</v>
      </c>
      <c r="C4317" s="8" t="s">
        <v>8767</v>
      </c>
      <c r="D4317" s="8" t="s">
        <v>8766</v>
      </c>
      <c r="E4317" s="20" t="e">
        <f t="array" ref="E4317">INDEX(C:C,SMALL(IF(ISNUMBER(FIND(CELL("contents"),$C$2:$C$4852)),ROW($C$2:$C$4852),4^8),ROW(C4317)))&amp;""</f>
        <v>#N/A</v>
      </c>
    </row>
    <row r="4318" ht="14.100000000000001" customHeight="1">
      <c r="B4318" s="8" t="s">
        <v>8768</v>
      </c>
      <c r="C4318" s="8" t="s">
        <v>8769</v>
      </c>
      <c r="D4318" s="8" t="s">
        <v>8768</v>
      </c>
      <c r="E4318" s="20" t="e">
        <f t="array" ref="E4318">INDEX(C:C,SMALL(IF(ISNUMBER(FIND(CELL("contents"),$C$2:$C$4852)),ROW($C$2:$C$4852),4^8),ROW(C4318)))&amp;""</f>
        <v>#N/A</v>
      </c>
    </row>
    <row r="4319" ht="14.100000000000001" customHeight="1">
      <c r="B4319" s="8" t="s">
        <v>8770</v>
      </c>
      <c r="C4319" s="8" t="s">
        <v>8771</v>
      </c>
      <c r="D4319" s="8" t="s">
        <v>8770</v>
      </c>
      <c r="E4319" s="20" t="e">
        <f t="array" ref="E4319">INDEX(C:C,SMALL(IF(ISNUMBER(FIND(CELL("contents"),$C$2:$C$4852)),ROW($C$2:$C$4852),4^8),ROW(C4319)))&amp;""</f>
        <v>#N/A</v>
      </c>
    </row>
    <row r="4320" ht="14.100000000000001" customHeight="1">
      <c r="B4320" s="8" t="s">
        <v>8772</v>
      </c>
      <c r="C4320" s="8" t="s">
        <v>8773</v>
      </c>
      <c r="D4320" s="8" t="s">
        <v>8772</v>
      </c>
      <c r="E4320" s="20" t="e">
        <f t="array" ref="E4320">INDEX(C:C,SMALL(IF(ISNUMBER(FIND(CELL("contents"),$C$2:$C$4852)),ROW($C$2:$C$4852),4^8),ROW(C4320)))&amp;""</f>
        <v>#N/A</v>
      </c>
    </row>
    <row r="4321" ht="14.100000000000001" customHeight="1">
      <c r="B4321" s="8" t="s">
        <v>8774</v>
      </c>
      <c r="C4321" s="8" t="s">
        <v>8775</v>
      </c>
      <c r="D4321" s="8" t="s">
        <v>8774</v>
      </c>
      <c r="E4321" s="20" t="e">
        <f t="array" ref="E4321">INDEX(C:C,SMALL(IF(ISNUMBER(FIND(CELL("contents"),$C$2:$C$4852)),ROW($C$2:$C$4852),4^8),ROW(C4321)))&amp;""</f>
        <v>#N/A</v>
      </c>
    </row>
    <row r="4322" ht="14.100000000000001" customHeight="1">
      <c r="B4322" s="8" t="s">
        <v>8776</v>
      </c>
      <c r="C4322" s="8" t="s">
        <v>8777</v>
      </c>
      <c r="D4322" s="8" t="s">
        <v>8776</v>
      </c>
      <c r="E4322" s="20" t="e">
        <f t="array" ref="E4322">INDEX(C:C,SMALL(IF(ISNUMBER(FIND(CELL("contents"),$C$2:$C$4852)),ROW($C$2:$C$4852),4^8),ROW(C4322)))&amp;""</f>
        <v>#N/A</v>
      </c>
    </row>
    <row r="4323" ht="14.100000000000001" customHeight="1">
      <c r="B4323" s="8" t="s">
        <v>8778</v>
      </c>
      <c r="C4323" s="8" t="s">
        <v>8779</v>
      </c>
      <c r="D4323" s="8" t="s">
        <v>8778</v>
      </c>
      <c r="E4323" s="20" t="e">
        <f t="array" ref="E4323">INDEX(C:C,SMALL(IF(ISNUMBER(FIND(CELL("contents"),$C$2:$C$4852)),ROW($C$2:$C$4852),4^8),ROW(C4323)))&amp;""</f>
        <v>#N/A</v>
      </c>
    </row>
    <row r="4324" ht="14.100000000000001" customHeight="1">
      <c r="B4324" s="8" t="s">
        <v>8780</v>
      </c>
      <c r="C4324" s="8" t="s">
        <v>8781</v>
      </c>
      <c r="D4324" s="8" t="s">
        <v>8780</v>
      </c>
      <c r="E4324" s="20" t="e">
        <f t="array" ref="E4324">INDEX(C:C,SMALL(IF(ISNUMBER(FIND(CELL("contents"),$C$2:$C$4852)),ROW($C$2:$C$4852),4^8),ROW(C4324)))&amp;""</f>
        <v>#N/A</v>
      </c>
    </row>
    <row r="4325" ht="14.100000000000001" customHeight="1">
      <c r="B4325" s="8" t="s">
        <v>8782</v>
      </c>
      <c r="C4325" s="8" t="s">
        <v>1024</v>
      </c>
      <c r="D4325" s="8" t="s">
        <v>8782</v>
      </c>
      <c r="E4325" s="20" t="e">
        <f t="array" ref="E4325">INDEX(C:C,SMALL(IF(ISNUMBER(FIND(CELL("contents"),$C$2:$C$4852)),ROW($C$2:$C$4852),4^8),ROW(C4325)))&amp;""</f>
        <v>#N/A</v>
      </c>
    </row>
    <row r="4326" ht="14.100000000000001" customHeight="1">
      <c r="B4326" s="8" t="s">
        <v>8783</v>
      </c>
      <c r="C4326" s="8" t="s">
        <v>8784</v>
      </c>
      <c r="D4326" s="8" t="s">
        <v>8783</v>
      </c>
      <c r="E4326" s="20" t="e">
        <f t="array" ref="E4326">INDEX(C:C,SMALL(IF(ISNUMBER(FIND(CELL("contents"),$C$2:$C$4852)),ROW($C$2:$C$4852),4^8),ROW(C4326)))&amp;""</f>
        <v>#N/A</v>
      </c>
    </row>
    <row r="4327" ht="14.100000000000001" customHeight="1">
      <c r="B4327" s="8" t="s">
        <v>8785</v>
      </c>
      <c r="C4327" s="8" t="s">
        <v>8786</v>
      </c>
      <c r="D4327" s="8" t="s">
        <v>8785</v>
      </c>
      <c r="E4327" s="20" t="e">
        <f t="array" ref="E4327">INDEX(C:C,SMALL(IF(ISNUMBER(FIND(CELL("contents"),$C$2:$C$4852)),ROW($C$2:$C$4852),4^8),ROW(C4327)))&amp;""</f>
        <v>#N/A</v>
      </c>
    </row>
    <row r="4328" ht="14.100000000000001" customHeight="1">
      <c r="B4328" s="8" t="s">
        <v>8787</v>
      </c>
      <c r="C4328" s="8" t="s">
        <v>8788</v>
      </c>
      <c r="D4328" s="8" t="s">
        <v>8787</v>
      </c>
      <c r="E4328" s="20" t="e">
        <f t="array" ref="E4328">INDEX(C:C,SMALL(IF(ISNUMBER(FIND(CELL("contents"),$C$2:$C$4852)),ROW($C$2:$C$4852),4^8),ROW(C4328)))&amp;""</f>
        <v>#N/A</v>
      </c>
    </row>
    <row r="4329" ht="14.100000000000001" customHeight="1">
      <c r="B4329" s="8" t="s">
        <v>8789</v>
      </c>
      <c r="C4329" s="8" t="s">
        <v>8790</v>
      </c>
      <c r="D4329" s="8" t="s">
        <v>8789</v>
      </c>
      <c r="E4329" s="20" t="e">
        <f t="array" ref="E4329">INDEX(C:C,SMALL(IF(ISNUMBER(FIND(CELL("contents"),$C$2:$C$4852)),ROW($C$2:$C$4852),4^8),ROW(C4329)))&amp;""</f>
        <v>#N/A</v>
      </c>
    </row>
    <row r="4330" ht="14.100000000000001" customHeight="1">
      <c r="B4330" s="8" t="s">
        <v>8791</v>
      </c>
      <c r="C4330" s="8" t="s">
        <v>8792</v>
      </c>
      <c r="D4330" s="8" t="s">
        <v>8791</v>
      </c>
      <c r="E4330" s="20" t="e">
        <f t="array" ref="E4330">INDEX(C:C,SMALL(IF(ISNUMBER(FIND(CELL("contents"),$C$2:$C$4852)),ROW($C$2:$C$4852),4^8),ROW(C4330)))&amp;""</f>
        <v>#N/A</v>
      </c>
    </row>
    <row r="4331" ht="14.100000000000001" customHeight="1">
      <c r="B4331" s="8" t="s">
        <v>8793</v>
      </c>
      <c r="C4331" s="8" t="s">
        <v>8794</v>
      </c>
      <c r="D4331" s="8" t="s">
        <v>8793</v>
      </c>
      <c r="E4331" s="20" t="e">
        <f t="array" ref="E4331">INDEX(C:C,SMALL(IF(ISNUMBER(FIND(CELL("contents"),$C$2:$C$4852)),ROW($C$2:$C$4852),4^8),ROW(C4331)))&amp;""</f>
        <v>#N/A</v>
      </c>
    </row>
    <row r="4332" ht="14.100000000000001" customHeight="1">
      <c r="B4332" s="8" t="s">
        <v>8795</v>
      </c>
      <c r="C4332" s="8" t="s">
        <v>8796</v>
      </c>
      <c r="D4332" s="8" t="s">
        <v>8795</v>
      </c>
      <c r="E4332" s="20" t="e">
        <f t="array" ref="E4332">INDEX(C:C,SMALL(IF(ISNUMBER(FIND(CELL("contents"),$C$2:$C$4852)),ROW($C$2:$C$4852),4^8),ROW(C4332)))&amp;""</f>
        <v>#N/A</v>
      </c>
    </row>
    <row r="4333" ht="14.100000000000001" customHeight="1">
      <c r="B4333" s="8" t="s">
        <v>8797</v>
      </c>
      <c r="C4333" s="8" t="s">
        <v>8798</v>
      </c>
      <c r="D4333" s="8" t="s">
        <v>8797</v>
      </c>
      <c r="E4333" s="20" t="e">
        <f t="array" ref="E4333">INDEX(C:C,SMALL(IF(ISNUMBER(FIND(CELL("contents"),$C$2:$C$4852)),ROW($C$2:$C$4852),4^8),ROW(C4333)))&amp;""</f>
        <v>#N/A</v>
      </c>
    </row>
    <row r="4334" ht="14.100000000000001" customHeight="1">
      <c r="B4334" s="8" t="s">
        <v>8799</v>
      </c>
      <c r="C4334" s="8" t="s">
        <v>8800</v>
      </c>
      <c r="D4334" s="8" t="s">
        <v>8799</v>
      </c>
      <c r="E4334" s="20" t="e">
        <f t="array" ref="E4334">INDEX(C:C,SMALL(IF(ISNUMBER(FIND(CELL("contents"),$C$2:$C$4852)),ROW($C$2:$C$4852),4^8),ROW(C4334)))&amp;""</f>
        <v>#N/A</v>
      </c>
    </row>
    <row r="4335" ht="14.100000000000001" customHeight="1">
      <c r="B4335" s="8" t="s">
        <v>8801</v>
      </c>
      <c r="C4335" s="8" t="s">
        <v>8802</v>
      </c>
      <c r="D4335" s="8" t="s">
        <v>8801</v>
      </c>
      <c r="E4335" s="20" t="e">
        <f t="array" ref="E4335">INDEX(C:C,SMALL(IF(ISNUMBER(FIND(CELL("contents"),$C$2:$C$4852)),ROW($C$2:$C$4852),4^8),ROW(C4335)))&amp;""</f>
        <v>#N/A</v>
      </c>
    </row>
    <row r="4336" ht="14.100000000000001" customHeight="1">
      <c r="B4336" s="8" t="s">
        <v>8803</v>
      </c>
      <c r="C4336" s="8" t="s">
        <v>1704</v>
      </c>
      <c r="D4336" s="8" t="s">
        <v>8803</v>
      </c>
      <c r="E4336" s="20" t="e">
        <f t="array" ref="E4336">INDEX(C:C,SMALL(IF(ISNUMBER(FIND(CELL("contents"),$C$2:$C$4852)),ROW($C$2:$C$4852),4^8),ROW(C4336)))&amp;""</f>
        <v>#N/A</v>
      </c>
    </row>
    <row r="4337" ht="14.100000000000001" customHeight="1">
      <c r="B4337" s="8" t="s">
        <v>8804</v>
      </c>
      <c r="C4337" s="8" t="s">
        <v>8805</v>
      </c>
      <c r="D4337" s="8" t="s">
        <v>8804</v>
      </c>
      <c r="E4337" s="20" t="e">
        <f t="array" ref="E4337">INDEX(C:C,SMALL(IF(ISNUMBER(FIND(CELL("contents"),$C$2:$C$4852)),ROW($C$2:$C$4852),4^8),ROW(C4337)))&amp;""</f>
        <v>#N/A</v>
      </c>
    </row>
    <row r="4338" ht="14.100000000000001" customHeight="1">
      <c r="B4338" s="8" t="s">
        <v>8806</v>
      </c>
      <c r="C4338" s="8" t="s">
        <v>8807</v>
      </c>
      <c r="D4338" s="8" t="s">
        <v>8806</v>
      </c>
      <c r="E4338" s="20" t="e">
        <f t="array" ref="E4338">INDEX(C:C,SMALL(IF(ISNUMBER(FIND(CELL("contents"),$C$2:$C$4852)),ROW($C$2:$C$4852),4^8),ROW(C4338)))&amp;""</f>
        <v>#N/A</v>
      </c>
    </row>
    <row r="4339" ht="14.100000000000001" customHeight="1">
      <c r="B4339" s="8" t="s">
        <v>8808</v>
      </c>
      <c r="C4339" s="8" t="s">
        <v>8809</v>
      </c>
      <c r="D4339" s="8" t="s">
        <v>8808</v>
      </c>
      <c r="E4339" s="20" t="e">
        <f t="array" ref="E4339">INDEX(C:C,SMALL(IF(ISNUMBER(FIND(CELL("contents"),$C$2:$C$4852)),ROW($C$2:$C$4852),4^8),ROW(C4339)))&amp;""</f>
        <v>#N/A</v>
      </c>
    </row>
    <row r="4340" ht="14.100000000000001" customHeight="1">
      <c r="B4340" s="8" t="s">
        <v>8810</v>
      </c>
      <c r="C4340" s="8" t="s">
        <v>8811</v>
      </c>
      <c r="D4340" s="8" t="s">
        <v>8810</v>
      </c>
      <c r="E4340" s="20" t="e">
        <f t="array" ref="E4340">INDEX(C:C,SMALL(IF(ISNUMBER(FIND(CELL("contents"),$C$2:$C$4852)),ROW($C$2:$C$4852),4^8),ROW(C4340)))&amp;""</f>
        <v>#N/A</v>
      </c>
    </row>
    <row r="4341" ht="14.100000000000001" customHeight="1">
      <c r="B4341" s="8" t="s">
        <v>8812</v>
      </c>
      <c r="C4341" s="8" t="s">
        <v>8813</v>
      </c>
      <c r="D4341" s="8" t="s">
        <v>8812</v>
      </c>
      <c r="E4341" s="20" t="e">
        <f t="array" ref="E4341">INDEX(C:C,SMALL(IF(ISNUMBER(FIND(CELL("contents"),$C$2:$C$4852)),ROW($C$2:$C$4852),4^8),ROW(C4341)))&amp;""</f>
        <v>#N/A</v>
      </c>
    </row>
    <row r="4342" ht="14.100000000000001" customHeight="1">
      <c r="B4342" s="8" t="s">
        <v>8814</v>
      </c>
      <c r="C4342" s="8" t="s">
        <v>8815</v>
      </c>
      <c r="D4342" s="8" t="s">
        <v>8814</v>
      </c>
      <c r="E4342" s="20" t="e">
        <f t="array" ref="E4342">INDEX(C:C,SMALL(IF(ISNUMBER(FIND(CELL("contents"),$C$2:$C$4852)),ROW($C$2:$C$4852),4^8),ROW(C4342)))&amp;""</f>
        <v>#N/A</v>
      </c>
    </row>
    <row r="4343" ht="14.100000000000001" customHeight="1">
      <c r="B4343" s="8" t="s">
        <v>8816</v>
      </c>
      <c r="C4343" s="8" t="s">
        <v>8817</v>
      </c>
      <c r="D4343" s="8" t="s">
        <v>8816</v>
      </c>
      <c r="E4343" s="20" t="e">
        <f t="array" ref="E4343">INDEX(C:C,SMALL(IF(ISNUMBER(FIND(CELL("contents"),$C$2:$C$4852)),ROW($C$2:$C$4852),4^8),ROW(C4343)))&amp;""</f>
        <v>#N/A</v>
      </c>
    </row>
    <row r="4344" ht="14.100000000000001" customHeight="1">
      <c r="B4344" s="8" t="s">
        <v>8818</v>
      </c>
      <c r="C4344" s="8" t="s">
        <v>8819</v>
      </c>
      <c r="D4344" s="8" t="s">
        <v>8818</v>
      </c>
      <c r="E4344" s="20" t="e">
        <f t="array" ref="E4344">INDEX(C:C,SMALL(IF(ISNUMBER(FIND(CELL("contents"),$C$2:$C$4852)),ROW($C$2:$C$4852),4^8),ROW(C4344)))&amp;""</f>
        <v>#N/A</v>
      </c>
    </row>
    <row r="4345" ht="14.100000000000001" customHeight="1">
      <c r="B4345" s="8" t="s">
        <v>8820</v>
      </c>
      <c r="C4345" s="8" t="s">
        <v>8821</v>
      </c>
      <c r="D4345" s="8" t="s">
        <v>8820</v>
      </c>
      <c r="E4345" s="20" t="e">
        <f t="array" ref="E4345">INDEX(C:C,SMALL(IF(ISNUMBER(FIND(CELL("contents"),$C$2:$C$4852)),ROW($C$2:$C$4852),4^8),ROW(C4345)))&amp;""</f>
        <v>#N/A</v>
      </c>
    </row>
    <row r="4346" ht="14.100000000000001" customHeight="1">
      <c r="B4346" s="8" t="s">
        <v>8822</v>
      </c>
      <c r="C4346" s="8" t="s">
        <v>8823</v>
      </c>
      <c r="D4346" s="8" t="s">
        <v>8822</v>
      </c>
      <c r="E4346" s="20" t="e">
        <f t="array" ref="E4346">INDEX(C:C,SMALL(IF(ISNUMBER(FIND(CELL("contents"),$C$2:$C$4852)),ROW($C$2:$C$4852),4^8),ROW(C4346)))&amp;""</f>
        <v>#N/A</v>
      </c>
    </row>
    <row r="4347" ht="14.100000000000001" customHeight="1">
      <c r="B4347" s="8" t="s">
        <v>8824</v>
      </c>
      <c r="C4347" s="8" t="s">
        <v>8825</v>
      </c>
      <c r="D4347" s="8" t="s">
        <v>8824</v>
      </c>
      <c r="E4347" s="20" t="e">
        <f t="array" ref="E4347">INDEX(C:C,SMALL(IF(ISNUMBER(FIND(CELL("contents"),$C$2:$C$4852)),ROW($C$2:$C$4852),4^8),ROW(C4347)))&amp;""</f>
        <v>#N/A</v>
      </c>
    </row>
    <row r="4348" ht="14.100000000000001" customHeight="1">
      <c r="B4348" s="8" t="s">
        <v>8826</v>
      </c>
      <c r="C4348" s="8" t="s">
        <v>8827</v>
      </c>
      <c r="D4348" s="8" t="s">
        <v>8826</v>
      </c>
      <c r="E4348" s="20" t="e">
        <f t="array" ref="E4348">INDEX(C:C,SMALL(IF(ISNUMBER(FIND(CELL("contents"),$C$2:$C$4852)),ROW($C$2:$C$4852),4^8),ROW(C4348)))&amp;""</f>
        <v>#N/A</v>
      </c>
    </row>
    <row r="4349" ht="14.100000000000001" customHeight="1">
      <c r="B4349" s="8" t="s">
        <v>8828</v>
      </c>
      <c r="C4349" s="8" t="s">
        <v>8829</v>
      </c>
      <c r="D4349" s="8" t="s">
        <v>8828</v>
      </c>
      <c r="E4349" s="20" t="e">
        <f t="array" ref="E4349">INDEX(C:C,SMALL(IF(ISNUMBER(FIND(CELL("contents"),$C$2:$C$4852)),ROW($C$2:$C$4852),4^8),ROW(C4349)))&amp;""</f>
        <v>#N/A</v>
      </c>
    </row>
    <row r="4350" ht="14.100000000000001" customHeight="1">
      <c r="B4350" s="8" t="s">
        <v>8830</v>
      </c>
      <c r="C4350" s="8" t="s">
        <v>8831</v>
      </c>
      <c r="D4350" s="8" t="s">
        <v>8830</v>
      </c>
      <c r="E4350" s="20" t="e">
        <f t="array" ref="E4350">INDEX(C:C,SMALL(IF(ISNUMBER(FIND(CELL("contents"),$C$2:$C$4852)),ROW($C$2:$C$4852),4^8),ROW(C4350)))&amp;""</f>
        <v>#N/A</v>
      </c>
    </row>
    <row r="4351" ht="14.100000000000001" customHeight="1">
      <c r="B4351" s="8" t="s">
        <v>8832</v>
      </c>
      <c r="C4351" s="8" t="s">
        <v>8833</v>
      </c>
      <c r="D4351" s="8" t="s">
        <v>8832</v>
      </c>
      <c r="E4351" s="20" t="e">
        <f t="array" ref="E4351">INDEX(C:C,SMALL(IF(ISNUMBER(FIND(CELL("contents"),$C$2:$C$4852)),ROW($C$2:$C$4852),4^8),ROW(C4351)))&amp;""</f>
        <v>#N/A</v>
      </c>
    </row>
    <row r="4352" ht="14.100000000000001" customHeight="1">
      <c r="B4352" s="8" t="s">
        <v>8834</v>
      </c>
      <c r="C4352" s="8" t="s">
        <v>8835</v>
      </c>
      <c r="D4352" s="8" t="s">
        <v>8834</v>
      </c>
      <c r="E4352" s="20" t="e">
        <f t="array" ref="E4352">INDEX(C:C,SMALL(IF(ISNUMBER(FIND(CELL("contents"),$C$2:$C$4852)),ROW($C$2:$C$4852),4^8),ROW(C4352)))&amp;""</f>
        <v>#N/A</v>
      </c>
    </row>
    <row r="4353" ht="14.100000000000001" customHeight="1">
      <c r="B4353" s="8" t="s">
        <v>8836</v>
      </c>
      <c r="C4353" s="8" t="s">
        <v>8837</v>
      </c>
      <c r="D4353" s="8" t="s">
        <v>8836</v>
      </c>
      <c r="E4353" s="20" t="e">
        <f t="array" ref="E4353">INDEX(C:C,SMALL(IF(ISNUMBER(FIND(CELL("contents"),$C$2:$C$4852)),ROW($C$2:$C$4852),4^8),ROW(C4353)))&amp;""</f>
        <v>#N/A</v>
      </c>
    </row>
    <row r="4354" ht="14.100000000000001" customHeight="1">
      <c r="B4354" s="8" t="s">
        <v>8838</v>
      </c>
      <c r="C4354" s="8" t="s">
        <v>8839</v>
      </c>
      <c r="D4354" s="8" t="s">
        <v>8838</v>
      </c>
      <c r="E4354" s="20" t="e">
        <f t="array" ref="E4354">INDEX(C:C,SMALL(IF(ISNUMBER(FIND(CELL("contents"),$C$2:$C$4852)),ROW($C$2:$C$4852),4^8),ROW(C4354)))&amp;""</f>
        <v>#N/A</v>
      </c>
    </row>
    <row r="4355" ht="14.100000000000001" customHeight="1">
      <c r="B4355" s="8" t="s">
        <v>8840</v>
      </c>
      <c r="C4355" s="8" t="s">
        <v>8841</v>
      </c>
      <c r="D4355" s="8" t="s">
        <v>8840</v>
      </c>
      <c r="E4355" s="20" t="e">
        <f t="array" ref="E4355">INDEX(C:C,SMALL(IF(ISNUMBER(FIND(CELL("contents"),$C$2:$C$4852)),ROW($C$2:$C$4852),4^8),ROW(C4355)))&amp;""</f>
        <v>#N/A</v>
      </c>
    </row>
    <row r="4356" ht="14.100000000000001" customHeight="1">
      <c r="B4356" s="8" t="s">
        <v>8842</v>
      </c>
      <c r="C4356" s="8" t="s">
        <v>8843</v>
      </c>
      <c r="D4356" s="8" t="s">
        <v>8842</v>
      </c>
      <c r="E4356" s="20" t="e">
        <f t="array" ref="E4356">INDEX(C:C,SMALL(IF(ISNUMBER(FIND(CELL("contents"),$C$2:$C$4852)),ROW($C$2:$C$4852),4^8),ROW(C4356)))&amp;""</f>
        <v>#N/A</v>
      </c>
    </row>
    <row r="4357" ht="14.100000000000001" customHeight="1">
      <c r="B4357" s="8" t="s">
        <v>8844</v>
      </c>
      <c r="C4357" s="8" t="s">
        <v>8845</v>
      </c>
      <c r="D4357" s="8" t="s">
        <v>8844</v>
      </c>
      <c r="E4357" s="20" t="e">
        <f t="array" ref="E4357">INDEX(C:C,SMALL(IF(ISNUMBER(FIND(CELL("contents"),$C$2:$C$4852)),ROW($C$2:$C$4852),4^8),ROW(C4357)))&amp;""</f>
        <v>#N/A</v>
      </c>
    </row>
    <row r="4358" ht="14.100000000000001" customHeight="1">
      <c r="B4358" s="8" t="s">
        <v>8846</v>
      </c>
      <c r="C4358" s="8" t="s">
        <v>8847</v>
      </c>
      <c r="D4358" s="8" t="s">
        <v>8846</v>
      </c>
      <c r="E4358" s="20" t="e">
        <f t="array" ref="E4358">INDEX(C:C,SMALL(IF(ISNUMBER(FIND(CELL("contents"),$C$2:$C$4852)),ROW($C$2:$C$4852),4^8),ROW(C4358)))&amp;""</f>
        <v>#N/A</v>
      </c>
    </row>
    <row r="4359" ht="14.100000000000001" customHeight="1">
      <c r="B4359" s="8" t="s">
        <v>8848</v>
      </c>
      <c r="C4359" s="8" t="s">
        <v>8849</v>
      </c>
      <c r="D4359" s="8" t="s">
        <v>8848</v>
      </c>
      <c r="E4359" s="20" t="e">
        <f t="array" ref="E4359">INDEX(C:C,SMALL(IF(ISNUMBER(FIND(CELL("contents"),$C$2:$C$4852)),ROW($C$2:$C$4852),4^8),ROW(C4359)))&amp;""</f>
        <v>#N/A</v>
      </c>
    </row>
    <row r="4360" ht="14.100000000000001" customHeight="1">
      <c r="B4360" s="8" t="s">
        <v>8850</v>
      </c>
      <c r="C4360" s="8" t="s">
        <v>8851</v>
      </c>
      <c r="D4360" s="8" t="s">
        <v>8850</v>
      </c>
      <c r="E4360" s="20" t="e">
        <f t="array" ref="E4360">INDEX(C:C,SMALL(IF(ISNUMBER(FIND(CELL("contents"),$C$2:$C$4852)),ROW($C$2:$C$4852),4^8),ROW(C4360)))&amp;""</f>
        <v>#N/A</v>
      </c>
    </row>
    <row r="4361" ht="14.100000000000001" customHeight="1">
      <c r="B4361" s="8" t="s">
        <v>8852</v>
      </c>
      <c r="C4361" s="8" t="s">
        <v>8853</v>
      </c>
      <c r="D4361" s="8" t="s">
        <v>8852</v>
      </c>
      <c r="E4361" s="20" t="e">
        <f t="array" ref="E4361">INDEX(C:C,SMALL(IF(ISNUMBER(FIND(CELL("contents"),$C$2:$C$4852)),ROW($C$2:$C$4852),4^8),ROW(C4361)))&amp;""</f>
        <v>#N/A</v>
      </c>
    </row>
    <row r="4362" ht="14.100000000000001" customHeight="1">
      <c r="B4362" s="8" t="s">
        <v>8854</v>
      </c>
      <c r="C4362" s="8" t="s">
        <v>8855</v>
      </c>
      <c r="D4362" s="8" t="s">
        <v>8854</v>
      </c>
      <c r="E4362" s="20" t="e">
        <f t="array" ref="E4362">INDEX(C:C,SMALL(IF(ISNUMBER(FIND(CELL("contents"),$C$2:$C$4852)),ROW($C$2:$C$4852),4^8),ROW(C4362)))&amp;""</f>
        <v>#N/A</v>
      </c>
    </row>
    <row r="4363" ht="14.100000000000001" customHeight="1">
      <c r="B4363" s="8" t="s">
        <v>8856</v>
      </c>
      <c r="C4363" s="8" t="s">
        <v>8857</v>
      </c>
      <c r="D4363" s="8" t="s">
        <v>8856</v>
      </c>
      <c r="E4363" s="20" t="e">
        <f t="array" ref="E4363">INDEX(C:C,SMALL(IF(ISNUMBER(FIND(CELL("contents"),$C$2:$C$4852)),ROW($C$2:$C$4852),4^8),ROW(C4363)))&amp;""</f>
        <v>#N/A</v>
      </c>
    </row>
    <row r="4364" ht="14.100000000000001" customHeight="1">
      <c r="B4364" s="8" t="s">
        <v>8858</v>
      </c>
      <c r="C4364" s="8" t="s">
        <v>8859</v>
      </c>
      <c r="D4364" s="8" t="s">
        <v>8858</v>
      </c>
      <c r="E4364" s="20" t="e">
        <f t="array" ref="E4364">INDEX(C:C,SMALL(IF(ISNUMBER(FIND(CELL("contents"),$C$2:$C$4852)),ROW($C$2:$C$4852),4^8),ROW(C4364)))&amp;""</f>
        <v>#N/A</v>
      </c>
    </row>
    <row r="4365" ht="14.100000000000001" customHeight="1">
      <c r="B4365" s="8" t="s">
        <v>8860</v>
      </c>
      <c r="C4365" s="8" t="s">
        <v>8861</v>
      </c>
      <c r="D4365" s="8" t="s">
        <v>8860</v>
      </c>
      <c r="E4365" s="20" t="e">
        <f t="array" ref="E4365">INDEX(C:C,SMALL(IF(ISNUMBER(FIND(CELL("contents"),$C$2:$C$4852)),ROW($C$2:$C$4852),4^8),ROW(C4365)))&amp;""</f>
        <v>#N/A</v>
      </c>
    </row>
    <row r="4366" ht="14.100000000000001" customHeight="1">
      <c r="B4366" s="8" t="s">
        <v>8862</v>
      </c>
      <c r="C4366" s="8" t="s">
        <v>8863</v>
      </c>
      <c r="D4366" s="8" t="s">
        <v>8862</v>
      </c>
      <c r="E4366" s="20" t="e">
        <f t="array" ref="E4366">INDEX(C:C,SMALL(IF(ISNUMBER(FIND(CELL("contents"),$C$2:$C$4852)),ROW($C$2:$C$4852),4^8),ROW(C4366)))&amp;""</f>
        <v>#N/A</v>
      </c>
    </row>
    <row r="4367" ht="14.100000000000001" customHeight="1">
      <c r="B4367" s="8" t="s">
        <v>8864</v>
      </c>
      <c r="C4367" s="8" t="s">
        <v>8865</v>
      </c>
      <c r="D4367" s="8" t="s">
        <v>8864</v>
      </c>
      <c r="E4367" s="20" t="e">
        <f t="array" ref="E4367">INDEX(C:C,SMALL(IF(ISNUMBER(FIND(CELL("contents"),$C$2:$C$4852)),ROW($C$2:$C$4852),4^8),ROW(C4367)))&amp;""</f>
        <v>#N/A</v>
      </c>
    </row>
    <row r="4368" ht="14.100000000000001" customHeight="1">
      <c r="B4368" s="8" t="s">
        <v>8866</v>
      </c>
      <c r="C4368" s="8" t="s">
        <v>8867</v>
      </c>
      <c r="D4368" s="8" t="s">
        <v>8866</v>
      </c>
      <c r="E4368" s="20" t="e">
        <f t="array" ref="E4368">INDEX(C:C,SMALL(IF(ISNUMBER(FIND(CELL("contents"),$C$2:$C$4852)),ROW($C$2:$C$4852),4^8),ROW(C4368)))&amp;""</f>
        <v>#N/A</v>
      </c>
    </row>
    <row r="4369" ht="14.100000000000001" customHeight="1">
      <c r="B4369" s="8" t="s">
        <v>8868</v>
      </c>
      <c r="C4369" s="8" t="s">
        <v>8869</v>
      </c>
      <c r="D4369" s="8" t="s">
        <v>8868</v>
      </c>
      <c r="E4369" s="20" t="e">
        <f t="array" ref="E4369">INDEX(C:C,SMALL(IF(ISNUMBER(FIND(CELL("contents"),$C$2:$C$4852)),ROW($C$2:$C$4852),4^8),ROW(C4369)))&amp;""</f>
        <v>#N/A</v>
      </c>
    </row>
    <row r="4370" ht="14.100000000000001" customHeight="1">
      <c r="B4370" s="8" t="s">
        <v>8870</v>
      </c>
      <c r="C4370" s="8" t="s">
        <v>8871</v>
      </c>
      <c r="D4370" s="8" t="s">
        <v>8870</v>
      </c>
      <c r="E4370" s="20" t="e">
        <f t="array" ref="E4370">INDEX(C:C,SMALL(IF(ISNUMBER(FIND(CELL("contents"),$C$2:$C$4852)),ROW($C$2:$C$4852),4^8),ROW(C4370)))&amp;""</f>
        <v>#N/A</v>
      </c>
    </row>
    <row r="4371" ht="14.100000000000001" customHeight="1">
      <c r="B4371" s="8" t="s">
        <v>8872</v>
      </c>
      <c r="C4371" s="8" t="s">
        <v>8873</v>
      </c>
      <c r="D4371" s="8" t="s">
        <v>8872</v>
      </c>
      <c r="E4371" s="20" t="e">
        <f t="array" ref="E4371">INDEX(C:C,SMALL(IF(ISNUMBER(FIND(CELL("contents"),$C$2:$C$4852)),ROW($C$2:$C$4852),4^8),ROW(C4371)))&amp;""</f>
        <v>#N/A</v>
      </c>
    </row>
    <row r="4372" ht="14.100000000000001" customHeight="1">
      <c r="B4372" s="8" t="s">
        <v>8874</v>
      </c>
      <c r="C4372" s="8" t="s">
        <v>8875</v>
      </c>
      <c r="D4372" s="8" t="s">
        <v>8874</v>
      </c>
      <c r="E4372" s="20" t="e">
        <f t="array" ref="E4372">INDEX(C:C,SMALL(IF(ISNUMBER(FIND(CELL("contents"),$C$2:$C$4852)),ROW($C$2:$C$4852),4^8),ROW(C4372)))&amp;""</f>
        <v>#N/A</v>
      </c>
    </row>
    <row r="4373" ht="14.100000000000001" customHeight="1">
      <c r="B4373" s="8" t="s">
        <v>8876</v>
      </c>
      <c r="C4373" s="8" t="s">
        <v>8877</v>
      </c>
      <c r="D4373" s="8" t="s">
        <v>8876</v>
      </c>
      <c r="E4373" s="20" t="e">
        <f t="array" ref="E4373">INDEX(C:C,SMALL(IF(ISNUMBER(FIND(CELL("contents"),$C$2:$C$4852)),ROW($C$2:$C$4852),4^8),ROW(C4373)))&amp;""</f>
        <v>#N/A</v>
      </c>
    </row>
    <row r="4374" ht="14.100000000000001" customHeight="1">
      <c r="B4374" s="8" t="s">
        <v>8878</v>
      </c>
      <c r="C4374" s="8" t="s">
        <v>8879</v>
      </c>
      <c r="D4374" s="8" t="s">
        <v>8878</v>
      </c>
      <c r="E4374" s="20" t="e">
        <f t="array" ref="E4374">INDEX(C:C,SMALL(IF(ISNUMBER(FIND(CELL("contents"),$C$2:$C$4852)),ROW($C$2:$C$4852),4^8),ROW(C4374)))&amp;""</f>
        <v>#N/A</v>
      </c>
    </row>
    <row r="4375" ht="14.100000000000001" customHeight="1">
      <c r="B4375" s="8" t="s">
        <v>8880</v>
      </c>
      <c r="C4375" s="8" t="s">
        <v>8881</v>
      </c>
      <c r="D4375" s="8" t="s">
        <v>8880</v>
      </c>
      <c r="E4375" s="20" t="e">
        <f t="array" ref="E4375">INDEX(C:C,SMALL(IF(ISNUMBER(FIND(CELL("contents"),$C$2:$C$4852)),ROW($C$2:$C$4852),4^8),ROW(C4375)))&amp;""</f>
        <v>#N/A</v>
      </c>
    </row>
    <row r="4376" ht="14.100000000000001" customHeight="1">
      <c r="B4376" s="8" t="s">
        <v>8882</v>
      </c>
      <c r="C4376" s="8" t="s">
        <v>8883</v>
      </c>
      <c r="D4376" s="8" t="s">
        <v>8882</v>
      </c>
      <c r="E4376" s="20" t="e">
        <f t="array" ref="E4376">INDEX(C:C,SMALL(IF(ISNUMBER(FIND(CELL("contents"),$C$2:$C$4852)),ROW($C$2:$C$4852),4^8),ROW(C4376)))&amp;""</f>
        <v>#N/A</v>
      </c>
    </row>
    <row r="4377" ht="14.100000000000001" customHeight="1">
      <c r="B4377" s="8" t="s">
        <v>8884</v>
      </c>
      <c r="C4377" s="8" t="s">
        <v>8885</v>
      </c>
      <c r="D4377" s="8" t="s">
        <v>8884</v>
      </c>
      <c r="E4377" s="20" t="e">
        <f t="array" ref="E4377">INDEX(C:C,SMALL(IF(ISNUMBER(FIND(CELL("contents"),$C$2:$C$4852)),ROW($C$2:$C$4852),4^8),ROW(C4377)))&amp;""</f>
        <v>#N/A</v>
      </c>
    </row>
    <row r="4378" ht="14.100000000000001" customHeight="1">
      <c r="B4378" s="8" t="s">
        <v>8886</v>
      </c>
      <c r="C4378" s="8" t="s">
        <v>8887</v>
      </c>
      <c r="D4378" s="8" t="s">
        <v>8886</v>
      </c>
      <c r="E4378" s="20" t="e">
        <f t="array" ref="E4378">INDEX(C:C,SMALL(IF(ISNUMBER(FIND(CELL("contents"),$C$2:$C$4852)),ROW($C$2:$C$4852),4^8),ROW(C4378)))&amp;""</f>
        <v>#N/A</v>
      </c>
    </row>
    <row r="4379" ht="14.100000000000001" customHeight="1">
      <c r="B4379" s="8" t="s">
        <v>8888</v>
      </c>
      <c r="C4379" s="8" t="s">
        <v>8889</v>
      </c>
      <c r="D4379" s="8" t="s">
        <v>8888</v>
      </c>
      <c r="E4379" s="20" t="e">
        <f t="array" ref="E4379">INDEX(C:C,SMALL(IF(ISNUMBER(FIND(CELL("contents"),$C$2:$C$4852)),ROW($C$2:$C$4852),4^8),ROW(C4379)))&amp;""</f>
        <v>#N/A</v>
      </c>
    </row>
    <row r="4380" ht="14.100000000000001" customHeight="1">
      <c r="B4380" s="8" t="s">
        <v>8890</v>
      </c>
      <c r="C4380" s="8" t="s">
        <v>8891</v>
      </c>
      <c r="D4380" s="8" t="s">
        <v>8890</v>
      </c>
      <c r="E4380" s="20" t="e">
        <f t="array" ref="E4380">INDEX(C:C,SMALL(IF(ISNUMBER(FIND(CELL("contents"),$C$2:$C$4852)),ROW($C$2:$C$4852),4^8),ROW(C4380)))&amp;""</f>
        <v>#N/A</v>
      </c>
    </row>
    <row r="4381" ht="14.100000000000001" customHeight="1">
      <c r="B4381" s="8" t="s">
        <v>8892</v>
      </c>
      <c r="C4381" s="8" t="s">
        <v>8893</v>
      </c>
      <c r="D4381" s="8" t="s">
        <v>8892</v>
      </c>
      <c r="E4381" s="20" t="e">
        <f t="array" ref="E4381">INDEX(C:C,SMALL(IF(ISNUMBER(FIND(CELL("contents"),$C$2:$C$4852)),ROW($C$2:$C$4852),4^8),ROW(C4381)))&amp;""</f>
        <v>#N/A</v>
      </c>
    </row>
    <row r="4382" ht="14.100000000000001" customHeight="1">
      <c r="B4382" s="8" t="s">
        <v>8894</v>
      </c>
      <c r="C4382" s="8" t="s">
        <v>8895</v>
      </c>
      <c r="D4382" s="8" t="s">
        <v>8894</v>
      </c>
      <c r="E4382" s="20" t="e">
        <f t="array" ref="E4382">INDEX(C:C,SMALL(IF(ISNUMBER(FIND(CELL("contents"),$C$2:$C$4852)),ROW($C$2:$C$4852),4^8),ROW(C4382)))&amp;""</f>
        <v>#N/A</v>
      </c>
    </row>
    <row r="4383" ht="14.100000000000001" customHeight="1">
      <c r="B4383" s="8" t="s">
        <v>8896</v>
      </c>
      <c r="C4383" s="8" t="s">
        <v>8897</v>
      </c>
      <c r="D4383" s="8" t="s">
        <v>8896</v>
      </c>
      <c r="E4383" s="20" t="e">
        <f t="array" ref="E4383">INDEX(C:C,SMALL(IF(ISNUMBER(FIND(CELL("contents"),$C$2:$C$4852)),ROW($C$2:$C$4852),4^8),ROW(C4383)))&amp;""</f>
        <v>#N/A</v>
      </c>
    </row>
    <row r="4384" ht="14.100000000000001" customHeight="1">
      <c r="B4384" s="8" t="s">
        <v>8898</v>
      </c>
      <c r="C4384" s="8" t="s">
        <v>8899</v>
      </c>
      <c r="D4384" s="8" t="s">
        <v>8898</v>
      </c>
      <c r="E4384" s="20" t="e">
        <f t="array" ref="E4384">INDEX(C:C,SMALL(IF(ISNUMBER(FIND(CELL("contents"),$C$2:$C$4852)),ROW($C$2:$C$4852),4^8),ROW(C4384)))&amp;""</f>
        <v>#N/A</v>
      </c>
    </row>
    <row r="4385" ht="14.100000000000001" customHeight="1">
      <c r="B4385" s="8" t="s">
        <v>8900</v>
      </c>
      <c r="C4385" s="8" t="s">
        <v>8901</v>
      </c>
      <c r="D4385" s="8" t="s">
        <v>8900</v>
      </c>
      <c r="E4385" s="20" t="e">
        <f t="array" ref="E4385">INDEX(C:C,SMALL(IF(ISNUMBER(FIND(CELL("contents"),$C$2:$C$4852)),ROW($C$2:$C$4852),4^8),ROW(C4385)))&amp;""</f>
        <v>#N/A</v>
      </c>
    </row>
    <row r="4386" ht="14.100000000000001" customHeight="1">
      <c r="B4386" s="8" t="s">
        <v>8902</v>
      </c>
      <c r="C4386" s="8" t="s">
        <v>8903</v>
      </c>
      <c r="D4386" s="8" t="s">
        <v>8902</v>
      </c>
      <c r="E4386" s="20" t="e">
        <f t="array" ref="E4386">INDEX(C:C,SMALL(IF(ISNUMBER(FIND(CELL("contents"),$C$2:$C$4852)),ROW($C$2:$C$4852),4^8),ROW(C4386)))&amp;""</f>
        <v>#N/A</v>
      </c>
    </row>
    <row r="4387" ht="14.100000000000001" customHeight="1">
      <c r="B4387" s="8" t="s">
        <v>8904</v>
      </c>
      <c r="C4387" s="8" t="s">
        <v>8905</v>
      </c>
      <c r="D4387" s="8" t="s">
        <v>8904</v>
      </c>
      <c r="E4387" s="20" t="e">
        <f t="array" ref="E4387">INDEX(C:C,SMALL(IF(ISNUMBER(FIND(CELL("contents"),$C$2:$C$4852)),ROW($C$2:$C$4852),4^8),ROW(C4387)))&amp;""</f>
        <v>#N/A</v>
      </c>
    </row>
    <row r="4388" ht="14.100000000000001" customHeight="1">
      <c r="B4388" s="8" t="s">
        <v>8906</v>
      </c>
      <c r="C4388" s="8" t="s">
        <v>8907</v>
      </c>
      <c r="D4388" s="8" t="s">
        <v>8906</v>
      </c>
      <c r="E4388" s="20" t="e">
        <f t="array" ref="E4388">INDEX(C:C,SMALL(IF(ISNUMBER(FIND(CELL("contents"),$C$2:$C$4852)),ROW($C$2:$C$4852),4^8),ROW(C4388)))&amp;""</f>
        <v>#N/A</v>
      </c>
    </row>
    <row r="4389" ht="14.100000000000001" customHeight="1">
      <c r="B4389" s="8" t="s">
        <v>8908</v>
      </c>
      <c r="C4389" s="8" t="s">
        <v>8909</v>
      </c>
      <c r="D4389" s="8" t="s">
        <v>8908</v>
      </c>
      <c r="E4389" s="20" t="e">
        <f t="array" ref="E4389">INDEX(C:C,SMALL(IF(ISNUMBER(FIND(CELL("contents"),$C$2:$C$4852)),ROW($C$2:$C$4852),4^8),ROW(C4389)))&amp;""</f>
        <v>#N/A</v>
      </c>
    </row>
    <row r="4390" ht="14.100000000000001" customHeight="1">
      <c r="B4390" s="8" t="s">
        <v>8910</v>
      </c>
      <c r="C4390" s="8" t="s">
        <v>8911</v>
      </c>
      <c r="D4390" s="8" t="s">
        <v>8910</v>
      </c>
      <c r="E4390" s="20" t="e">
        <f t="array" ref="E4390">INDEX(C:C,SMALL(IF(ISNUMBER(FIND(CELL("contents"),$C$2:$C$4852)),ROW($C$2:$C$4852),4^8),ROW(C4390)))&amp;""</f>
        <v>#N/A</v>
      </c>
    </row>
    <row r="4391" ht="14.100000000000001" customHeight="1">
      <c r="B4391" s="8" t="s">
        <v>8912</v>
      </c>
      <c r="C4391" s="8" t="s">
        <v>8913</v>
      </c>
      <c r="D4391" s="8" t="s">
        <v>8912</v>
      </c>
      <c r="E4391" s="20" t="e">
        <f t="array" ref="E4391">INDEX(C:C,SMALL(IF(ISNUMBER(FIND(CELL("contents"),$C$2:$C$4852)),ROW($C$2:$C$4852),4^8),ROW(C4391)))&amp;""</f>
        <v>#N/A</v>
      </c>
    </row>
    <row r="4392" ht="14.100000000000001" customHeight="1">
      <c r="B4392" s="19" t="s">
        <v>8914</v>
      </c>
      <c r="C4392" s="19" t="s">
        <v>8915</v>
      </c>
      <c r="D4392" s="19" t="s">
        <v>8914</v>
      </c>
      <c r="E4392" s="20" t="e">
        <f t="array" ref="E4392">INDEX(C:C,SMALL(IF(ISNUMBER(FIND(CELL("contents"),$C$2:$C$4852)),ROW($C$2:$C$4852),4^8),ROW(C4392)))&amp;""</f>
        <v>#N/A</v>
      </c>
    </row>
    <row r="4393" ht="14.100000000000001" customHeight="1">
      <c r="B4393" s="19" t="s">
        <v>8916</v>
      </c>
      <c r="C4393" s="19" t="s">
        <v>8917</v>
      </c>
      <c r="D4393" s="19" t="s">
        <v>8916</v>
      </c>
      <c r="E4393" s="20" t="e">
        <f t="array" ref="E4393">INDEX(C:C,SMALL(IF(ISNUMBER(FIND(CELL("contents"),$C$2:$C$4852)),ROW($C$2:$C$4852),4^8),ROW(C4393)))&amp;""</f>
        <v>#N/A</v>
      </c>
    </row>
    <row r="4394" ht="14.100000000000001" customHeight="1">
      <c r="B4394" s="19" t="s">
        <v>8918</v>
      </c>
      <c r="C4394" s="19" t="s">
        <v>8919</v>
      </c>
      <c r="D4394" s="19" t="s">
        <v>8918</v>
      </c>
      <c r="E4394" s="20" t="e">
        <f t="array" ref="E4394">INDEX(C:C,SMALL(IF(ISNUMBER(FIND(CELL("contents"),$C$2:$C$4852)),ROW($C$2:$C$4852),4^8),ROW(C4394)))&amp;""</f>
        <v>#N/A</v>
      </c>
    </row>
    <row r="4395" ht="14.100000000000001" customHeight="1">
      <c r="B4395" s="19" t="s">
        <v>8920</v>
      </c>
      <c r="C4395" s="19" t="s">
        <v>8921</v>
      </c>
      <c r="D4395" s="19" t="s">
        <v>8920</v>
      </c>
      <c r="E4395" s="20" t="e">
        <f t="array" ref="E4395">INDEX(C:C,SMALL(IF(ISNUMBER(FIND(CELL("contents"),$C$2:$C$4852)),ROW($C$2:$C$4852),4^8),ROW(C4395)))&amp;""</f>
        <v>#N/A</v>
      </c>
    </row>
    <row r="4396" ht="14.100000000000001" customHeight="1">
      <c r="B4396" s="19" t="s">
        <v>8922</v>
      </c>
      <c r="C4396" s="19" t="s">
        <v>8923</v>
      </c>
      <c r="D4396" s="19" t="s">
        <v>8922</v>
      </c>
      <c r="E4396" s="20" t="e">
        <f t="array" ref="E4396">INDEX(C:C,SMALL(IF(ISNUMBER(FIND(CELL("contents"),$C$2:$C$4852)),ROW($C$2:$C$4852),4^8),ROW(C4396)))&amp;""</f>
        <v>#N/A</v>
      </c>
    </row>
    <row r="4397" ht="14.100000000000001" customHeight="1">
      <c r="B4397" s="19" t="s">
        <v>8924</v>
      </c>
      <c r="C4397" s="19" t="s">
        <v>8925</v>
      </c>
      <c r="D4397" s="19" t="s">
        <v>8924</v>
      </c>
      <c r="E4397" s="20" t="e">
        <f t="array" ref="E4397">INDEX(C:C,SMALL(IF(ISNUMBER(FIND(CELL("contents"),$C$2:$C$4852)),ROW($C$2:$C$4852),4^8),ROW(C4397)))&amp;""</f>
        <v>#N/A</v>
      </c>
    </row>
    <row r="4398" ht="14.100000000000001" customHeight="1">
      <c r="B4398" s="19" t="s">
        <v>8926</v>
      </c>
      <c r="C4398" s="19" t="s">
        <v>8927</v>
      </c>
      <c r="D4398" s="19" t="s">
        <v>8926</v>
      </c>
      <c r="E4398" s="20" t="e">
        <f t="array" ref="E4398">INDEX(C:C,SMALL(IF(ISNUMBER(FIND(CELL("contents"),$C$2:$C$4852)),ROW($C$2:$C$4852),4^8),ROW(C4398)))&amp;""</f>
        <v>#N/A</v>
      </c>
    </row>
    <row r="4399" ht="14.100000000000001" customHeight="1">
      <c r="B4399" s="19" t="s">
        <v>8928</v>
      </c>
      <c r="C4399" s="19" t="s">
        <v>8929</v>
      </c>
      <c r="D4399" s="19" t="s">
        <v>8928</v>
      </c>
      <c r="E4399" s="20" t="e">
        <f t="array" ref="E4399">INDEX(C:C,SMALL(IF(ISNUMBER(FIND(CELL("contents"),$C$2:$C$4852)),ROW($C$2:$C$4852),4^8),ROW(C4399)))&amp;""</f>
        <v>#N/A</v>
      </c>
    </row>
    <row r="4400" ht="14.100000000000001" customHeight="1">
      <c r="B4400" s="19" t="s">
        <v>8930</v>
      </c>
      <c r="C4400" s="19" t="s">
        <v>8931</v>
      </c>
      <c r="D4400" s="19" t="s">
        <v>8930</v>
      </c>
      <c r="E4400" s="20" t="e">
        <f t="array" ref="E4400">INDEX(C:C,SMALL(IF(ISNUMBER(FIND(CELL("contents"),$C$2:$C$4852)),ROW($C$2:$C$4852),4^8),ROW(C4400)))&amp;""</f>
        <v>#N/A</v>
      </c>
    </row>
    <row r="4401" ht="14.100000000000001" customHeight="1">
      <c r="B4401" s="19" t="s">
        <v>8932</v>
      </c>
      <c r="C4401" s="19" t="s">
        <v>8933</v>
      </c>
      <c r="D4401" s="19" t="s">
        <v>8932</v>
      </c>
      <c r="E4401" s="20" t="e">
        <f t="array" ref="E4401">INDEX(C:C,SMALL(IF(ISNUMBER(FIND(CELL("contents"),$C$2:$C$4852)),ROW($C$2:$C$4852),4^8),ROW(C4401)))&amp;""</f>
        <v>#N/A</v>
      </c>
    </row>
    <row r="4402" ht="14.100000000000001" customHeight="1">
      <c r="B4402" s="19" t="s">
        <v>8934</v>
      </c>
      <c r="C4402" s="19" t="s">
        <v>8935</v>
      </c>
      <c r="D4402" s="19" t="s">
        <v>8934</v>
      </c>
      <c r="E4402" s="20" t="e">
        <f t="array" ref="E4402">INDEX(C:C,SMALL(IF(ISNUMBER(FIND(CELL("contents"),$C$2:$C$4852)),ROW($C$2:$C$4852),4^8),ROW(C4402)))&amp;""</f>
        <v>#N/A</v>
      </c>
    </row>
    <row r="4403" ht="14.100000000000001" customHeight="1">
      <c r="B4403" s="19" t="s">
        <v>8936</v>
      </c>
      <c r="C4403" s="19" t="s">
        <v>8937</v>
      </c>
      <c r="D4403" s="19" t="s">
        <v>8936</v>
      </c>
      <c r="E4403" s="20" t="e">
        <f t="array" ref="E4403">INDEX(C:C,SMALL(IF(ISNUMBER(FIND(CELL("contents"),$C$2:$C$4852)),ROW($C$2:$C$4852),4^8),ROW(C4403)))&amp;""</f>
        <v>#N/A</v>
      </c>
    </row>
    <row r="4404" ht="14.100000000000001" customHeight="1">
      <c r="B4404" s="19" t="s">
        <v>8938</v>
      </c>
      <c r="C4404" s="19" t="s">
        <v>8939</v>
      </c>
      <c r="D4404" s="19" t="s">
        <v>8938</v>
      </c>
      <c r="E4404" s="20" t="e">
        <f t="array" ref="E4404">INDEX(C:C,SMALL(IF(ISNUMBER(FIND(CELL("contents"),$C$2:$C$4852)),ROW($C$2:$C$4852),4^8),ROW(C4404)))&amp;""</f>
        <v>#N/A</v>
      </c>
    </row>
    <row r="4405" ht="14.100000000000001" customHeight="1">
      <c r="B4405" s="19" t="s">
        <v>8940</v>
      </c>
      <c r="C4405" s="19" t="s">
        <v>8941</v>
      </c>
      <c r="D4405" s="19" t="s">
        <v>8940</v>
      </c>
      <c r="E4405" s="20" t="e">
        <f t="array" ref="E4405">INDEX(C:C,SMALL(IF(ISNUMBER(FIND(CELL("contents"),$C$2:$C$4852)),ROW($C$2:$C$4852),4^8),ROW(C4405)))&amp;""</f>
        <v>#N/A</v>
      </c>
    </row>
    <row r="4406" ht="14.100000000000001" customHeight="1">
      <c r="B4406" s="19" t="s">
        <v>8942</v>
      </c>
      <c r="C4406" s="19" t="s">
        <v>8943</v>
      </c>
      <c r="D4406" s="19" t="s">
        <v>8942</v>
      </c>
      <c r="E4406" s="20" t="e">
        <f t="array" ref="E4406">INDEX(C:C,SMALL(IF(ISNUMBER(FIND(CELL("contents"),$C$2:$C$4852)),ROW($C$2:$C$4852),4^8),ROW(C4406)))&amp;""</f>
        <v>#N/A</v>
      </c>
    </row>
    <row r="4407" ht="14.100000000000001" customHeight="1">
      <c r="B4407" s="19" t="s">
        <v>8944</v>
      </c>
      <c r="C4407" s="19" t="s">
        <v>8945</v>
      </c>
      <c r="D4407" s="19" t="s">
        <v>8944</v>
      </c>
      <c r="E4407" s="20" t="e">
        <f t="array" ref="E4407">INDEX(C:C,SMALL(IF(ISNUMBER(FIND(CELL("contents"),$C$2:$C$4852)),ROW($C$2:$C$4852),4^8),ROW(C4407)))&amp;""</f>
        <v>#N/A</v>
      </c>
    </row>
    <row r="4408" ht="14.100000000000001" customHeight="1">
      <c r="B4408" s="19" t="s">
        <v>8946</v>
      </c>
      <c r="C4408" s="19" t="s">
        <v>8947</v>
      </c>
      <c r="D4408" s="19" t="s">
        <v>8946</v>
      </c>
      <c r="E4408" s="20" t="e">
        <f t="array" ref="E4408">INDEX(C:C,SMALL(IF(ISNUMBER(FIND(CELL("contents"),$C$2:$C$4852)),ROW($C$2:$C$4852),4^8),ROW(C4408)))&amp;""</f>
        <v>#N/A</v>
      </c>
    </row>
    <row r="4409" ht="14.100000000000001" customHeight="1">
      <c r="B4409" s="19" t="s">
        <v>8948</v>
      </c>
      <c r="C4409" s="19" t="s">
        <v>8949</v>
      </c>
      <c r="D4409" s="19" t="s">
        <v>8948</v>
      </c>
      <c r="E4409" s="20" t="e">
        <f t="array" ref="E4409">INDEX(C:C,SMALL(IF(ISNUMBER(FIND(CELL("contents"),$C$2:$C$4852)),ROW($C$2:$C$4852),4^8),ROW(C4409)))&amp;""</f>
        <v>#N/A</v>
      </c>
    </row>
    <row r="4410" ht="14.100000000000001" customHeight="1">
      <c r="B4410" s="19" t="s">
        <v>8950</v>
      </c>
      <c r="C4410" s="19" t="s">
        <v>8951</v>
      </c>
      <c r="D4410" s="19" t="s">
        <v>8950</v>
      </c>
      <c r="E4410" s="20" t="e">
        <f t="array" ref="E4410">INDEX(C:C,SMALL(IF(ISNUMBER(FIND(CELL("contents"),$C$2:$C$4852)),ROW($C$2:$C$4852),4^8),ROW(C4410)))&amp;""</f>
        <v>#N/A</v>
      </c>
    </row>
    <row r="4411" ht="14.100000000000001" customHeight="1">
      <c r="B4411" s="19" t="s">
        <v>8952</v>
      </c>
      <c r="C4411" s="19" t="s">
        <v>8953</v>
      </c>
      <c r="D4411" s="19" t="s">
        <v>8952</v>
      </c>
      <c r="E4411" s="20" t="e">
        <f t="array" ref="E4411">INDEX(C:C,SMALL(IF(ISNUMBER(FIND(CELL("contents"),$C$2:$C$4852)),ROW($C$2:$C$4852),4^8),ROW(C4411)))&amp;""</f>
        <v>#N/A</v>
      </c>
    </row>
    <row r="4412" ht="14.100000000000001" customHeight="1">
      <c r="B4412" s="19" t="s">
        <v>8954</v>
      </c>
      <c r="C4412" s="19" t="s">
        <v>8955</v>
      </c>
      <c r="D4412" s="19" t="s">
        <v>8954</v>
      </c>
      <c r="E4412" s="20" t="e">
        <f t="array" ref="E4412">INDEX(C:C,SMALL(IF(ISNUMBER(FIND(CELL("contents"),$C$2:$C$4852)),ROW($C$2:$C$4852),4^8),ROW(C4412)))&amp;""</f>
        <v>#N/A</v>
      </c>
    </row>
    <row r="4413" ht="14.100000000000001" customHeight="1">
      <c r="B4413" s="19" t="s">
        <v>8956</v>
      </c>
      <c r="C4413" s="19" t="s">
        <v>8957</v>
      </c>
      <c r="D4413" s="19" t="s">
        <v>8956</v>
      </c>
      <c r="E4413" s="20" t="e">
        <f t="array" ref="E4413">INDEX(C:C,SMALL(IF(ISNUMBER(FIND(CELL("contents"),$C$2:$C$4852)),ROW($C$2:$C$4852),4^8),ROW(C4413)))&amp;""</f>
        <v>#N/A</v>
      </c>
    </row>
    <row r="4414" ht="14.100000000000001" customHeight="1">
      <c r="B4414" s="19" t="s">
        <v>8958</v>
      </c>
      <c r="C4414" s="19" t="s">
        <v>8959</v>
      </c>
      <c r="D4414" s="19" t="s">
        <v>8958</v>
      </c>
      <c r="E4414" s="20" t="e">
        <f t="array" ref="E4414">INDEX(C:C,SMALL(IF(ISNUMBER(FIND(CELL("contents"),$C$2:$C$4852)),ROW($C$2:$C$4852),4^8),ROW(C4414)))&amp;""</f>
        <v>#N/A</v>
      </c>
    </row>
    <row r="4415" ht="14.100000000000001" customHeight="1">
      <c r="B4415" s="19" t="s">
        <v>8960</v>
      </c>
      <c r="C4415" s="19" t="s">
        <v>8961</v>
      </c>
      <c r="D4415" s="19" t="s">
        <v>8960</v>
      </c>
      <c r="E4415" s="20" t="e">
        <f t="array" ref="E4415">INDEX(C:C,SMALL(IF(ISNUMBER(FIND(CELL("contents"),$C$2:$C$4852)),ROW($C$2:$C$4852),4^8),ROW(C4415)))&amp;""</f>
        <v>#N/A</v>
      </c>
    </row>
    <row r="4416" ht="14.100000000000001" customHeight="1">
      <c r="B4416" s="19" t="s">
        <v>8962</v>
      </c>
      <c r="C4416" s="19" t="s">
        <v>8963</v>
      </c>
      <c r="D4416" s="19" t="s">
        <v>8962</v>
      </c>
      <c r="E4416" s="20" t="e">
        <f t="array" ref="E4416">INDEX(C:C,SMALL(IF(ISNUMBER(FIND(CELL("contents"),$C$2:$C$4852)),ROW($C$2:$C$4852),4^8),ROW(C4416)))&amp;""</f>
        <v>#N/A</v>
      </c>
    </row>
    <row r="4417" ht="14.100000000000001" customHeight="1">
      <c r="B4417" s="19" t="s">
        <v>8964</v>
      </c>
      <c r="C4417" s="19" t="s">
        <v>8965</v>
      </c>
      <c r="D4417" s="19" t="s">
        <v>8964</v>
      </c>
      <c r="E4417" s="20" t="e">
        <f t="array" ref="E4417">INDEX(C:C,SMALL(IF(ISNUMBER(FIND(CELL("contents"),$C$2:$C$4852)),ROW($C$2:$C$4852),4^8),ROW(C4417)))&amp;""</f>
        <v>#N/A</v>
      </c>
    </row>
    <row r="4418" ht="14.100000000000001" customHeight="1">
      <c r="B4418" s="19" t="s">
        <v>8966</v>
      </c>
      <c r="C4418" s="19" t="s">
        <v>8967</v>
      </c>
      <c r="D4418" s="19" t="s">
        <v>8966</v>
      </c>
      <c r="E4418" s="20" t="e">
        <f t="array" ref="E4418">INDEX(C:C,SMALL(IF(ISNUMBER(FIND(CELL("contents"),$C$2:$C$4852)),ROW($C$2:$C$4852),4^8),ROW(C4418)))&amp;""</f>
        <v>#N/A</v>
      </c>
    </row>
    <row r="4419" ht="14.100000000000001" customHeight="1">
      <c r="B4419" s="19" t="s">
        <v>8968</v>
      </c>
      <c r="C4419" s="19" t="s">
        <v>8969</v>
      </c>
      <c r="D4419" s="19" t="s">
        <v>8968</v>
      </c>
      <c r="E4419" s="20" t="e">
        <f t="array" ref="E4419">INDEX(C:C,SMALL(IF(ISNUMBER(FIND(CELL("contents"),$C$2:$C$4852)),ROW($C$2:$C$4852),4^8),ROW(C4419)))&amp;""</f>
        <v>#N/A</v>
      </c>
    </row>
    <row r="4420" ht="14.100000000000001" customHeight="1">
      <c r="B4420" s="19" t="s">
        <v>8970</v>
      </c>
      <c r="C4420" s="19" t="s">
        <v>8971</v>
      </c>
      <c r="D4420" s="19" t="s">
        <v>8970</v>
      </c>
      <c r="E4420" s="20" t="e">
        <f t="array" ref="E4420">INDEX(C:C,SMALL(IF(ISNUMBER(FIND(CELL("contents"),$C$2:$C$4852)),ROW($C$2:$C$4852),4^8),ROW(C4420)))&amp;""</f>
        <v>#N/A</v>
      </c>
    </row>
    <row r="4421" ht="14.100000000000001" customHeight="1">
      <c r="B4421" s="19" t="s">
        <v>8972</v>
      </c>
      <c r="C4421" s="19" t="s">
        <v>8973</v>
      </c>
      <c r="D4421" s="19" t="s">
        <v>8972</v>
      </c>
      <c r="E4421" s="20" t="e">
        <f t="array" ref="E4421">INDEX(C:C,SMALL(IF(ISNUMBER(FIND(CELL("contents"),$C$2:$C$4852)),ROW($C$2:$C$4852),4^8),ROW(C4421)))&amp;""</f>
        <v>#N/A</v>
      </c>
    </row>
    <row r="4422" ht="14.100000000000001" customHeight="1">
      <c r="B4422" s="19" t="s">
        <v>8974</v>
      </c>
      <c r="C4422" s="19" t="s">
        <v>8975</v>
      </c>
      <c r="D4422" s="19" t="s">
        <v>8974</v>
      </c>
      <c r="E4422" s="20" t="e">
        <f t="array" ref="E4422">INDEX(C:C,SMALL(IF(ISNUMBER(FIND(CELL("contents"),$C$2:$C$4852)),ROW($C$2:$C$4852),4^8),ROW(C4422)))&amp;""</f>
        <v>#N/A</v>
      </c>
    </row>
    <row r="4423" ht="14.100000000000001" customHeight="1">
      <c r="B4423" s="19" t="s">
        <v>8976</v>
      </c>
      <c r="C4423" s="19" t="s">
        <v>8977</v>
      </c>
      <c r="D4423" s="19" t="s">
        <v>8976</v>
      </c>
      <c r="E4423" s="20" t="e">
        <f t="array" ref="E4423">INDEX(C:C,SMALL(IF(ISNUMBER(FIND(CELL("contents"),$C$2:$C$4852)),ROW($C$2:$C$4852),4^8),ROW(C4423)))&amp;""</f>
        <v>#N/A</v>
      </c>
    </row>
    <row r="4424" ht="14.100000000000001" customHeight="1">
      <c r="B4424" s="19" t="s">
        <v>8978</v>
      </c>
      <c r="C4424" s="19" t="s">
        <v>8979</v>
      </c>
      <c r="D4424" s="19" t="s">
        <v>8978</v>
      </c>
      <c r="E4424" s="20" t="e">
        <f t="array" ref="E4424">INDEX(C:C,SMALL(IF(ISNUMBER(FIND(CELL("contents"),$C$2:$C$4852)),ROW($C$2:$C$4852),4^8),ROW(C4424)))&amp;""</f>
        <v>#N/A</v>
      </c>
    </row>
    <row r="4425" ht="14.100000000000001" customHeight="1">
      <c r="B4425" s="19" t="s">
        <v>8980</v>
      </c>
      <c r="C4425" s="19" t="s">
        <v>8981</v>
      </c>
      <c r="D4425" s="19" t="s">
        <v>8980</v>
      </c>
      <c r="E4425" s="20" t="e">
        <f t="array" ref="E4425">INDEX(C:C,SMALL(IF(ISNUMBER(FIND(CELL("contents"),$C$2:$C$4852)),ROW($C$2:$C$4852),4^8),ROW(C4425)))&amp;""</f>
        <v>#N/A</v>
      </c>
    </row>
    <row r="4426" ht="14.100000000000001" customHeight="1">
      <c r="B4426" s="19" t="s">
        <v>8982</v>
      </c>
      <c r="C4426" s="19" t="s">
        <v>8983</v>
      </c>
      <c r="D4426" s="19" t="s">
        <v>8982</v>
      </c>
      <c r="E4426" s="20" t="e">
        <f t="array" ref="E4426">INDEX(C:C,SMALL(IF(ISNUMBER(FIND(CELL("contents"),$C$2:$C$4852)),ROW($C$2:$C$4852),4^8),ROW(C4426)))&amp;""</f>
        <v>#N/A</v>
      </c>
    </row>
    <row r="4427" ht="14.100000000000001" customHeight="1">
      <c r="B4427" s="19" t="s">
        <v>8984</v>
      </c>
      <c r="C4427" s="19" t="s">
        <v>8985</v>
      </c>
      <c r="D4427" s="19" t="s">
        <v>8984</v>
      </c>
      <c r="E4427" s="20" t="e">
        <f t="array" ref="E4427">INDEX(C:C,SMALL(IF(ISNUMBER(FIND(CELL("contents"),$C$2:$C$4852)),ROW($C$2:$C$4852),4^8),ROW(C4427)))&amp;""</f>
        <v>#N/A</v>
      </c>
    </row>
    <row r="4428" ht="14.100000000000001" customHeight="1">
      <c r="B4428" s="19" t="s">
        <v>8986</v>
      </c>
      <c r="C4428" s="19" t="s">
        <v>8987</v>
      </c>
      <c r="D4428" s="19" t="s">
        <v>8986</v>
      </c>
      <c r="E4428" s="20" t="e">
        <f t="array" ref="E4428">INDEX(C:C,SMALL(IF(ISNUMBER(FIND(CELL("contents"),$C$2:$C$4852)),ROW($C$2:$C$4852),4^8),ROW(C4428)))&amp;""</f>
        <v>#N/A</v>
      </c>
    </row>
    <row r="4429" ht="14.100000000000001" customHeight="1">
      <c r="B4429" s="19" t="s">
        <v>8988</v>
      </c>
      <c r="C4429" s="19" t="s">
        <v>8989</v>
      </c>
      <c r="D4429" s="19" t="s">
        <v>8988</v>
      </c>
      <c r="E4429" s="20" t="e">
        <f t="array" ref="E4429">INDEX(C:C,SMALL(IF(ISNUMBER(FIND(CELL("contents"),$C$2:$C$4852)),ROW($C$2:$C$4852),4^8),ROW(C4429)))&amp;""</f>
        <v>#N/A</v>
      </c>
    </row>
    <row r="4430" ht="14.100000000000001" customHeight="1">
      <c r="B4430" s="19" t="s">
        <v>8990</v>
      </c>
      <c r="C4430" s="19" t="s">
        <v>8991</v>
      </c>
      <c r="D4430" s="19" t="s">
        <v>8990</v>
      </c>
      <c r="E4430" s="20" t="e">
        <f t="array" ref="E4430">INDEX(C:C,SMALL(IF(ISNUMBER(FIND(CELL("contents"),$C$2:$C$4852)),ROW($C$2:$C$4852),4^8),ROW(C4430)))&amp;""</f>
        <v>#N/A</v>
      </c>
    </row>
    <row r="4431" ht="14.100000000000001" customHeight="1">
      <c r="B4431" s="19" t="s">
        <v>8992</v>
      </c>
      <c r="C4431" s="19" t="s">
        <v>8993</v>
      </c>
      <c r="D4431" s="19" t="s">
        <v>8992</v>
      </c>
      <c r="E4431" s="20" t="e">
        <f t="array" ref="E4431">INDEX(C:C,SMALL(IF(ISNUMBER(FIND(CELL("contents"),$C$2:$C$4852)),ROW($C$2:$C$4852),4^8),ROW(C4431)))&amp;""</f>
        <v>#N/A</v>
      </c>
    </row>
    <row r="4432" ht="14.100000000000001" customHeight="1">
      <c r="B4432" s="19" t="s">
        <v>8994</v>
      </c>
      <c r="C4432" s="19" t="s">
        <v>8995</v>
      </c>
      <c r="D4432" s="19" t="s">
        <v>8994</v>
      </c>
      <c r="E4432" s="20" t="e">
        <f t="array" ref="E4432">INDEX(C:C,SMALL(IF(ISNUMBER(FIND(CELL("contents"),$C$2:$C$4852)),ROW($C$2:$C$4852),4^8),ROW(C4432)))&amp;""</f>
        <v>#N/A</v>
      </c>
    </row>
    <row r="4433" ht="14.100000000000001" customHeight="1">
      <c r="B4433" s="19" t="s">
        <v>8996</v>
      </c>
      <c r="C4433" s="19" t="s">
        <v>8997</v>
      </c>
      <c r="D4433" s="19" t="s">
        <v>8996</v>
      </c>
      <c r="E4433" s="20" t="e">
        <f t="array" ref="E4433">INDEX(C:C,SMALL(IF(ISNUMBER(FIND(CELL("contents"),$C$2:$C$4852)),ROW($C$2:$C$4852),4^8),ROW(C4433)))&amp;""</f>
        <v>#N/A</v>
      </c>
    </row>
    <row r="4434" ht="14.100000000000001" customHeight="1">
      <c r="B4434" s="19" t="s">
        <v>8998</v>
      </c>
      <c r="C4434" s="19" t="s">
        <v>8999</v>
      </c>
      <c r="D4434" s="19" t="s">
        <v>8998</v>
      </c>
      <c r="E4434" s="20" t="e">
        <f t="array" ref="E4434">INDEX(C:C,SMALL(IF(ISNUMBER(FIND(CELL("contents"),$C$2:$C$4852)),ROW($C$2:$C$4852),4^8),ROW(C4434)))&amp;""</f>
        <v>#N/A</v>
      </c>
    </row>
    <row r="4435" ht="14.100000000000001" customHeight="1">
      <c r="B4435" s="19" t="s">
        <v>9000</v>
      </c>
      <c r="C4435" s="19" t="s">
        <v>9001</v>
      </c>
      <c r="D4435" s="19" t="s">
        <v>9000</v>
      </c>
      <c r="E4435" s="20" t="e">
        <f t="array" ref="E4435">INDEX(C:C,SMALL(IF(ISNUMBER(FIND(CELL("contents"),$C$2:$C$4852)),ROW($C$2:$C$4852),4^8),ROW(C4435)))&amp;""</f>
        <v>#N/A</v>
      </c>
    </row>
    <row r="4436" ht="14.100000000000001" customHeight="1">
      <c r="B4436" s="19" t="s">
        <v>9002</v>
      </c>
      <c r="C4436" s="19" t="s">
        <v>9003</v>
      </c>
      <c r="D4436" s="19" t="s">
        <v>9002</v>
      </c>
      <c r="E4436" s="20" t="e">
        <f t="array" ref="E4436">INDEX(C:C,SMALL(IF(ISNUMBER(FIND(CELL("contents"),$C$2:$C$4852)),ROW($C$2:$C$4852),4^8),ROW(C4436)))&amp;""</f>
        <v>#N/A</v>
      </c>
    </row>
    <row r="4437" ht="14.100000000000001" customHeight="1">
      <c r="B4437" s="19" t="s">
        <v>9004</v>
      </c>
      <c r="C4437" s="19" t="s">
        <v>9005</v>
      </c>
      <c r="D4437" s="19" t="s">
        <v>9004</v>
      </c>
      <c r="E4437" s="20" t="e">
        <f t="array" ref="E4437">INDEX(C:C,SMALL(IF(ISNUMBER(FIND(CELL("contents"),$C$2:$C$4852)),ROW($C$2:$C$4852),4^8),ROW(C4437)))&amp;""</f>
        <v>#N/A</v>
      </c>
    </row>
    <row r="4438" ht="14.100000000000001" customHeight="1">
      <c r="B4438" s="19" t="s">
        <v>9006</v>
      </c>
      <c r="C4438" s="19" t="s">
        <v>9007</v>
      </c>
      <c r="D4438" s="19" t="s">
        <v>9006</v>
      </c>
      <c r="E4438" s="20" t="e">
        <f t="array" ref="E4438">INDEX(C:C,SMALL(IF(ISNUMBER(FIND(CELL("contents"),$C$2:$C$4852)),ROW($C$2:$C$4852),4^8),ROW(C4438)))&amp;""</f>
        <v>#N/A</v>
      </c>
    </row>
    <row r="4439" ht="14.100000000000001" customHeight="1">
      <c r="B4439" s="19" t="s">
        <v>9008</v>
      </c>
      <c r="C4439" s="19" t="s">
        <v>9009</v>
      </c>
      <c r="D4439" s="19" t="s">
        <v>9008</v>
      </c>
      <c r="E4439" s="20" t="e">
        <f t="array" ref="E4439">INDEX(C:C,SMALL(IF(ISNUMBER(FIND(CELL("contents"),$C$2:$C$4852)),ROW($C$2:$C$4852),4^8),ROW(C4439)))&amp;""</f>
        <v>#N/A</v>
      </c>
    </row>
    <row r="4440" ht="14.100000000000001" customHeight="1">
      <c r="B4440" s="19" t="s">
        <v>9010</v>
      </c>
      <c r="C4440" s="19" t="s">
        <v>9011</v>
      </c>
      <c r="D4440" s="19" t="s">
        <v>9010</v>
      </c>
      <c r="E4440" s="20" t="e">
        <f t="array" ref="E4440">INDEX(C:C,SMALL(IF(ISNUMBER(FIND(CELL("contents"),$C$2:$C$4852)),ROW($C$2:$C$4852),4^8),ROW(C4440)))&amp;""</f>
        <v>#N/A</v>
      </c>
    </row>
    <row r="4441" ht="14.100000000000001" customHeight="1">
      <c r="B4441" s="19" t="s">
        <v>9012</v>
      </c>
      <c r="C4441" s="19" t="s">
        <v>9013</v>
      </c>
      <c r="D4441" s="19" t="s">
        <v>9012</v>
      </c>
      <c r="E4441" s="20" t="e">
        <f t="array" ref="E4441">INDEX(C:C,SMALL(IF(ISNUMBER(FIND(CELL("contents"),$C$2:$C$4852)),ROW($C$2:$C$4852),4^8),ROW(C4441)))&amp;""</f>
        <v>#N/A</v>
      </c>
    </row>
    <row r="4442" ht="14.100000000000001" customHeight="1">
      <c r="B4442" s="19" t="s">
        <v>9014</v>
      </c>
      <c r="C4442" s="19" t="s">
        <v>9015</v>
      </c>
      <c r="D4442" s="19" t="s">
        <v>9014</v>
      </c>
      <c r="E4442" s="20" t="e">
        <f t="array" ref="E4442">INDEX(C:C,SMALL(IF(ISNUMBER(FIND(CELL("contents"),$C$2:$C$4852)),ROW($C$2:$C$4852),4^8),ROW(C4442)))&amp;""</f>
        <v>#N/A</v>
      </c>
    </row>
    <row r="4443" ht="14.100000000000001" customHeight="1">
      <c r="B4443" s="19" t="s">
        <v>9016</v>
      </c>
      <c r="C4443" s="19" t="s">
        <v>9017</v>
      </c>
      <c r="D4443" s="19" t="s">
        <v>9016</v>
      </c>
      <c r="E4443" s="20" t="e">
        <f t="array" ref="E4443">INDEX(C:C,SMALL(IF(ISNUMBER(FIND(CELL("contents"),$C$2:$C$4852)),ROW($C$2:$C$4852),4^8),ROW(C4443)))&amp;""</f>
        <v>#N/A</v>
      </c>
    </row>
    <row r="4444" ht="14.100000000000001" customHeight="1">
      <c r="B4444" s="19" t="s">
        <v>9018</v>
      </c>
      <c r="C4444" s="19" t="s">
        <v>9019</v>
      </c>
      <c r="D4444" s="19" t="s">
        <v>9018</v>
      </c>
      <c r="E4444" s="20" t="e">
        <f t="array" ref="E4444">INDEX(C:C,SMALL(IF(ISNUMBER(FIND(CELL("contents"),$C$2:$C$4852)),ROW($C$2:$C$4852),4^8),ROW(C4444)))&amp;""</f>
        <v>#N/A</v>
      </c>
    </row>
    <row r="4445" ht="14.100000000000001" customHeight="1">
      <c r="B4445" s="19" t="s">
        <v>9020</v>
      </c>
      <c r="C4445" s="19" t="s">
        <v>9021</v>
      </c>
      <c r="D4445" s="19" t="s">
        <v>9020</v>
      </c>
      <c r="E4445" s="20" t="e">
        <f t="array" ref="E4445">INDEX(C:C,SMALL(IF(ISNUMBER(FIND(CELL("contents"),$C$2:$C$4852)),ROW($C$2:$C$4852),4^8),ROW(C4445)))&amp;""</f>
        <v>#N/A</v>
      </c>
    </row>
    <row r="4446" ht="14.100000000000001" customHeight="1">
      <c r="B4446" s="19" t="s">
        <v>9022</v>
      </c>
      <c r="C4446" s="19" t="s">
        <v>9023</v>
      </c>
      <c r="D4446" s="19" t="s">
        <v>9022</v>
      </c>
      <c r="E4446" s="20" t="e">
        <f t="array" ref="E4446">INDEX(C:C,SMALL(IF(ISNUMBER(FIND(CELL("contents"),$C$2:$C$4852)),ROW($C$2:$C$4852),4^8),ROW(C4446)))&amp;""</f>
        <v>#N/A</v>
      </c>
    </row>
    <row r="4447" ht="14.100000000000001" customHeight="1">
      <c r="B4447" s="19" t="s">
        <v>9024</v>
      </c>
      <c r="C4447" s="19" t="s">
        <v>9025</v>
      </c>
      <c r="D4447" s="19" t="s">
        <v>9024</v>
      </c>
      <c r="E4447" s="20" t="e">
        <f t="array" ref="E4447">INDEX(C:C,SMALL(IF(ISNUMBER(FIND(CELL("contents"),$C$2:$C$4852)),ROW($C$2:$C$4852),4^8),ROW(C4447)))&amp;""</f>
        <v>#N/A</v>
      </c>
    </row>
    <row r="4448" ht="14.100000000000001" customHeight="1">
      <c r="B4448" s="19" t="s">
        <v>9026</v>
      </c>
      <c r="C4448" s="19" t="s">
        <v>9027</v>
      </c>
      <c r="D4448" s="19" t="s">
        <v>9026</v>
      </c>
      <c r="E4448" s="20" t="e">
        <f t="array" ref="E4448">INDEX(C:C,SMALL(IF(ISNUMBER(FIND(CELL("contents"),$C$2:$C$4852)),ROW($C$2:$C$4852),4^8),ROW(C4448)))&amp;""</f>
        <v>#N/A</v>
      </c>
    </row>
    <row r="4449" ht="14.100000000000001" customHeight="1">
      <c r="B4449" s="19" t="s">
        <v>9028</v>
      </c>
      <c r="C4449" s="19" t="s">
        <v>9029</v>
      </c>
      <c r="D4449" s="19" t="s">
        <v>9028</v>
      </c>
      <c r="E4449" s="20" t="e">
        <f t="array" ref="E4449">INDEX(C:C,SMALL(IF(ISNUMBER(FIND(CELL("contents"),$C$2:$C$4852)),ROW($C$2:$C$4852),4^8),ROW(C4449)))&amp;""</f>
        <v>#N/A</v>
      </c>
    </row>
    <row r="4450" ht="14.100000000000001" customHeight="1">
      <c r="B4450" s="19" t="s">
        <v>9030</v>
      </c>
      <c r="C4450" s="19" t="s">
        <v>9031</v>
      </c>
      <c r="D4450" s="19" t="s">
        <v>9030</v>
      </c>
      <c r="E4450" s="20" t="e">
        <f t="array" ref="E4450">INDEX(C:C,SMALL(IF(ISNUMBER(FIND(CELL("contents"),$C$2:$C$4852)),ROW($C$2:$C$4852),4^8),ROW(C4450)))&amp;""</f>
        <v>#N/A</v>
      </c>
    </row>
    <row r="4451" ht="14.100000000000001" customHeight="1">
      <c r="B4451" s="19" t="s">
        <v>9032</v>
      </c>
      <c r="C4451" s="19" t="s">
        <v>9033</v>
      </c>
      <c r="D4451" s="19" t="s">
        <v>9032</v>
      </c>
      <c r="E4451" s="20" t="e">
        <f t="array" ref="E4451">INDEX(C:C,SMALL(IF(ISNUMBER(FIND(CELL("contents"),$C$2:$C$4852)),ROW($C$2:$C$4852),4^8),ROW(C4451)))&amp;""</f>
        <v>#N/A</v>
      </c>
    </row>
    <row r="4452" ht="14.100000000000001" customHeight="1">
      <c r="B4452" s="19" t="s">
        <v>9034</v>
      </c>
      <c r="C4452" s="19" t="s">
        <v>9035</v>
      </c>
      <c r="D4452" s="19" t="s">
        <v>9034</v>
      </c>
      <c r="E4452" s="20" t="e">
        <f t="array" ref="E4452">INDEX(C:C,SMALL(IF(ISNUMBER(FIND(CELL("contents"),$C$2:$C$4852)),ROW($C$2:$C$4852),4^8),ROW(C4452)))&amp;""</f>
        <v>#N/A</v>
      </c>
    </row>
    <row r="4453" ht="14.100000000000001" customHeight="1">
      <c r="B4453" s="19" t="s">
        <v>9036</v>
      </c>
      <c r="C4453" s="19" t="s">
        <v>9037</v>
      </c>
      <c r="D4453" s="19" t="s">
        <v>9036</v>
      </c>
      <c r="E4453" s="20" t="e">
        <f t="array" ref="E4453">INDEX(C:C,SMALL(IF(ISNUMBER(FIND(CELL("contents"),$C$2:$C$4852)),ROW($C$2:$C$4852),4^8),ROW(C4453)))&amp;""</f>
        <v>#N/A</v>
      </c>
    </row>
    <row r="4454" ht="14.100000000000001" customHeight="1">
      <c r="B4454" s="19" t="s">
        <v>9038</v>
      </c>
      <c r="C4454" s="19" t="s">
        <v>9039</v>
      </c>
      <c r="D4454" s="19" t="s">
        <v>9038</v>
      </c>
      <c r="E4454" s="20" t="e">
        <f t="array" ref="E4454">INDEX(C:C,SMALL(IF(ISNUMBER(FIND(CELL("contents"),$C$2:$C$4852)),ROW($C$2:$C$4852),4^8),ROW(C4454)))&amp;""</f>
        <v>#N/A</v>
      </c>
    </row>
    <row r="4455" ht="14.100000000000001" customHeight="1">
      <c r="B4455" s="19" t="s">
        <v>9040</v>
      </c>
      <c r="C4455" s="19" t="s">
        <v>9041</v>
      </c>
      <c r="D4455" s="19" t="s">
        <v>9040</v>
      </c>
      <c r="E4455" s="20" t="e">
        <f t="array" ref="E4455">INDEX(C:C,SMALL(IF(ISNUMBER(FIND(CELL("contents"),$C$2:$C$4852)),ROW($C$2:$C$4852),4^8),ROW(C4455)))&amp;""</f>
        <v>#N/A</v>
      </c>
    </row>
    <row r="4456" ht="14.100000000000001" customHeight="1">
      <c r="B4456" s="19" t="s">
        <v>9042</v>
      </c>
      <c r="C4456" s="19" t="s">
        <v>9043</v>
      </c>
      <c r="D4456" s="19" t="s">
        <v>9042</v>
      </c>
      <c r="E4456" s="20" t="e">
        <f t="array" ref="E4456">INDEX(C:C,SMALL(IF(ISNUMBER(FIND(CELL("contents"),$C$2:$C$4852)),ROW($C$2:$C$4852),4^8),ROW(C4456)))&amp;""</f>
        <v>#N/A</v>
      </c>
    </row>
    <row r="4457" ht="14.100000000000001" customHeight="1">
      <c r="B4457" s="19" t="s">
        <v>9044</v>
      </c>
      <c r="C4457" s="19" t="s">
        <v>9045</v>
      </c>
      <c r="D4457" s="19" t="s">
        <v>9044</v>
      </c>
      <c r="E4457" s="20" t="e">
        <f t="array" ref="E4457">INDEX(C:C,SMALL(IF(ISNUMBER(FIND(CELL("contents"),$C$2:$C$4852)),ROW($C$2:$C$4852),4^8),ROW(C4457)))&amp;""</f>
        <v>#N/A</v>
      </c>
    </row>
    <row r="4458" ht="14.100000000000001" customHeight="1">
      <c r="B4458" s="19" t="s">
        <v>9046</v>
      </c>
      <c r="C4458" s="19" t="s">
        <v>9047</v>
      </c>
      <c r="D4458" s="19" t="s">
        <v>9046</v>
      </c>
      <c r="E4458" s="20" t="e">
        <f t="array" ref="E4458">INDEX(C:C,SMALL(IF(ISNUMBER(FIND(CELL("contents"),$C$2:$C$4852)),ROW($C$2:$C$4852),4^8),ROW(C4458)))&amp;""</f>
        <v>#N/A</v>
      </c>
    </row>
    <row r="4459" ht="14.100000000000001" customHeight="1">
      <c r="B4459" s="19" t="s">
        <v>9048</v>
      </c>
      <c r="C4459" s="19" t="s">
        <v>9049</v>
      </c>
      <c r="D4459" s="19" t="s">
        <v>9048</v>
      </c>
      <c r="E4459" s="20" t="e">
        <f t="array" ref="E4459">INDEX(C:C,SMALL(IF(ISNUMBER(FIND(CELL("contents"),$C$2:$C$4852)),ROW($C$2:$C$4852),4^8),ROW(C4459)))&amp;""</f>
        <v>#N/A</v>
      </c>
    </row>
    <row r="4460" ht="14.100000000000001" customHeight="1">
      <c r="B4460" s="19" t="s">
        <v>9050</v>
      </c>
      <c r="C4460" s="19" t="s">
        <v>9051</v>
      </c>
      <c r="D4460" s="19" t="s">
        <v>9050</v>
      </c>
      <c r="E4460" s="20" t="e">
        <f t="array" ref="E4460">INDEX(C:C,SMALL(IF(ISNUMBER(FIND(CELL("contents"),$C$2:$C$4852)),ROW($C$2:$C$4852),4^8),ROW(C4460)))&amp;""</f>
        <v>#N/A</v>
      </c>
    </row>
    <row r="4461" ht="14.100000000000001" customHeight="1">
      <c r="B4461" s="19" t="s">
        <v>9052</v>
      </c>
      <c r="C4461" s="19" t="s">
        <v>9053</v>
      </c>
      <c r="D4461" s="19" t="s">
        <v>9052</v>
      </c>
      <c r="E4461" s="20" t="e">
        <f t="array" ref="E4461">INDEX(C:C,SMALL(IF(ISNUMBER(FIND(CELL("contents"),$C$2:$C$4852)),ROW($C$2:$C$4852),4^8),ROW(C4461)))&amp;""</f>
        <v>#N/A</v>
      </c>
    </row>
    <row r="4462" ht="14.100000000000001" customHeight="1">
      <c r="B4462" s="19" t="s">
        <v>9054</v>
      </c>
      <c r="C4462" s="19" t="s">
        <v>9055</v>
      </c>
      <c r="D4462" s="19" t="s">
        <v>9054</v>
      </c>
      <c r="E4462" s="20" t="e">
        <f t="array" ref="E4462">INDEX(C:C,SMALL(IF(ISNUMBER(FIND(CELL("contents"),$C$2:$C$4852)),ROW($C$2:$C$4852),4^8),ROW(C4462)))&amp;""</f>
        <v>#N/A</v>
      </c>
    </row>
    <row r="4463" ht="14.100000000000001" customHeight="1">
      <c r="B4463" s="19" t="s">
        <v>9056</v>
      </c>
      <c r="C4463" s="19" t="s">
        <v>9057</v>
      </c>
      <c r="D4463" s="19" t="s">
        <v>9056</v>
      </c>
      <c r="E4463" s="20" t="e">
        <f t="array" ref="E4463">INDEX(C:C,SMALL(IF(ISNUMBER(FIND(CELL("contents"),$C$2:$C$4852)),ROW($C$2:$C$4852),4^8),ROW(C4463)))&amp;""</f>
        <v>#N/A</v>
      </c>
    </row>
    <row r="4464" ht="14.100000000000001" customHeight="1">
      <c r="B4464" s="19" t="s">
        <v>9058</v>
      </c>
      <c r="C4464" s="19" t="s">
        <v>9059</v>
      </c>
      <c r="D4464" s="19" t="s">
        <v>9058</v>
      </c>
      <c r="E4464" s="20" t="e">
        <f t="array" ref="E4464">INDEX(C:C,SMALL(IF(ISNUMBER(FIND(CELL("contents"),$C$2:$C$4852)),ROW($C$2:$C$4852),4^8),ROW(C4464)))&amp;""</f>
        <v>#N/A</v>
      </c>
    </row>
    <row r="4465" ht="14.100000000000001" customHeight="1">
      <c r="B4465" s="19" t="s">
        <v>9060</v>
      </c>
      <c r="C4465" s="19" t="s">
        <v>9061</v>
      </c>
      <c r="D4465" s="19" t="s">
        <v>9060</v>
      </c>
      <c r="E4465" s="20" t="e">
        <f t="array" ref="E4465">INDEX(C:C,SMALL(IF(ISNUMBER(FIND(CELL("contents"),$C$2:$C$4852)),ROW($C$2:$C$4852),4^8),ROW(C4465)))&amp;""</f>
        <v>#N/A</v>
      </c>
    </row>
    <row r="4466" ht="14.100000000000001" customHeight="1">
      <c r="B4466" s="19" t="s">
        <v>9062</v>
      </c>
      <c r="C4466" s="19" t="s">
        <v>9063</v>
      </c>
      <c r="D4466" s="19" t="s">
        <v>9062</v>
      </c>
      <c r="E4466" s="20" t="e">
        <f t="array" ref="E4466">INDEX(C:C,SMALL(IF(ISNUMBER(FIND(CELL("contents"),$C$2:$C$4852)),ROW($C$2:$C$4852),4^8),ROW(C4466)))&amp;""</f>
        <v>#N/A</v>
      </c>
    </row>
    <row r="4467" ht="14.100000000000001" customHeight="1">
      <c r="B4467" s="19" t="s">
        <v>9064</v>
      </c>
      <c r="C4467" s="19" t="s">
        <v>9065</v>
      </c>
      <c r="D4467" s="19" t="s">
        <v>9064</v>
      </c>
      <c r="E4467" s="20" t="e">
        <f t="array" ref="E4467">INDEX(C:C,SMALL(IF(ISNUMBER(FIND(CELL("contents"),$C$2:$C$4852)),ROW($C$2:$C$4852),4^8),ROW(C4467)))&amp;""</f>
        <v>#N/A</v>
      </c>
    </row>
    <row r="4468" ht="14.100000000000001" customHeight="1">
      <c r="B4468" s="19" t="s">
        <v>9066</v>
      </c>
      <c r="C4468" s="19" t="s">
        <v>9067</v>
      </c>
      <c r="D4468" s="19" t="s">
        <v>9066</v>
      </c>
      <c r="E4468" s="20" t="e">
        <f t="array" ref="E4468">INDEX(C:C,SMALL(IF(ISNUMBER(FIND(CELL("contents"),$C$2:$C$4852)),ROW($C$2:$C$4852),4^8),ROW(C4468)))&amp;""</f>
        <v>#N/A</v>
      </c>
    </row>
    <row r="4469" ht="14.100000000000001" customHeight="1">
      <c r="B4469" s="19" t="s">
        <v>9068</v>
      </c>
      <c r="C4469" s="19" t="s">
        <v>9069</v>
      </c>
      <c r="D4469" s="19" t="s">
        <v>9068</v>
      </c>
      <c r="E4469" s="20" t="e">
        <f t="array" ref="E4469">INDEX(C:C,SMALL(IF(ISNUMBER(FIND(CELL("contents"),$C$2:$C$4852)),ROW($C$2:$C$4852),4^8),ROW(C4469)))&amp;""</f>
        <v>#N/A</v>
      </c>
    </row>
    <row r="4470" ht="14.100000000000001" customHeight="1">
      <c r="B4470" s="19" t="s">
        <v>9070</v>
      </c>
      <c r="C4470" s="19" t="s">
        <v>9071</v>
      </c>
      <c r="D4470" s="19" t="s">
        <v>9070</v>
      </c>
      <c r="E4470" s="20" t="e">
        <f t="array" ref="E4470">INDEX(C:C,SMALL(IF(ISNUMBER(FIND(CELL("contents"),$C$2:$C$4852)),ROW($C$2:$C$4852),4^8),ROW(C4470)))&amp;""</f>
        <v>#N/A</v>
      </c>
    </row>
    <row r="4471" ht="14.100000000000001" customHeight="1">
      <c r="B4471" s="19" t="s">
        <v>9072</v>
      </c>
      <c r="C4471" s="19" t="s">
        <v>9073</v>
      </c>
      <c r="D4471" s="19" t="s">
        <v>9072</v>
      </c>
      <c r="E4471" s="20" t="e">
        <f t="array" ref="E4471">INDEX(C:C,SMALL(IF(ISNUMBER(FIND(CELL("contents"),$C$2:$C$4852)),ROW($C$2:$C$4852),4^8),ROW(C4471)))&amp;""</f>
        <v>#N/A</v>
      </c>
    </row>
    <row r="4472" ht="14.100000000000001" customHeight="1">
      <c r="B4472" s="19" t="s">
        <v>9074</v>
      </c>
      <c r="C4472" s="19" t="s">
        <v>9075</v>
      </c>
      <c r="D4472" s="19" t="s">
        <v>9074</v>
      </c>
      <c r="E4472" s="20" t="e">
        <f t="array" ref="E4472">INDEX(C:C,SMALL(IF(ISNUMBER(FIND(CELL("contents"),$C$2:$C$4852)),ROW($C$2:$C$4852),4^8),ROW(C4472)))&amp;""</f>
        <v>#N/A</v>
      </c>
    </row>
    <row r="4473" ht="14.100000000000001" customHeight="1">
      <c r="B4473" s="19" t="s">
        <v>9076</v>
      </c>
      <c r="C4473" s="19" t="s">
        <v>9077</v>
      </c>
      <c r="D4473" s="19" t="s">
        <v>9076</v>
      </c>
      <c r="E4473" s="20" t="e">
        <f t="array" ref="E4473">INDEX(C:C,SMALL(IF(ISNUMBER(FIND(CELL("contents"),$C$2:$C$4852)),ROW($C$2:$C$4852),4^8),ROW(C4473)))&amp;""</f>
        <v>#N/A</v>
      </c>
    </row>
    <row r="4474" ht="14.100000000000001" customHeight="1">
      <c r="B4474" s="19" t="s">
        <v>9078</v>
      </c>
      <c r="C4474" s="19" t="s">
        <v>9079</v>
      </c>
      <c r="D4474" s="19" t="s">
        <v>9078</v>
      </c>
      <c r="E4474" s="20" t="e">
        <f t="array" ref="E4474">INDEX(C:C,SMALL(IF(ISNUMBER(FIND(CELL("contents"),$C$2:$C$4852)),ROW($C$2:$C$4852),4^8),ROW(C4474)))&amp;""</f>
        <v>#N/A</v>
      </c>
    </row>
    <row r="4475" ht="14.100000000000001" customHeight="1">
      <c r="B4475" s="19" t="s">
        <v>9080</v>
      </c>
      <c r="C4475" s="19" t="s">
        <v>9081</v>
      </c>
      <c r="D4475" s="19" t="s">
        <v>9080</v>
      </c>
      <c r="E4475" s="20" t="e">
        <f t="array" ref="E4475">INDEX(C:C,SMALL(IF(ISNUMBER(FIND(CELL("contents"),$C$2:$C$4852)),ROW($C$2:$C$4852),4^8),ROW(C4475)))&amp;""</f>
        <v>#N/A</v>
      </c>
    </row>
    <row r="4476" ht="14.100000000000001" customHeight="1">
      <c r="B4476" s="19" t="s">
        <v>9082</v>
      </c>
      <c r="C4476" s="19" t="s">
        <v>9083</v>
      </c>
      <c r="D4476" s="19" t="s">
        <v>9082</v>
      </c>
      <c r="E4476" s="20" t="e">
        <f t="array" ref="E4476">INDEX(C:C,SMALL(IF(ISNUMBER(FIND(CELL("contents"),$C$2:$C$4852)),ROW($C$2:$C$4852),4^8),ROW(C4476)))&amp;""</f>
        <v>#N/A</v>
      </c>
    </row>
    <row r="4477" ht="14.100000000000001" customHeight="1">
      <c r="B4477" s="19" t="s">
        <v>9084</v>
      </c>
      <c r="C4477" s="19" t="s">
        <v>9085</v>
      </c>
      <c r="D4477" s="19" t="s">
        <v>9084</v>
      </c>
      <c r="E4477" s="20" t="e">
        <f t="array" ref="E4477">INDEX(C:C,SMALL(IF(ISNUMBER(FIND(CELL("contents"),$C$2:$C$4852)),ROW($C$2:$C$4852),4^8),ROW(C4477)))&amp;""</f>
        <v>#N/A</v>
      </c>
    </row>
    <row r="4478" ht="14.100000000000001" customHeight="1">
      <c r="B4478" s="19" t="s">
        <v>9086</v>
      </c>
      <c r="C4478" s="19" t="s">
        <v>9087</v>
      </c>
      <c r="D4478" s="19" t="s">
        <v>9086</v>
      </c>
      <c r="E4478" s="20" t="e">
        <f t="array" ref="E4478">INDEX(C:C,SMALL(IF(ISNUMBER(FIND(CELL("contents"),$C$2:$C$4852)),ROW($C$2:$C$4852),4^8),ROW(C4478)))&amp;""</f>
        <v>#N/A</v>
      </c>
    </row>
    <row r="4479" ht="14.100000000000001" customHeight="1">
      <c r="B4479" s="19" t="s">
        <v>9088</v>
      </c>
      <c r="C4479" s="19" t="s">
        <v>9089</v>
      </c>
      <c r="D4479" s="19" t="s">
        <v>9088</v>
      </c>
      <c r="E4479" s="20" t="e">
        <f t="array" ref="E4479">INDEX(C:C,SMALL(IF(ISNUMBER(FIND(CELL("contents"),$C$2:$C$4852)),ROW($C$2:$C$4852),4^8),ROW(C4479)))&amp;""</f>
        <v>#N/A</v>
      </c>
    </row>
    <row r="4480" ht="14.100000000000001" customHeight="1">
      <c r="B4480" s="19" t="s">
        <v>9090</v>
      </c>
      <c r="C4480" s="19" t="s">
        <v>9091</v>
      </c>
      <c r="D4480" s="19" t="s">
        <v>9090</v>
      </c>
      <c r="E4480" s="20" t="e">
        <f t="array" ref="E4480">INDEX(C:C,SMALL(IF(ISNUMBER(FIND(CELL("contents"),$C$2:$C$4852)),ROW($C$2:$C$4852),4^8),ROW(C4480)))&amp;""</f>
        <v>#N/A</v>
      </c>
    </row>
    <row r="4481" ht="14.100000000000001" customHeight="1">
      <c r="B4481" s="19" t="s">
        <v>9092</v>
      </c>
      <c r="C4481" s="19" t="s">
        <v>9093</v>
      </c>
      <c r="D4481" s="19" t="s">
        <v>9092</v>
      </c>
      <c r="E4481" s="20" t="e">
        <f t="array" ref="E4481">INDEX(C:C,SMALL(IF(ISNUMBER(FIND(CELL("contents"),$C$2:$C$4852)),ROW($C$2:$C$4852),4^8),ROW(C4481)))&amp;""</f>
        <v>#N/A</v>
      </c>
    </row>
    <row r="4482" ht="14.100000000000001" customHeight="1">
      <c r="B4482" s="19" t="s">
        <v>9094</v>
      </c>
      <c r="C4482" s="19" t="s">
        <v>9095</v>
      </c>
      <c r="D4482" s="19" t="s">
        <v>9094</v>
      </c>
      <c r="E4482" s="20" t="e">
        <f t="array" ref="E4482">INDEX(C:C,SMALL(IF(ISNUMBER(FIND(CELL("contents"),$C$2:$C$4852)),ROW($C$2:$C$4852),4^8),ROW(C4482)))&amp;""</f>
        <v>#N/A</v>
      </c>
    </row>
    <row r="4483" ht="14.100000000000001" customHeight="1">
      <c r="B4483" s="19" t="s">
        <v>9096</v>
      </c>
      <c r="C4483" s="19" t="s">
        <v>9097</v>
      </c>
      <c r="D4483" s="19" t="s">
        <v>9096</v>
      </c>
      <c r="E4483" s="20" t="e">
        <f t="array" ref="E4483">INDEX(C:C,SMALL(IF(ISNUMBER(FIND(CELL("contents"),$C$2:$C$4852)),ROW($C$2:$C$4852),4^8),ROW(C4483)))&amp;""</f>
        <v>#N/A</v>
      </c>
    </row>
    <row r="4484" ht="14.100000000000001" customHeight="1">
      <c r="B4484" s="19" t="s">
        <v>9098</v>
      </c>
      <c r="C4484" s="19" t="s">
        <v>9099</v>
      </c>
      <c r="D4484" s="19" t="s">
        <v>9098</v>
      </c>
      <c r="E4484" s="20" t="e">
        <f t="array" ref="E4484">INDEX(C:C,SMALL(IF(ISNUMBER(FIND(CELL("contents"),$C$2:$C$4852)),ROW($C$2:$C$4852),4^8),ROW(C4484)))&amp;""</f>
        <v>#N/A</v>
      </c>
    </row>
    <row r="4485" ht="14.100000000000001" customHeight="1">
      <c r="B4485" s="19" t="s">
        <v>9100</v>
      </c>
      <c r="C4485" s="19" t="s">
        <v>9101</v>
      </c>
      <c r="D4485" s="19" t="s">
        <v>9100</v>
      </c>
      <c r="E4485" s="20" t="e">
        <f t="array" ref="E4485">INDEX(C:C,SMALL(IF(ISNUMBER(FIND(CELL("contents"),$C$2:$C$4852)),ROW($C$2:$C$4852),4^8),ROW(C4485)))&amp;""</f>
        <v>#N/A</v>
      </c>
    </row>
    <row r="4486" ht="14.100000000000001" customHeight="1">
      <c r="B4486" s="19" t="s">
        <v>9102</v>
      </c>
      <c r="C4486" s="19" t="s">
        <v>9103</v>
      </c>
      <c r="D4486" s="19" t="s">
        <v>9102</v>
      </c>
      <c r="E4486" s="20" t="e">
        <f t="array" ref="E4486">INDEX(C:C,SMALL(IF(ISNUMBER(FIND(CELL("contents"),$C$2:$C$4852)),ROW($C$2:$C$4852),4^8),ROW(C4486)))&amp;""</f>
        <v>#N/A</v>
      </c>
    </row>
    <row r="4487" ht="14.100000000000001" customHeight="1">
      <c r="B4487" s="19" t="s">
        <v>9104</v>
      </c>
      <c r="C4487" s="19" t="s">
        <v>9105</v>
      </c>
      <c r="D4487" s="19" t="s">
        <v>9104</v>
      </c>
      <c r="E4487" s="20" t="e">
        <f t="array" ref="E4487">INDEX(C:C,SMALL(IF(ISNUMBER(FIND(CELL("contents"),$C$2:$C$4852)),ROW($C$2:$C$4852),4^8),ROW(C4487)))&amp;""</f>
        <v>#N/A</v>
      </c>
    </row>
    <row r="4488" ht="14.100000000000001" customHeight="1">
      <c r="B4488" s="19" t="s">
        <v>9106</v>
      </c>
      <c r="C4488" s="19" t="s">
        <v>9107</v>
      </c>
      <c r="D4488" s="19" t="s">
        <v>9106</v>
      </c>
      <c r="E4488" s="20" t="e">
        <f t="array" ref="E4488">INDEX(C:C,SMALL(IF(ISNUMBER(FIND(CELL("contents"),$C$2:$C$4852)),ROW($C$2:$C$4852),4^8),ROW(C4488)))&amp;""</f>
        <v>#N/A</v>
      </c>
    </row>
    <row r="4489" ht="14.100000000000001" customHeight="1">
      <c r="B4489" s="19" t="s">
        <v>9108</v>
      </c>
      <c r="C4489" s="19" t="s">
        <v>9109</v>
      </c>
      <c r="D4489" s="19" t="s">
        <v>9108</v>
      </c>
      <c r="E4489" s="20" t="e">
        <f t="array" ref="E4489">INDEX(C:C,SMALL(IF(ISNUMBER(FIND(CELL("contents"),$C$2:$C$4852)),ROW($C$2:$C$4852),4^8),ROW(C4489)))&amp;""</f>
        <v>#N/A</v>
      </c>
    </row>
    <row r="4490" ht="14.100000000000001" customHeight="1">
      <c r="B4490" s="19" t="s">
        <v>9110</v>
      </c>
      <c r="C4490" s="19" t="s">
        <v>9111</v>
      </c>
      <c r="D4490" s="19" t="s">
        <v>9110</v>
      </c>
      <c r="E4490" s="20" t="e">
        <f t="array" ref="E4490">INDEX(C:C,SMALL(IF(ISNUMBER(FIND(CELL("contents"),$C$2:$C$4852)),ROW($C$2:$C$4852),4^8),ROW(C4490)))&amp;""</f>
        <v>#N/A</v>
      </c>
    </row>
    <row r="4491" ht="14.100000000000001" customHeight="1">
      <c r="B4491" s="19" t="s">
        <v>9112</v>
      </c>
      <c r="C4491" s="19" t="s">
        <v>9113</v>
      </c>
      <c r="D4491" s="19" t="s">
        <v>9112</v>
      </c>
      <c r="E4491" s="20" t="e">
        <f t="array" ref="E4491">INDEX(C:C,SMALL(IF(ISNUMBER(FIND(CELL("contents"),$C$2:$C$4852)),ROW($C$2:$C$4852),4^8),ROW(C4491)))&amp;""</f>
        <v>#N/A</v>
      </c>
    </row>
    <row r="4492" ht="14.100000000000001" customHeight="1">
      <c r="B4492" s="19" t="s">
        <v>9114</v>
      </c>
      <c r="C4492" s="19" t="s">
        <v>9115</v>
      </c>
      <c r="D4492" s="19" t="s">
        <v>9114</v>
      </c>
      <c r="E4492" s="20" t="e">
        <f t="array" ref="E4492">INDEX(C:C,SMALL(IF(ISNUMBER(FIND(CELL("contents"),$C$2:$C$4852)),ROW($C$2:$C$4852),4^8),ROW(C4492)))&amp;""</f>
        <v>#N/A</v>
      </c>
    </row>
    <row r="4493" ht="14.100000000000001" customHeight="1">
      <c r="B4493" s="19" t="s">
        <v>9116</v>
      </c>
      <c r="C4493" s="19" t="s">
        <v>9117</v>
      </c>
      <c r="D4493" s="19" t="s">
        <v>9116</v>
      </c>
      <c r="E4493" s="20" t="e">
        <f t="array" ref="E4493">INDEX(C:C,SMALL(IF(ISNUMBER(FIND(CELL("contents"),$C$2:$C$4852)),ROW($C$2:$C$4852),4^8),ROW(C4493)))&amp;""</f>
        <v>#N/A</v>
      </c>
    </row>
    <row r="4494" ht="14.100000000000001" customHeight="1">
      <c r="B4494" s="19" t="s">
        <v>9118</v>
      </c>
      <c r="C4494" s="19" t="s">
        <v>9119</v>
      </c>
      <c r="D4494" s="19" t="s">
        <v>9118</v>
      </c>
      <c r="E4494" s="20" t="e">
        <f t="array" ref="E4494">INDEX(C:C,SMALL(IF(ISNUMBER(FIND(CELL("contents"),$C$2:$C$4852)),ROW($C$2:$C$4852),4^8),ROW(C4494)))&amp;""</f>
        <v>#N/A</v>
      </c>
    </row>
    <row r="4495" ht="14.100000000000001" customHeight="1">
      <c r="B4495" s="19" t="s">
        <v>9120</v>
      </c>
      <c r="C4495" s="19" t="s">
        <v>9121</v>
      </c>
      <c r="D4495" s="19" t="s">
        <v>9120</v>
      </c>
      <c r="E4495" s="20" t="e">
        <f t="array" ref="E4495">INDEX(C:C,SMALL(IF(ISNUMBER(FIND(CELL("contents"),$C$2:$C$4852)),ROW($C$2:$C$4852),4^8),ROW(C4495)))&amp;""</f>
        <v>#N/A</v>
      </c>
    </row>
    <row r="4496" ht="14.100000000000001" customHeight="1">
      <c r="B4496" s="19" t="s">
        <v>9122</v>
      </c>
      <c r="C4496" s="19" t="s">
        <v>9123</v>
      </c>
      <c r="D4496" s="19" t="s">
        <v>9122</v>
      </c>
      <c r="E4496" s="20" t="e">
        <f t="array" ref="E4496">INDEX(C:C,SMALL(IF(ISNUMBER(FIND(CELL("contents"),$C$2:$C$4852)),ROW($C$2:$C$4852),4^8),ROW(C4496)))&amp;""</f>
        <v>#N/A</v>
      </c>
    </row>
    <row r="4497" ht="14.100000000000001" customHeight="1">
      <c r="B4497" s="19" t="s">
        <v>9124</v>
      </c>
      <c r="C4497" s="19" t="s">
        <v>9125</v>
      </c>
      <c r="D4497" s="19" t="s">
        <v>9124</v>
      </c>
      <c r="E4497" s="20" t="e">
        <f t="array" ref="E4497">INDEX(C:C,SMALL(IF(ISNUMBER(FIND(CELL("contents"),$C$2:$C$4852)),ROW($C$2:$C$4852),4^8),ROW(C4497)))&amp;""</f>
        <v>#N/A</v>
      </c>
    </row>
    <row r="4498" ht="14.100000000000001" customHeight="1">
      <c r="B4498" s="19" t="s">
        <v>9126</v>
      </c>
      <c r="C4498" s="19" t="s">
        <v>9127</v>
      </c>
      <c r="D4498" s="19" t="s">
        <v>9126</v>
      </c>
      <c r="E4498" s="20" t="e">
        <f t="array" ref="E4498">INDEX(C:C,SMALL(IF(ISNUMBER(FIND(CELL("contents"),$C$2:$C$4852)),ROW($C$2:$C$4852),4^8),ROW(C4498)))&amp;""</f>
        <v>#N/A</v>
      </c>
    </row>
    <row r="4499" ht="14.100000000000001" customHeight="1">
      <c r="B4499" s="19" t="s">
        <v>9128</v>
      </c>
      <c r="C4499" s="19" t="s">
        <v>9129</v>
      </c>
      <c r="D4499" s="19" t="s">
        <v>9128</v>
      </c>
      <c r="E4499" s="20" t="e">
        <f t="array" ref="E4499">INDEX(C:C,SMALL(IF(ISNUMBER(FIND(CELL("contents"),$C$2:$C$4852)),ROW($C$2:$C$4852),4^8),ROW(C4499)))&amp;""</f>
        <v>#N/A</v>
      </c>
    </row>
    <row r="4500" ht="14.100000000000001" customHeight="1">
      <c r="B4500" s="19" t="s">
        <v>9130</v>
      </c>
      <c r="C4500" s="19" t="s">
        <v>9131</v>
      </c>
      <c r="D4500" s="19" t="s">
        <v>9130</v>
      </c>
      <c r="E4500" s="20" t="e">
        <f t="array" ref="E4500">INDEX(C:C,SMALL(IF(ISNUMBER(FIND(CELL("contents"),$C$2:$C$4852)),ROW($C$2:$C$4852),4^8),ROW(C4500)))&amp;""</f>
        <v>#N/A</v>
      </c>
    </row>
    <row r="4501" ht="14.100000000000001" customHeight="1">
      <c r="B4501" s="19" t="s">
        <v>9132</v>
      </c>
      <c r="C4501" s="19" t="s">
        <v>9133</v>
      </c>
      <c r="D4501" s="19" t="s">
        <v>9132</v>
      </c>
      <c r="E4501" s="20" t="e">
        <f t="array" ref="E4501">INDEX(C:C,SMALL(IF(ISNUMBER(FIND(CELL("contents"),$C$2:$C$4852)),ROW($C$2:$C$4852),4^8),ROW(C4501)))&amp;""</f>
        <v>#N/A</v>
      </c>
    </row>
    <row r="4502" ht="14.100000000000001" customHeight="1">
      <c r="B4502" s="19" t="s">
        <v>9134</v>
      </c>
      <c r="C4502" s="19" t="s">
        <v>9135</v>
      </c>
      <c r="D4502" s="19" t="s">
        <v>9134</v>
      </c>
      <c r="E4502" s="20" t="e">
        <f t="array" ref="E4502">INDEX(C:C,SMALL(IF(ISNUMBER(FIND(CELL("contents"),$C$2:$C$4852)),ROW($C$2:$C$4852),4^8),ROW(C4502)))&amp;""</f>
        <v>#N/A</v>
      </c>
    </row>
    <row r="4503" ht="14.100000000000001" customHeight="1">
      <c r="B4503" s="19" t="s">
        <v>9136</v>
      </c>
      <c r="C4503" s="19" t="s">
        <v>9137</v>
      </c>
      <c r="D4503" s="19" t="s">
        <v>9136</v>
      </c>
      <c r="E4503" s="20" t="e">
        <f t="array" ref="E4503">INDEX(C:C,SMALL(IF(ISNUMBER(FIND(CELL("contents"),$C$2:$C$4852)),ROW($C$2:$C$4852),4^8),ROW(C4503)))&amp;""</f>
        <v>#N/A</v>
      </c>
    </row>
    <row r="4504" ht="14.100000000000001" customHeight="1">
      <c r="B4504" s="19" t="s">
        <v>9138</v>
      </c>
      <c r="C4504" s="19" t="s">
        <v>9139</v>
      </c>
      <c r="D4504" s="19" t="s">
        <v>9138</v>
      </c>
      <c r="E4504" s="20" t="e">
        <f t="array" ref="E4504">INDEX(C:C,SMALL(IF(ISNUMBER(FIND(CELL("contents"),$C$2:$C$4852)),ROW($C$2:$C$4852),4^8),ROW(C4504)))&amp;""</f>
        <v>#N/A</v>
      </c>
    </row>
    <row r="4505" ht="14.100000000000001" customHeight="1">
      <c r="B4505" s="19" t="s">
        <v>9140</v>
      </c>
      <c r="C4505" s="19" t="s">
        <v>9141</v>
      </c>
      <c r="D4505" s="19" t="s">
        <v>9140</v>
      </c>
      <c r="E4505" s="20" t="e">
        <f t="array" ref="E4505">INDEX(C:C,SMALL(IF(ISNUMBER(FIND(CELL("contents"),$C$2:$C$4852)),ROW($C$2:$C$4852),4^8),ROW(C4505)))&amp;""</f>
        <v>#N/A</v>
      </c>
    </row>
    <row r="4506" ht="14.100000000000001" customHeight="1">
      <c r="B4506" s="19" t="s">
        <v>9142</v>
      </c>
      <c r="C4506" s="19" t="s">
        <v>9143</v>
      </c>
      <c r="D4506" s="19" t="s">
        <v>9142</v>
      </c>
      <c r="E4506" s="20" t="e">
        <f t="array" ref="E4506">INDEX(C:C,SMALL(IF(ISNUMBER(FIND(CELL("contents"),$C$2:$C$4852)),ROW($C$2:$C$4852),4^8),ROW(C4506)))&amp;""</f>
        <v>#N/A</v>
      </c>
    </row>
    <row r="4507" ht="14.100000000000001" customHeight="1">
      <c r="B4507" s="19" t="s">
        <v>9144</v>
      </c>
      <c r="C4507" s="19" t="s">
        <v>9145</v>
      </c>
      <c r="D4507" s="19" t="s">
        <v>9144</v>
      </c>
      <c r="E4507" s="20" t="e">
        <f t="array" ref="E4507">INDEX(C:C,SMALL(IF(ISNUMBER(FIND(CELL("contents"),$C$2:$C$4852)),ROW($C$2:$C$4852),4^8),ROW(C4507)))&amp;""</f>
        <v>#N/A</v>
      </c>
    </row>
    <row r="4508" ht="14.100000000000001" customHeight="1">
      <c r="B4508" s="19" t="s">
        <v>9146</v>
      </c>
      <c r="C4508" s="19" t="s">
        <v>9147</v>
      </c>
      <c r="D4508" s="19" t="s">
        <v>9146</v>
      </c>
      <c r="E4508" s="20" t="e">
        <f t="array" ref="E4508">INDEX(C:C,SMALL(IF(ISNUMBER(FIND(CELL("contents"),$C$2:$C$4852)),ROW($C$2:$C$4852),4^8),ROW(C4508)))&amp;""</f>
        <v>#N/A</v>
      </c>
    </row>
    <row r="4509" ht="14.100000000000001" customHeight="1">
      <c r="B4509" s="19" t="s">
        <v>9148</v>
      </c>
      <c r="C4509" s="19" t="s">
        <v>9149</v>
      </c>
      <c r="D4509" s="19" t="s">
        <v>9148</v>
      </c>
      <c r="E4509" s="20" t="e">
        <f t="array" ref="E4509">INDEX(C:C,SMALL(IF(ISNUMBER(FIND(CELL("contents"),$C$2:$C$4852)),ROW($C$2:$C$4852),4^8),ROW(C4509)))&amp;""</f>
        <v>#N/A</v>
      </c>
    </row>
    <row r="4510" ht="14.100000000000001" customHeight="1">
      <c r="B4510" s="19" t="s">
        <v>9150</v>
      </c>
      <c r="C4510" s="19" t="s">
        <v>9151</v>
      </c>
      <c r="D4510" s="19" t="s">
        <v>9150</v>
      </c>
      <c r="E4510" s="20" t="e">
        <f t="array" ref="E4510">INDEX(C:C,SMALL(IF(ISNUMBER(FIND(CELL("contents"),$C$2:$C$4852)),ROW($C$2:$C$4852),4^8),ROW(C4510)))&amp;""</f>
        <v>#N/A</v>
      </c>
    </row>
    <row r="4511" ht="14.100000000000001" customHeight="1">
      <c r="B4511" s="19" t="s">
        <v>9152</v>
      </c>
      <c r="C4511" s="19" t="s">
        <v>9153</v>
      </c>
      <c r="D4511" s="19" t="s">
        <v>9152</v>
      </c>
      <c r="E4511" s="20" t="e">
        <f t="array" ref="E4511">INDEX(C:C,SMALL(IF(ISNUMBER(FIND(CELL("contents"),$C$2:$C$4852)),ROW($C$2:$C$4852),4^8),ROW(C4511)))&amp;""</f>
        <v>#N/A</v>
      </c>
    </row>
    <row r="4512" ht="14.100000000000001" customHeight="1">
      <c r="B4512" s="19" t="s">
        <v>9154</v>
      </c>
      <c r="C4512" s="19" t="s">
        <v>9155</v>
      </c>
      <c r="D4512" s="19" t="s">
        <v>9154</v>
      </c>
      <c r="E4512" s="20" t="e">
        <f t="array" ref="E4512">INDEX(C:C,SMALL(IF(ISNUMBER(FIND(CELL("contents"),$C$2:$C$4852)),ROW($C$2:$C$4852),4^8),ROW(C4512)))&amp;""</f>
        <v>#N/A</v>
      </c>
    </row>
    <row r="4513" ht="14.100000000000001" customHeight="1">
      <c r="B4513" s="19" t="s">
        <v>9156</v>
      </c>
      <c r="C4513" s="19" t="s">
        <v>9157</v>
      </c>
      <c r="D4513" s="19" t="s">
        <v>9156</v>
      </c>
      <c r="E4513" s="20" t="e">
        <f t="array" ref="E4513">INDEX(C:C,SMALL(IF(ISNUMBER(FIND(CELL("contents"),$C$2:$C$4852)),ROW($C$2:$C$4852),4^8),ROW(C4513)))&amp;""</f>
        <v>#N/A</v>
      </c>
    </row>
    <row r="4514" ht="14.100000000000001" customHeight="1">
      <c r="B4514" s="19" t="s">
        <v>9158</v>
      </c>
      <c r="C4514" s="19" t="s">
        <v>9159</v>
      </c>
      <c r="D4514" s="19" t="s">
        <v>9158</v>
      </c>
      <c r="E4514" s="20" t="e">
        <f t="array" ref="E4514">INDEX(C:C,SMALL(IF(ISNUMBER(FIND(CELL("contents"),$C$2:$C$4852)),ROW($C$2:$C$4852),4^8),ROW(C4514)))&amp;""</f>
        <v>#N/A</v>
      </c>
    </row>
    <row r="4515" ht="14.100000000000001" customHeight="1">
      <c r="B4515" s="8" t="s">
        <v>9160</v>
      </c>
      <c r="C4515" s="8" t="s">
        <v>9161</v>
      </c>
      <c r="D4515" s="8" t="s">
        <v>9160</v>
      </c>
      <c r="E4515" s="20" t="e">
        <f t="array" ref="E4515">INDEX(C:C,SMALL(IF(ISNUMBER(FIND(CELL("contents"),$C$2:$C$4852)),ROW($C$2:$C$4852),4^8),ROW(C4515)))&amp;""</f>
        <v>#N/A</v>
      </c>
    </row>
    <row r="4516" ht="14.100000000000001" customHeight="1">
      <c r="B4516" s="8" t="s">
        <v>9162</v>
      </c>
      <c r="C4516" s="8" t="s">
        <v>9163</v>
      </c>
      <c r="D4516" s="8" t="s">
        <v>9162</v>
      </c>
      <c r="E4516" s="20" t="e">
        <f t="array" ref="E4516">INDEX(C:C,SMALL(IF(ISNUMBER(FIND(CELL("contents"),$C$2:$C$4852)),ROW($C$2:$C$4852),4^8),ROW(C4516)))&amp;""</f>
        <v>#N/A</v>
      </c>
    </row>
    <row r="4517" ht="14.100000000000001" customHeight="1">
      <c r="B4517" s="8" t="s">
        <v>9164</v>
      </c>
      <c r="C4517" s="8" t="s">
        <v>9165</v>
      </c>
      <c r="D4517" s="8" t="s">
        <v>9164</v>
      </c>
      <c r="E4517" s="20" t="e">
        <f t="array" ref="E4517">INDEX(C:C,SMALL(IF(ISNUMBER(FIND(CELL("contents"),$C$2:$C$4852)),ROW($C$2:$C$4852),4^8),ROW(C4517)))&amp;""</f>
        <v>#N/A</v>
      </c>
    </row>
    <row r="4518" ht="14.100000000000001" customHeight="1">
      <c r="B4518" s="8" t="s">
        <v>9166</v>
      </c>
      <c r="C4518" s="8" t="s">
        <v>9167</v>
      </c>
      <c r="D4518" s="8" t="s">
        <v>9166</v>
      </c>
      <c r="E4518" s="20" t="e">
        <f t="array" ref="E4518">INDEX(C:C,SMALL(IF(ISNUMBER(FIND(CELL("contents"),$C$2:$C$4852)),ROW($C$2:$C$4852),4^8),ROW(C4518)))&amp;""</f>
        <v>#N/A</v>
      </c>
    </row>
    <row r="4519" ht="14.100000000000001" customHeight="1">
      <c r="B4519" s="8" t="s">
        <v>9168</v>
      </c>
      <c r="C4519" s="8" t="s">
        <v>9169</v>
      </c>
      <c r="D4519" s="8" t="s">
        <v>9168</v>
      </c>
      <c r="E4519" s="20" t="e">
        <f t="array" ref="E4519">INDEX(C:C,SMALL(IF(ISNUMBER(FIND(CELL("contents"),$C$2:$C$4852)),ROW($C$2:$C$4852),4^8),ROW(C4519)))&amp;""</f>
        <v>#N/A</v>
      </c>
    </row>
    <row r="4520" ht="14.100000000000001" customHeight="1">
      <c r="B4520" s="8" t="s">
        <v>9170</v>
      </c>
      <c r="C4520" s="8" t="s">
        <v>9171</v>
      </c>
      <c r="D4520" s="8" t="s">
        <v>9170</v>
      </c>
      <c r="E4520" s="20" t="e">
        <f t="array" ref="E4520">INDEX(C:C,SMALL(IF(ISNUMBER(FIND(CELL("contents"),$C$2:$C$4852)),ROW($C$2:$C$4852),4^8),ROW(C4520)))&amp;""</f>
        <v>#N/A</v>
      </c>
    </row>
    <row r="4521" ht="14.100000000000001" customHeight="1">
      <c r="B4521" s="8" t="s">
        <v>9172</v>
      </c>
      <c r="C4521" s="8" t="s">
        <v>9173</v>
      </c>
      <c r="D4521" s="8" t="s">
        <v>9172</v>
      </c>
      <c r="E4521" s="20" t="e">
        <f t="array" ref="E4521">INDEX(C:C,SMALL(IF(ISNUMBER(FIND(CELL("contents"),$C$2:$C$4852)),ROW($C$2:$C$4852),4^8),ROW(C4521)))&amp;""</f>
        <v>#N/A</v>
      </c>
    </row>
    <row r="4522" ht="14.100000000000001" customHeight="1">
      <c r="B4522" s="8" t="s">
        <v>9174</v>
      </c>
      <c r="C4522" s="8" t="s">
        <v>9175</v>
      </c>
      <c r="D4522" s="8" t="s">
        <v>9174</v>
      </c>
      <c r="E4522" s="20" t="e">
        <f t="array" ref="E4522">INDEX(C:C,SMALL(IF(ISNUMBER(FIND(CELL("contents"),$C$2:$C$4852)),ROW($C$2:$C$4852),4^8),ROW(C4522)))&amp;""</f>
        <v>#N/A</v>
      </c>
    </row>
    <row r="4523" ht="14.100000000000001" customHeight="1">
      <c r="B4523" s="8" t="s">
        <v>9176</v>
      </c>
      <c r="C4523" s="8" t="s">
        <v>9177</v>
      </c>
      <c r="D4523" s="8" t="s">
        <v>9176</v>
      </c>
      <c r="E4523" s="20" t="e">
        <f t="array" ref="E4523">INDEX(C:C,SMALL(IF(ISNUMBER(FIND(CELL("contents"),$C$2:$C$4852)),ROW($C$2:$C$4852),4^8),ROW(C4523)))&amp;""</f>
        <v>#N/A</v>
      </c>
    </row>
    <row r="4524" ht="14.100000000000001" customHeight="1">
      <c r="B4524" s="8" t="s">
        <v>9178</v>
      </c>
      <c r="C4524" s="8" t="s">
        <v>9179</v>
      </c>
      <c r="D4524" s="8" t="s">
        <v>9178</v>
      </c>
      <c r="E4524" s="20" t="e">
        <f t="array" ref="E4524">INDEX(C:C,SMALL(IF(ISNUMBER(FIND(CELL("contents"),$C$2:$C$4852)),ROW($C$2:$C$4852),4^8),ROW(C4524)))&amp;""</f>
        <v>#N/A</v>
      </c>
    </row>
    <row r="4525" ht="14.100000000000001" customHeight="1">
      <c r="B4525" s="8" t="s">
        <v>9180</v>
      </c>
      <c r="C4525" s="8" t="s">
        <v>9181</v>
      </c>
      <c r="D4525" s="8" t="s">
        <v>9180</v>
      </c>
      <c r="E4525" s="20" t="e">
        <f t="array" ref="E4525">INDEX(C:C,SMALL(IF(ISNUMBER(FIND(CELL("contents"),$C$2:$C$4852)),ROW($C$2:$C$4852),4^8),ROW(C4525)))&amp;""</f>
        <v>#N/A</v>
      </c>
    </row>
    <row r="4526" ht="14.100000000000001" customHeight="1">
      <c r="B4526" s="8" t="s">
        <v>9182</v>
      </c>
      <c r="C4526" s="8" t="s">
        <v>9183</v>
      </c>
      <c r="D4526" s="8" t="s">
        <v>9182</v>
      </c>
      <c r="E4526" s="20" t="e">
        <f t="array" ref="E4526">INDEX(C:C,SMALL(IF(ISNUMBER(FIND(CELL("contents"),$C$2:$C$4852)),ROW($C$2:$C$4852),4^8),ROW(C4526)))&amp;""</f>
        <v>#N/A</v>
      </c>
    </row>
    <row r="4527" ht="14.100000000000001" customHeight="1">
      <c r="B4527" s="8" t="s">
        <v>9184</v>
      </c>
      <c r="C4527" s="8" t="s">
        <v>9185</v>
      </c>
      <c r="D4527" s="8" t="s">
        <v>9184</v>
      </c>
      <c r="E4527" s="20" t="e">
        <f t="array" ref="E4527">INDEX(C:C,SMALL(IF(ISNUMBER(FIND(CELL("contents"),$C$2:$C$4852)),ROW($C$2:$C$4852),4^8),ROW(C4527)))&amp;""</f>
        <v>#N/A</v>
      </c>
    </row>
    <row r="4528" ht="14.100000000000001" customHeight="1">
      <c r="B4528" s="8" t="s">
        <v>9186</v>
      </c>
      <c r="C4528" s="8" t="s">
        <v>9187</v>
      </c>
      <c r="D4528" s="8" t="s">
        <v>9186</v>
      </c>
      <c r="E4528" s="20" t="e">
        <f t="array" ref="E4528">INDEX(C:C,SMALL(IF(ISNUMBER(FIND(CELL("contents"),$C$2:$C$4852)),ROW($C$2:$C$4852),4^8),ROW(C4528)))&amp;""</f>
        <v>#N/A</v>
      </c>
    </row>
    <row r="4529" ht="14.100000000000001" customHeight="1">
      <c r="B4529" s="8" t="s">
        <v>9188</v>
      </c>
      <c r="C4529" s="8" t="s">
        <v>9189</v>
      </c>
      <c r="D4529" s="8" t="s">
        <v>9188</v>
      </c>
      <c r="E4529" s="20" t="e">
        <f t="array" ref="E4529">INDEX(C:C,SMALL(IF(ISNUMBER(FIND(CELL("contents"),$C$2:$C$4852)),ROW($C$2:$C$4852),4^8),ROW(C4529)))&amp;""</f>
        <v>#N/A</v>
      </c>
    </row>
    <row r="4530" ht="14.100000000000001" customHeight="1">
      <c r="B4530" s="8" t="s">
        <v>9190</v>
      </c>
      <c r="C4530" s="8" t="s">
        <v>9191</v>
      </c>
      <c r="D4530" s="8" t="s">
        <v>9190</v>
      </c>
      <c r="E4530" s="20" t="e">
        <f t="array" ref="E4530">INDEX(C:C,SMALL(IF(ISNUMBER(FIND(CELL("contents"),$C$2:$C$4852)),ROW($C$2:$C$4852),4^8),ROW(C4530)))&amp;""</f>
        <v>#N/A</v>
      </c>
    </row>
    <row r="4531" ht="14.100000000000001" customHeight="1">
      <c r="B4531" s="8" t="s">
        <v>9192</v>
      </c>
      <c r="C4531" s="8" t="s">
        <v>9193</v>
      </c>
      <c r="D4531" s="8" t="s">
        <v>9192</v>
      </c>
      <c r="E4531" s="20" t="e">
        <f t="array" ref="E4531">INDEX(C:C,SMALL(IF(ISNUMBER(FIND(CELL("contents"),$C$2:$C$4852)),ROW($C$2:$C$4852),4^8),ROW(C4531)))&amp;""</f>
        <v>#N/A</v>
      </c>
    </row>
    <row r="4532" ht="14.100000000000001" customHeight="1">
      <c r="B4532" s="8" t="s">
        <v>9194</v>
      </c>
      <c r="C4532" s="8" t="s">
        <v>9195</v>
      </c>
      <c r="D4532" s="8" t="s">
        <v>9194</v>
      </c>
      <c r="E4532" s="20" t="e">
        <f t="array" ref="E4532">INDEX(C:C,SMALL(IF(ISNUMBER(FIND(CELL("contents"),$C$2:$C$4852)),ROW($C$2:$C$4852),4^8),ROW(C4532)))&amp;""</f>
        <v>#N/A</v>
      </c>
    </row>
    <row r="4533" ht="14.100000000000001" customHeight="1">
      <c r="B4533" s="8" t="s">
        <v>9196</v>
      </c>
      <c r="C4533" s="8" t="s">
        <v>9197</v>
      </c>
      <c r="D4533" s="8" t="s">
        <v>9196</v>
      </c>
      <c r="E4533" s="20" t="e">
        <f t="array" ref="E4533">INDEX(C:C,SMALL(IF(ISNUMBER(FIND(CELL("contents"),$C$2:$C$4852)),ROW($C$2:$C$4852),4^8),ROW(C4533)))&amp;""</f>
        <v>#N/A</v>
      </c>
    </row>
    <row r="4534" ht="14.100000000000001" customHeight="1">
      <c r="B4534" s="8" t="s">
        <v>9198</v>
      </c>
      <c r="C4534" s="8" t="s">
        <v>9199</v>
      </c>
      <c r="D4534" s="8" t="s">
        <v>9198</v>
      </c>
      <c r="E4534" s="20" t="e">
        <f t="array" ref="E4534">INDEX(C:C,SMALL(IF(ISNUMBER(FIND(CELL("contents"),$C$2:$C$4852)),ROW($C$2:$C$4852),4^8),ROW(C4534)))&amp;""</f>
        <v>#N/A</v>
      </c>
    </row>
    <row r="4535" ht="14.100000000000001" customHeight="1">
      <c r="B4535" s="8" t="s">
        <v>9200</v>
      </c>
      <c r="C4535" s="8" t="s">
        <v>9201</v>
      </c>
      <c r="D4535" s="8" t="s">
        <v>9200</v>
      </c>
      <c r="E4535" s="20" t="e">
        <f t="array" ref="E4535">INDEX(C:C,SMALL(IF(ISNUMBER(FIND(CELL("contents"),$C$2:$C$4852)),ROW($C$2:$C$4852),4^8),ROW(C4535)))&amp;""</f>
        <v>#N/A</v>
      </c>
    </row>
    <row r="4536" ht="14.100000000000001" customHeight="1">
      <c r="B4536" s="8" t="s">
        <v>9202</v>
      </c>
      <c r="C4536" s="8" t="s">
        <v>9203</v>
      </c>
      <c r="D4536" s="8" t="s">
        <v>9202</v>
      </c>
      <c r="E4536" s="20" t="e">
        <f t="array" ref="E4536">INDEX(C:C,SMALL(IF(ISNUMBER(FIND(CELL("contents"),$C$2:$C$4852)),ROW($C$2:$C$4852),4^8),ROW(C4536)))&amp;""</f>
        <v>#N/A</v>
      </c>
    </row>
    <row r="4537" ht="14.100000000000001" customHeight="1">
      <c r="B4537" s="8" t="s">
        <v>9204</v>
      </c>
      <c r="C4537" s="8" t="s">
        <v>9205</v>
      </c>
      <c r="D4537" s="8" t="s">
        <v>9204</v>
      </c>
      <c r="E4537" s="20" t="e">
        <f t="array" ref="E4537">INDEX(C:C,SMALL(IF(ISNUMBER(FIND(CELL("contents"),$C$2:$C$4852)),ROW($C$2:$C$4852),4^8),ROW(C4537)))&amp;""</f>
        <v>#N/A</v>
      </c>
    </row>
    <row r="4538" ht="14.100000000000001" customHeight="1">
      <c r="B4538" s="8" t="s">
        <v>9206</v>
      </c>
      <c r="C4538" s="8" t="s">
        <v>9207</v>
      </c>
      <c r="D4538" s="8" t="s">
        <v>9206</v>
      </c>
      <c r="E4538" s="20" t="e">
        <f t="array" ref="E4538">INDEX(C:C,SMALL(IF(ISNUMBER(FIND(CELL("contents"),$C$2:$C$4852)),ROW($C$2:$C$4852),4^8),ROW(C4538)))&amp;""</f>
        <v>#N/A</v>
      </c>
    </row>
    <row r="4539" ht="14.100000000000001" customHeight="1">
      <c r="B4539" s="8" t="s">
        <v>9208</v>
      </c>
      <c r="C4539" s="8" t="s">
        <v>9209</v>
      </c>
      <c r="D4539" s="8" t="s">
        <v>9208</v>
      </c>
      <c r="E4539" s="20" t="e">
        <f t="array" ref="E4539">INDEX(C:C,SMALL(IF(ISNUMBER(FIND(CELL("contents"),$C$2:$C$4852)),ROW($C$2:$C$4852),4^8),ROW(C4539)))&amp;""</f>
        <v>#N/A</v>
      </c>
    </row>
    <row r="4540" ht="14.100000000000001" customHeight="1">
      <c r="B4540" s="8" t="s">
        <v>9210</v>
      </c>
      <c r="C4540" s="8" t="s">
        <v>9211</v>
      </c>
      <c r="D4540" s="8" t="s">
        <v>9210</v>
      </c>
      <c r="E4540" s="20" t="e">
        <f t="array" ref="E4540">INDEX(C:C,SMALL(IF(ISNUMBER(FIND(CELL("contents"),$C$2:$C$4852)),ROW($C$2:$C$4852),4^8),ROW(C4540)))&amp;""</f>
        <v>#N/A</v>
      </c>
    </row>
    <row r="4541" ht="14.100000000000001" customHeight="1">
      <c r="B4541" s="8" t="s">
        <v>9212</v>
      </c>
      <c r="C4541" s="8" t="s">
        <v>9213</v>
      </c>
      <c r="D4541" s="8" t="s">
        <v>9212</v>
      </c>
      <c r="E4541" s="20" t="e">
        <f t="array" ref="E4541">INDEX(C:C,SMALL(IF(ISNUMBER(FIND(CELL("contents"),$C$2:$C$4852)),ROW($C$2:$C$4852),4^8),ROW(C4541)))&amp;""</f>
        <v>#N/A</v>
      </c>
    </row>
    <row r="4542" ht="14.100000000000001" customHeight="1">
      <c r="B4542" s="8" t="s">
        <v>9214</v>
      </c>
      <c r="C4542" s="8" t="s">
        <v>8967</v>
      </c>
      <c r="D4542" s="8" t="s">
        <v>9214</v>
      </c>
      <c r="E4542" s="20" t="e">
        <f t="array" ref="E4542">INDEX(C:C,SMALL(IF(ISNUMBER(FIND(CELL("contents"),$C$2:$C$4852)),ROW($C$2:$C$4852),4^8),ROW(C4542)))&amp;""</f>
        <v>#N/A</v>
      </c>
    </row>
    <row r="4543" ht="14.100000000000001" customHeight="1">
      <c r="B4543" s="8" t="s">
        <v>9215</v>
      </c>
      <c r="C4543" s="8" t="s">
        <v>9216</v>
      </c>
      <c r="D4543" s="8" t="s">
        <v>9215</v>
      </c>
      <c r="E4543" s="20" t="e">
        <f t="array" ref="E4543">INDEX(C:C,SMALL(IF(ISNUMBER(FIND(CELL("contents"),$C$2:$C$4852)),ROW($C$2:$C$4852),4^8),ROW(C4543)))&amp;""</f>
        <v>#N/A</v>
      </c>
    </row>
    <row r="4544" ht="14.100000000000001" customHeight="1">
      <c r="B4544" s="8" t="s">
        <v>9217</v>
      </c>
      <c r="C4544" s="8" t="s">
        <v>9218</v>
      </c>
      <c r="D4544" s="8" t="s">
        <v>9217</v>
      </c>
      <c r="E4544" s="20" t="e">
        <f t="array" ref="E4544">INDEX(C:C,SMALL(IF(ISNUMBER(FIND(CELL("contents"),$C$2:$C$4852)),ROW($C$2:$C$4852),4^8),ROW(C4544)))&amp;""</f>
        <v>#N/A</v>
      </c>
    </row>
    <row r="4545" ht="14.100000000000001" customHeight="1">
      <c r="B4545" s="8" t="s">
        <v>9219</v>
      </c>
      <c r="C4545" s="8" t="s">
        <v>9220</v>
      </c>
      <c r="D4545" s="8" t="s">
        <v>9219</v>
      </c>
      <c r="E4545" s="20" t="e">
        <f t="array" ref="E4545">INDEX(C:C,SMALL(IF(ISNUMBER(FIND(CELL("contents"),$C$2:$C$4852)),ROW($C$2:$C$4852),4^8),ROW(C4545)))&amp;""</f>
        <v>#N/A</v>
      </c>
    </row>
    <row r="4546" ht="14.100000000000001" customHeight="1">
      <c r="B4546" s="8" t="s">
        <v>9221</v>
      </c>
      <c r="C4546" s="8" t="s">
        <v>9222</v>
      </c>
      <c r="D4546" s="8" t="s">
        <v>9221</v>
      </c>
      <c r="E4546" s="20" t="e">
        <f t="array" ref="E4546">INDEX(C:C,SMALL(IF(ISNUMBER(FIND(CELL("contents"),$C$2:$C$4852)),ROW($C$2:$C$4852),4^8),ROW(C4546)))&amp;""</f>
        <v>#N/A</v>
      </c>
    </row>
    <row r="4547" ht="14.100000000000001" customHeight="1">
      <c r="B4547" s="8" t="s">
        <v>9223</v>
      </c>
      <c r="C4547" s="8" t="s">
        <v>9224</v>
      </c>
      <c r="D4547" s="8" t="s">
        <v>9223</v>
      </c>
      <c r="E4547" s="20" t="e">
        <f t="array" ref="E4547">INDEX(C:C,SMALL(IF(ISNUMBER(FIND(CELL("contents"),$C$2:$C$4852)),ROW($C$2:$C$4852),4^8),ROW(C4547)))&amp;""</f>
        <v>#N/A</v>
      </c>
    </row>
    <row r="4548" ht="14.100000000000001" customHeight="1">
      <c r="B4548" s="8" t="s">
        <v>9225</v>
      </c>
      <c r="C4548" s="8" t="s">
        <v>9226</v>
      </c>
      <c r="D4548" s="8" t="s">
        <v>9225</v>
      </c>
      <c r="E4548" s="20" t="e">
        <f t="array" ref="E4548">INDEX(C:C,SMALL(IF(ISNUMBER(FIND(CELL("contents"),$C$2:$C$4852)),ROW($C$2:$C$4852),4^8),ROW(C4548)))&amp;""</f>
        <v>#N/A</v>
      </c>
    </row>
    <row r="4549" ht="14.100000000000001" customHeight="1">
      <c r="B4549" s="8" t="s">
        <v>9227</v>
      </c>
      <c r="C4549" s="8" t="s">
        <v>9228</v>
      </c>
      <c r="D4549" s="8" t="s">
        <v>9227</v>
      </c>
      <c r="E4549" s="20" t="e">
        <f t="array" ref="E4549">INDEX(C:C,SMALL(IF(ISNUMBER(FIND(CELL("contents"),$C$2:$C$4852)),ROW($C$2:$C$4852),4^8),ROW(C4549)))&amp;""</f>
        <v>#N/A</v>
      </c>
    </row>
    <row r="4550" ht="14.100000000000001" customHeight="1">
      <c r="B4550" s="8" t="s">
        <v>9229</v>
      </c>
      <c r="C4550" s="8" t="s">
        <v>9230</v>
      </c>
      <c r="D4550" s="8" t="s">
        <v>9229</v>
      </c>
      <c r="E4550" s="20" t="e">
        <f t="array" ref="E4550">INDEX(C:C,SMALL(IF(ISNUMBER(FIND(CELL("contents"),$C$2:$C$4852)),ROW($C$2:$C$4852),4^8),ROW(C4550)))&amp;""</f>
        <v>#N/A</v>
      </c>
    </row>
    <row r="4551" ht="14.100000000000001" customHeight="1">
      <c r="B4551" s="8" t="s">
        <v>9231</v>
      </c>
      <c r="C4551" s="8" t="s">
        <v>9232</v>
      </c>
      <c r="D4551" s="8" t="s">
        <v>9231</v>
      </c>
      <c r="E4551" s="20" t="e">
        <f t="array" ref="E4551">INDEX(C:C,SMALL(IF(ISNUMBER(FIND(CELL("contents"),$C$2:$C$4852)),ROW($C$2:$C$4852),4^8),ROW(C4551)))&amp;""</f>
        <v>#N/A</v>
      </c>
    </row>
    <row r="4552" ht="14.100000000000001" customHeight="1">
      <c r="B4552" s="8" t="s">
        <v>9233</v>
      </c>
      <c r="C4552" s="8" t="s">
        <v>9234</v>
      </c>
      <c r="D4552" s="8" t="s">
        <v>9233</v>
      </c>
      <c r="E4552" s="20" t="e">
        <f t="array" ref="E4552">INDEX(C:C,SMALL(IF(ISNUMBER(FIND(CELL("contents"),$C$2:$C$4852)),ROW($C$2:$C$4852),4^8),ROW(C4552)))&amp;""</f>
        <v>#N/A</v>
      </c>
    </row>
    <row r="4553" ht="14.100000000000001" customHeight="1">
      <c r="B4553" s="8" t="s">
        <v>9235</v>
      </c>
      <c r="C4553" s="8" t="s">
        <v>9236</v>
      </c>
      <c r="D4553" s="8" t="s">
        <v>9235</v>
      </c>
      <c r="E4553" s="20" t="e">
        <f t="array" ref="E4553">INDEX(C:C,SMALL(IF(ISNUMBER(FIND(CELL("contents"),$C$2:$C$4852)),ROW($C$2:$C$4852),4^8),ROW(C4553)))&amp;""</f>
        <v>#N/A</v>
      </c>
    </row>
    <row r="4554" ht="14.100000000000001" customHeight="1">
      <c r="B4554" s="8" t="s">
        <v>9237</v>
      </c>
      <c r="C4554" s="8" t="s">
        <v>9238</v>
      </c>
      <c r="D4554" s="8" t="s">
        <v>9237</v>
      </c>
      <c r="E4554" s="20" t="e">
        <f t="array" ref="E4554">INDEX(C:C,SMALL(IF(ISNUMBER(FIND(CELL("contents"),$C$2:$C$4852)),ROW($C$2:$C$4852),4^8),ROW(C4554)))&amp;""</f>
        <v>#N/A</v>
      </c>
    </row>
    <row r="4555" ht="14.100000000000001" customHeight="1">
      <c r="B4555" s="8" t="s">
        <v>9239</v>
      </c>
      <c r="C4555" s="8" t="s">
        <v>9240</v>
      </c>
      <c r="D4555" s="8" t="s">
        <v>9239</v>
      </c>
      <c r="E4555" s="20" t="e">
        <f t="array" ref="E4555">INDEX(C:C,SMALL(IF(ISNUMBER(FIND(CELL("contents"),$C$2:$C$4852)),ROW($C$2:$C$4852),4^8),ROW(C4555)))&amp;""</f>
        <v>#N/A</v>
      </c>
    </row>
    <row r="4556" ht="14.100000000000001" customHeight="1">
      <c r="B4556" s="8" t="s">
        <v>9241</v>
      </c>
      <c r="C4556" s="8" t="s">
        <v>9242</v>
      </c>
      <c r="D4556" s="8" t="s">
        <v>9241</v>
      </c>
      <c r="E4556" s="20" t="e">
        <f t="array" ref="E4556">INDEX(C:C,SMALL(IF(ISNUMBER(FIND(CELL("contents"),$C$2:$C$4852)),ROW($C$2:$C$4852),4^8),ROW(C4556)))&amp;""</f>
        <v>#N/A</v>
      </c>
    </row>
    <row r="4557" ht="14.100000000000001" customHeight="1">
      <c r="B4557" s="8" t="s">
        <v>9243</v>
      </c>
      <c r="C4557" s="8" t="s">
        <v>9244</v>
      </c>
      <c r="D4557" s="8" t="s">
        <v>9243</v>
      </c>
      <c r="E4557" s="20" t="e">
        <f t="array" ref="E4557">INDEX(C:C,SMALL(IF(ISNUMBER(FIND(CELL("contents"),$C$2:$C$4852)),ROW($C$2:$C$4852),4^8),ROW(C4557)))&amp;""</f>
        <v>#N/A</v>
      </c>
    </row>
    <row r="4558" ht="14.100000000000001" customHeight="1">
      <c r="B4558" s="8" t="s">
        <v>9245</v>
      </c>
      <c r="C4558" s="8" t="s">
        <v>9246</v>
      </c>
      <c r="D4558" s="8" t="s">
        <v>9245</v>
      </c>
      <c r="E4558" s="20" t="e">
        <f t="array" ref="E4558">INDEX(C:C,SMALL(IF(ISNUMBER(FIND(CELL("contents"),$C$2:$C$4852)),ROW($C$2:$C$4852),4^8),ROW(C4558)))&amp;""</f>
        <v>#N/A</v>
      </c>
    </row>
    <row r="4559" ht="14.100000000000001" customHeight="1">
      <c r="B4559" s="8" t="s">
        <v>9247</v>
      </c>
      <c r="C4559" s="8" t="s">
        <v>9248</v>
      </c>
      <c r="D4559" s="8" t="s">
        <v>9247</v>
      </c>
      <c r="E4559" s="20" t="e">
        <f t="array" ref="E4559">INDEX(C:C,SMALL(IF(ISNUMBER(FIND(CELL("contents"),$C$2:$C$4852)),ROW($C$2:$C$4852),4^8),ROW(C4559)))&amp;""</f>
        <v>#N/A</v>
      </c>
    </row>
    <row r="4560" ht="14.100000000000001" customHeight="1">
      <c r="B4560" s="8" t="s">
        <v>9249</v>
      </c>
      <c r="C4560" s="8" t="s">
        <v>9250</v>
      </c>
      <c r="D4560" s="8" t="s">
        <v>9249</v>
      </c>
      <c r="E4560" s="20" t="e">
        <f t="array" ref="E4560">INDEX(C:C,SMALL(IF(ISNUMBER(FIND(CELL("contents"),$C$2:$C$4852)),ROW($C$2:$C$4852),4^8),ROW(C4560)))&amp;""</f>
        <v>#N/A</v>
      </c>
    </row>
    <row r="4561" ht="14.100000000000001" customHeight="1">
      <c r="B4561" s="8" t="s">
        <v>9251</v>
      </c>
      <c r="C4561" s="8" t="s">
        <v>9252</v>
      </c>
      <c r="D4561" s="8" t="s">
        <v>9251</v>
      </c>
      <c r="E4561" s="20" t="e">
        <f t="array" ref="E4561">INDEX(C:C,SMALL(IF(ISNUMBER(FIND(CELL("contents"),$C$2:$C$4852)),ROW($C$2:$C$4852),4^8),ROW(C4561)))&amp;""</f>
        <v>#N/A</v>
      </c>
    </row>
    <row r="4562" ht="14.100000000000001" customHeight="1">
      <c r="B4562" s="8" t="s">
        <v>9253</v>
      </c>
      <c r="C4562" s="8" t="s">
        <v>9254</v>
      </c>
      <c r="D4562" s="8" t="s">
        <v>9253</v>
      </c>
      <c r="E4562" s="20" t="e">
        <f t="array" ref="E4562">INDEX(C:C,SMALL(IF(ISNUMBER(FIND(CELL("contents"),$C$2:$C$4852)),ROW($C$2:$C$4852),4^8),ROW(C4562)))&amp;""</f>
        <v>#N/A</v>
      </c>
    </row>
    <row r="4563" ht="14.100000000000001" customHeight="1">
      <c r="B4563" s="8" t="s">
        <v>9255</v>
      </c>
      <c r="C4563" s="8" t="s">
        <v>9256</v>
      </c>
      <c r="D4563" s="8" t="s">
        <v>9255</v>
      </c>
      <c r="E4563" s="20" t="e">
        <f t="array" ref="E4563">INDEX(C:C,SMALL(IF(ISNUMBER(FIND(CELL("contents"),$C$2:$C$4852)),ROW($C$2:$C$4852),4^8),ROW(C4563)))&amp;""</f>
        <v>#N/A</v>
      </c>
    </row>
    <row r="4564" ht="14.100000000000001" customHeight="1">
      <c r="B4564" s="8" t="s">
        <v>9257</v>
      </c>
      <c r="C4564" s="8" t="s">
        <v>9258</v>
      </c>
      <c r="D4564" s="8" t="s">
        <v>9257</v>
      </c>
      <c r="E4564" s="20" t="e">
        <f t="array" ref="E4564">INDEX(C:C,SMALL(IF(ISNUMBER(FIND(CELL("contents"),$C$2:$C$4852)),ROW($C$2:$C$4852),4^8),ROW(C4564)))&amp;""</f>
        <v>#N/A</v>
      </c>
    </row>
    <row r="4565" ht="14.100000000000001" customHeight="1">
      <c r="B4565" s="8" t="s">
        <v>9259</v>
      </c>
      <c r="C4565" s="8" t="s">
        <v>9260</v>
      </c>
      <c r="D4565" s="8" t="s">
        <v>9259</v>
      </c>
      <c r="E4565" s="20" t="e">
        <f t="array" ref="E4565">INDEX(C:C,SMALL(IF(ISNUMBER(FIND(CELL("contents"),$C$2:$C$4852)),ROW($C$2:$C$4852),4^8),ROW(C4565)))&amp;""</f>
        <v>#N/A</v>
      </c>
    </row>
    <row r="4566" ht="14.100000000000001" customHeight="1">
      <c r="B4566" s="8" t="s">
        <v>9261</v>
      </c>
      <c r="C4566" s="8" t="s">
        <v>9262</v>
      </c>
      <c r="D4566" s="8" t="s">
        <v>9261</v>
      </c>
      <c r="E4566" s="20" t="e">
        <f t="array" ref="E4566">INDEX(C:C,SMALL(IF(ISNUMBER(FIND(CELL("contents"),$C$2:$C$4852)),ROW($C$2:$C$4852),4^8),ROW(C4566)))&amp;""</f>
        <v>#N/A</v>
      </c>
    </row>
    <row r="4567" ht="14.100000000000001" customHeight="1">
      <c r="B4567" s="8" t="s">
        <v>9263</v>
      </c>
      <c r="C4567" s="8" t="s">
        <v>9264</v>
      </c>
      <c r="D4567" s="8" t="s">
        <v>9263</v>
      </c>
      <c r="E4567" s="20" t="e">
        <f t="array" ref="E4567">INDEX(C:C,SMALL(IF(ISNUMBER(FIND(CELL("contents"),$C$2:$C$4852)),ROW($C$2:$C$4852),4^8),ROW(C4567)))&amp;""</f>
        <v>#N/A</v>
      </c>
    </row>
    <row r="4568" ht="14.100000000000001" customHeight="1">
      <c r="B4568" s="8" t="s">
        <v>9265</v>
      </c>
      <c r="C4568" s="8" t="s">
        <v>9266</v>
      </c>
      <c r="D4568" s="8" t="s">
        <v>9265</v>
      </c>
      <c r="E4568" s="20" t="e">
        <f t="array" ref="E4568">INDEX(C:C,SMALL(IF(ISNUMBER(FIND(CELL("contents"),$C$2:$C$4852)),ROW($C$2:$C$4852),4^8),ROW(C4568)))&amp;""</f>
        <v>#N/A</v>
      </c>
    </row>
    <row r="4569" ht="14.100000000000001" customHeight="1">
      <c r="B4569" s="8" t="s">
        <v>9267</v>
      </c>
      <c r="C4569" s="8" t="s">
        <v>9268</v>
      </c>
      <c r="D4569" s="8" t="s">
        <v>9267</v>
      </c>
      <c r="E4569" s="20" t="e">
        <f t="array" ref="E4569">INDEX(C:C,SMALL(IF(ISNUMBER(FIND(CELL("contents"),$C$2:$C$4852)),ROW($C$2:$C$4852),4^8),ROW(C4569)))&amp;""</f>
        <v>#N/A</v>
      </c>
    </row>
    <row r="4570" ht="14.100000000000001" customHeight="1">
      <c r="B4570" s="8" t="s">
        <v>9269</v>
      </c>
      <c r="C4570" s="8" t="s">
        <v>9270</v>
      </c>
      <c r="D4570" s="8" t="s">
        <v>9269</v>
      </c>
      <c r="E4570" s="20" t="e">
        <f t="array" ref="E4570">INDEX(C:C,SMALL(IF(ISNUMBER(FIND(CELL("contents"),$C$2:$C$4852)),ROW($C$2:$C$4852),4^8),ROW(C4570)))&amp;""</f>
        <v>#N/A</v>
      </c>
    </row>
    <row r="4571" ht="14.100000000000001" customHeight="1">
      <c r="B4571" s="8" t="s">
        <v>9271</v>
      </c>
      <c r="C4571" s="8" t="s">
        <v>9272</v>
      </c>
      <c r="D4571" s="8" t="s">
        <v>9271</v>
      </c>
      <c r="E4571" s="20" t="e">
        <f t="array" ref="E4571">INDEX(C:C,SMALL(IF(ISNUMBER(FIND(CELL("contents"),$C$2:$C$4852)),ROW($C$2:$C$4852),4^8),ROW(C4571)))&amp;""</f>
        <v>#N/A</v>
      </c>
    </row>
    <row r="4572" ht="14.100000000000001" customHeight="1">
      <c r="B4572" s="8" t="s">
        <v>9273</v>
      </c>
      <c r="C4572" s="8" t="s">
        <v>9274</v>
      </c>
      <c r="D4572" s="8" t="s">
        <v>9273</v>
      </c>
      <c r="E4572" s="20" t="e">
        <f t="array" ref="E4572">INDEX(C:C,SMALL(IF(ISNUMBER(FIND(CELL("contents"),$C$2:$C$4852)),ROW($C$2:$C$4852),4^8),ROW(C4572)))&amp;""</f>
        <v>#N/A</v>
      </c>
    </row>
    <row r="4573" ht="14.100000000000001" customHeight="1">
      <c r="B4573" s="8" t="s">
        <v>9275</v>
      </c>
      <c r="C4573" s="8" t="s">
        <v>9276</v>
      </c>
      <c r="D4573" s="8" t="s">
        <v>9275</v>
      </c>
      <c r="E4573" s="20" t="e">
        <f t="array" ref="E4573">INDEX(C:C,SMALL(IF(ISNUMBER(FIND(CELL("contents"),$C$2:$C$4852)),ROW($C$2:$C$4852),4^8),ROW(C4573)))&amp;""</f>
        <v>#N/A</v>
      </c>
    </row>
    <row r="4574" ht="14.100000000000001" customHeight="1">
      <c r="B4574" s="8" t="s">
        <v>9277</v>
      </c>
      <c r="C4574" s="8" t="s">
        <v>9278</v>
      </c>
      <c r="D4574" s="8" t="s">
        <v>9277</v>
      </c>
      <c r="E4574" s="20" t="e">
        <f t="array" ref="E4574">INDEX(C:C,SMALL(IF(ISNUMBER(FIND(CELL("contents"),$C$2:$C$4852)),ROW($C$2:$C$4852),4^8),ROW(C4574)))&amp;""</f>
        <v>#N/A</v>
      </c>
    </row>
    <row r="4575" ht="14.100000000000001" customHeight="1">
      <c r="B4575" s="8" t="s">
        <v>9279</v>
      </c>
      <c r="C4575" s="8" t="s">
        <v>9280</v>
      </c>
      <c r="D4575" s="8" t="s">
        <v>9279</v>
      </c>
      <c r="E4575" s="20" t="e">
        <f t="array" ref="E4575">INDEX(C:C,SMALL(IF(ISNUMBER(FIND(CELL("contents"),$C$2:$C$4852)),ROW($C$2:$C$4852),4^8),ROW(C4575)))&amp;""</f>
        <v>#N/A</v>
      </c>
    </row>
    <row r="4576" ht="14.100000000000001" customHeight="1">
      <c r="B4576" s="8" t="s">
        <v>9281</v>
      </c>
      <c r="C4576" s="8" t="s">
        <v>9282</v>
      </c>
      <c r="D4576" s="8" t="s">
        <v>9281</v>
      </c>
      <c r="E4576" s="20" t="e">
        <f t="array" ref="E4576">INDEX(C:C,SMALL(IF(ISNUMBER(FIND(CELL("contents"),$C$2:$C$4852)),ROW($C$2:$C$4852),4^8),ROW(C4576)))&amp;""</f>
        <v>#N/A</v>
      </c>
    </row>
    <row r="4577" ht="14.100000000000001" customHeight="1">
      <c r="B4577" s="8" t="s">
        <v>9283</v>
      </c>
      <c r="C4577" s="8" t="s">
        <v>9284</v>
      </c>
      <c r="D4577" s="8" t="s">
        <v>9283</v>
      </c>
      <c r="E4577" s="20" t="e">
        <f t="array" ref="E4577">INDEX(C:C,SMALL(IF(ISNUMBER(FIND(CELL("contents"),$C$2:$C$4852)),ROW($C$2:$C$4852),4^8),ROW(C4577)))&amp;""</f>
        <v>#N/A</v>
      </c>
    </row>
    <row r="4578" ht="14.100000000000001" customHeight="1">
      <c r="B4578" s="8" t="s">
        <v>9285</v>
      </c>
      <c r="C4578" s="8" t="s">
        <v>9286</v>
      </c>
      <c r="D4578" s="8" t="s">
        <v>9285</v>
      </c>
      <c r="E4578" s="20" t="e">
        <f t="array" ref="E4578">INDEX(C:C,SMALL(IF(ISNUMBER(FIND(CELL("contents"),$C$2:$C$4852)),ROW($C$2:$C$4852),4^8),ROW(C4578)))&amp;""</f>
        <v>#N/A</v>
      </c>
    </row>
    <row r="4579" ht="14.100000000000001" customHeight="1">
      <c r="B4579" s="8" t="s">
        <v>9287</v>
      </c>
      <c r="C4579" s="8" t="s">
        <v>9288</v>
      </c>
      <c r="D4579" s="8" t="s">
        <v>9287</v>
      </c>
      <c r="E4579" s="20" t="e">
        <f t="array" ref="E4579">INDEX(C:C,SMALL(IF(ISNUMBER(FIND(CELL("contents"),$C$2:$C$4852)),ROW($C$2:$C$4852),4^8),ROW(C4579)))&amp;""</f>
        <v>#N/A</v>
      </c>
    </row>
    <row r="4580" ht="14.100000000000001" customHeight="1">
      <c r="B4580" s="8" t="s">
        <v>9289</v>
      </c>
      <c r="C4580" s="8" t="s">
        <v>9290</v>
      </c>
      <c r="D4580" s="8" t="s">
        <v>9289</v>
      </c>
      <c r="E4580" s="20" t="e">
        <f t="array" ref="E4580">INDEX(C:C,SMALL(IF(ISNUMBER(FIND(CELL("contents"),$C$2:$C$4852)),ROW($C$2:$C$4852),4^8),ROW(C4580)))&amp;""</f>
        <v>#N/A</v>
      </c>
    </row>
    <row r="4581" ht="14.100000000000001" customHeight="1">
      <c r="B4581" s="8" t="s">
        <v>9291</v>
      </c>
      <c r="C4581" s="8" t="s">
        <v>9292</v>
      </c>
      <c r="D4581" s="8" t="s">
        <v>9291</v>
      </c>
      <c r="E4581" s="20" t="e">
        <f t="array" ref="E4581">INDEX(C:C,SMALL(IF(ISNUMBER(FIND(CELL("contents"),$C$2:$C$4852)),ROW($C$2:$C$4852),4^8),ROW(C4581)))&amp;""</f>
        <v>#N/A</v>
      </c>
    </row>
    <row r="4582" ht="14.100000000000001" customHeight="1">
      <c r="B4582" s="8" t="s">
        <v>9293</v>
      </c>
      <c r="C4582" s="8" t="s">
        <v>9294</v>
      </c>
      <c r="D4582" s="8" t="s">
        <v>9293</v>
      </c>
      <c r="E4582" s="20" t="e">
        <f t="array" ref="E4582">INDEX(C:C,SMALL(IF(ISNUMBER(FIND(CELL("contents"),$C$2:$C$4852)),ROW($C$2:$C$4852),4^8),ROW(C4582)))&amp;""</f>
        <v>#N/A</v>
      </c>
    </row>
    <row r="4583" ht="14.100000000000001" customHeight="1">
      <c r="B4583" s="8" t="s">
        <v>9295</v>
      </c>
      <c r="C4583" s="8" t="s">
        <v>9296</v>
      </c>
      <c r="D4583" s="8" t="s">
        <v>9295</v>
      </c>
      <c r="E4583" s="20" t="e">
        <f t="array" ref="E4583">INDEX(C:C,SMALL(IF(ISNUMBER(FIND(CELL("contents"),$C$2:$C$4852)),ROW($C$2:$C$4852),4^8),ROW(C4583)))&amp;""</f>
        <v>#N/A</v>
      </c>
    </row>
    <row r="4584" ht="14.100000000000001" customHeight="1">
      <c r="B4584" s="8" t="s">
        <v>9297</v>
      </c>
      <c r="C4584" s="8" t="s">
        <v>9298</v>
      </c>
      <c r="D4584" s="8" t="s">
        <v>9297</v>
      </c>
      <c r="E4584" s="20" t="e">
        <f t="array" ref="E4584">INDEX(C:C,SMALL(IF(ISNUMBER(FIND(CELL("contents"),$C$2:$C$4852)),ROW($C$2:$C$4852),4^8),ROW(C4584)))&amp;""</f>
        <v>#N/A</v>
      </c>
    </row>
    <row r="4585" ht="14.100000000000001" customHeight="1">
      <c r="B4585" s="8" t="s">
        <v>9299</v>
      </c>
      <c r="C4585" s="8" t="s">
        <v>9300</v>
      </c>
      <c r="D4585" s="8" t="s">
        <v>9299</v>
      </c>
      <c r="E4585" s="20" t="e">
        <f t="array" ref="E4585">INDEX(C:C,SMALL(IF(ISNUMBER(FIND(CELL("contents"),$C$2:$C$4852)),ROW($C$2:$C$4852),4^8),ROW(C4585)))&amp;""</f>
        <v>#N/A</v>
      </c>
    </row>
    <row r="4586" ht="14.100000000000001" customHeight="1">
      <c r="B4586" s="8" t="s">
        <v>9301</v>
      </c>
      <c r="C4586" s="8" t="s">
        <v>9302</v>
      </c>
      <c r="D4586" s="8" t="s">
        <v>9301</v>
      </c>
      <c r="E4586" s="20" t="e">
        <f t="array" ref="E4586">INDEX(C:C,SMALL(IF(ISNUMBER(FIND(CELL("contents"),$C$2:$C$4852)),ROW($C$2:$C$4852),4^8),ROW(C4586)))&amp;""</f>
        <v>#N/A</v>
      </c>
    </row>
    <row r="4587" ht="14.100000000000001" customHeight="1">
      <c r="B4587" s="8" t="s">
        <v>9303</v>
      </c>
      <c r="C4587" s="8" t="s">
        <v>9304</v>
      </c>
      <c r="D4587" s="8" t="s">
        <v>9303</v>
      </c>
      <c r="E4587" s="20" t="e">
        <f t="array" ref="E4587">INDEX(C:C,SMALL(IF(ISNUMBER(FIND(CELL("contents"),$C$2:$C$4852)),ROW($C$2:$C$4852),4^8),ROW(C4587)))&amp;""</f>
        <v>#N/A</v>
      </c>
    </row>
    <row r="4588" ht="14.100000000000001" customHeight="1">
      <c r="B4588" s="8" t="s">
        <v>9305</v>
      </c>
      <c r="C4588" s="8" t="s">
        <v>9306</v>
      </c>
      <c r="D4588" s="8" t="s">
        <v>9305</v>
      </c>
      <c r="E4588" s="20" t="e">
        <f t="array" ref="E4588">INDEX(C:C,SMALL(IF(ISNUMBER(FIND(CELL("contents"),$C$2:$C$4852)),ROW($C$2:$C$4852),4^8),ROW(C4588)))&amp;""</f>
        <v>#N/A</v>
      </c>
    </row>
    <row r="4589" ht="14.100000000000001" customHeight="1">
      <c r="B4589" s="8" t="s">
        <v>9307</v>
      </c>
      <c r="C4589" s="8" t="s">
        <v>9308</v>
      </c>
      <c r="D4589" s="8" t="s">
        <v>9307</v>
      </c>
      <c r="E4589" s="20" t="e">
        <f t="array" ref="E4589">INDEX(C:C,SMALL(IF(ISNUMBER(FIND(CELL("contents"),$C$2:$C$4852)),ROW($C$2:$C$4852),4^8),ROW(C4589)))&amp;""</f>
        <v>#N/A</v>
      </c>
    </row>
    <row r="4590" ht="14.100000000000001" customHeight="1">
      <c r="B4590" s="8" t="s">
        <v>9309</v>
      </c>
      <c r="C4590" s="8" t="s">
        <v>9310</v>
      </c>
      <c r="D4590" s="8" t="s">
        <v>9309</v>
      </c>
      <c r="E4590" s="20" t="e">
        <f t="array" ref="E4590">INDEX(C:C,SMALL(IF(ISNUMBER(FIND(CELL("contents"),$C$2:$C$4852)),ROW($C$2:$C$4852),4^8),ROW(C4590)))&amp;""</f>
        <v>#N/A</v>
      </c>
    </row>
    <row r="4591" ht="14.100000000000001" customHeight="1">
      <c r="B4591" s="8" t="s">
        <v>9311</v>
      </c>
      <c r="C4591" s="8" t="s">
        <v>9312</v>
      </c>
      <c r="D4591" s="8" t="s">
        <v>9311</v>
      </c>
      <c r="E4591" s="20" t="e">
        <f t="array" ref="E4591">INDEX(C:C,SMALL(IF(ISNUMBER(FIND(CELL("contents"),$C$2:$C$4852)),ROW($C$2:$C$4852),4^8),ROW(C4591)))&amp;""</f>
        <v>#N/A</v>
      </c>
    </row>
    <row r="4592" ht="14.100000000000001" customHeight="1">
      <c r="B4592" s="8" t="s">
        <v>9313</v>
      </c>
      <c r="C4592" s="8" t="s">
        <v>9314</v>
      </c>
      <c r="D4592" s="8" t="s">
        <v>9313</v>
      </c>
      <c r="E4592" s="20" t="e">
        <f t="array" ref="E4592">INDEX(C:C,SMALL(IF(ISNUMBER(FIND(CELL("contents"),$C$2:$C$4852)),ROW($C$2:$C$4852),4^8),ROW(C4592)))&amp;""</f>
        <v>#N/A</v>
      </c>
    </row>
    <row r="4593" ht="14.100000000000001" customHeight="1">
      <c r="B4593" s="8" t="s">
        <v>9315</v>
      </c>
      <c r="C4593" s="8" t="s">
        <v>9316</v>
      </c>
      <c r="D4593" s="8" t="s">
        <v>9315</v>
      </c>
      <c r="E4593" s="20" t="e">
        <f t="array" ref="E4593">INDEX(C:C,SMALL(IF(ISNUMBER(FIND(CELL("contents"),$C$2:$C$4852)),ROW($C$2:$C$4852),4^8),ROW(C4593)))&amp;""</f>
        <v>#N/A</v>
      </c>
    </row>
    <row r="4594" ht="14.100000000000001" customHeight="1">
      <c r="B4594" s="8" t="s">
        <v>9317</v>
      </c>
      <c r="C4594" s="8" t="s">
        <v>9318</v>
      </c>
      <c r="D4594" s="8" t="s">
        <v>9317</v>
      </c>
      <c r="E4594" s="20" t="e">
        <f t="array" ref="E4594">INDEX(C:C,SMALL(IF(ISNUMBER(FIND(CELL("contents"),$C$2:$C$4852)),ROW($C$2:$C$4852),4^8),ROW(C4594)))&amp;""</f>
        <v>#N/A</v>
      </c>
    </row>
    <row r="4595" ht="14.100000000000001" customHeight="1">
      <c r="B4595" s="8" t="s">
        <v>9319</v>
      </c>
      <c r="C4595" s="8" t="s">
        <v>9320</v>
      </c>
      <c r="D4595" s="8" t="s">
        <v>9319</v>
      </c>
      <c r="E4595" s="20" t="e">
        <f t="array" ref="E4595">INDEX(C:C,SMALL(IF(ISNUMBER(FIND(CELL("contents"),$C$2:$C$4852)),ROW($C$2:$C$4852),4^8),ROW(C4595)))&amp;""</f>
        <v>#N/A</v>
      </c>
    </row>
    <row r="4596" ht="14.100000000000001" customHeight="1">
      <c r="B4596" s="8" t="s">
        <v>9321</v>
      </c>
      <c r="C4596" s="8" t="s">
        <v>9322</v>
      </c>
      <c r="D4596" s="8" t="s">
        <v>9321</v>
      </c>
      <c r="E4596" s="20" t="e">
        <f t="array" ref="E4596">INDEX(C:C,SMALL(IF(ISNUMBER(FIND(CELL("contents"),$C$2:$C$4852)),ROW($C$2:$C$4852),4^8),ROW(C4596)))&amp;""</f>
        <v>#N/A</v>
      </c>
    </row>
    <row r="4597" ht="14.100000000000001" customHeight="1">
      <c r="B4597" s="8" t="s">
        <v>9323</v>
      </c>
      <c r="C4597" s="8" t="s">
        <v>7702</v>
      </c>
      <c r="D4597" s="8" t="s">
        <v>9323</v>
      </c>
      <c r="E4597" s="20" t="e">
        <f t="array" ref="E4597">INDEX(C:C,SMALL(IF(ISNUMBER(FIND(CELL("contents"),$C$2:$C$4852)),ROW($C$2:$C$4852),4^8),ROW(C4597)))&amp;""</f>
        <v>#N/A</v>
      </c>
    </row>
    <row r="4598" ht="14.100000000000001" customHeight="1">
      <c r="B4598" s="8" t="s">
        <v>9324</v>
      </c>
      <c r="C4598" s="8" t="s">
        <v>9325</v>
      </c>
      <c r="D4598" s="8" t="s">
        <v>9324</v>
      </c>
      <c r="E4598" s="20" t="e">
        <f t="array" ref="E4598">INDEX(C:C,SMALL(IF(ISNUMBER(FIND(CELL("contents"),$C$2:$C$4852)),ROW($C$2:$C$4852),4^8),ROW(C4598)))&amp;""</f>
        <v>#N/A</v>
      </c>
    </row>
    <row r="4599" ht="14.100000000000001" customHeight="1">
      <c r="B4599" s="8" t="s">
        <v>9326</v>
      </c>
      <c r="C4599" s="8" t="s">
        <v>9327</v>
      </c>
      <c r="D4599" s="8" t="s">
        <v>9326</v>
      </c>
      <c r="E4599" s="20" t="e">
        <f t="array" ref="E4599">INDEX(C:C,SMALL(IF(ISNUMBER(FIND(CELL("contents"),$C$2:$C$4852)),ROW($C$2:$C$4852),4^8),ROW(C4599)))&amp;""</f>
        <v>#N/A</v>
      </c>
    </row>
    <row r="4600" ht="14.100000000000001" customHeight="1">
      <c r="B4600" s="8" t="s">
        <v>9328</v>
      </c>
      <c r="C4600" s="8" t="s">
        <v>9329</v>
      </c>
      <c r="D4600" s="8" t="s">
        <v>9328</v>
      </c>
      <c r="E4600" s="20" t="e">
        <f t="array" ref="E4600">INDEX(C:C,SMALL(IF(ISNUMBER(FIND(CELL("contents"),$C$2:$C$4852)),ROW($C$2:$C$4852),4^8),ROW(C4600)))&amp;""</f>
        <v>#N/A</v>
      </c>
    </row>
    <row r="4601" ht="14.100000000000001" customHeight="1">
      <c r="B4601" s="8" t="s">
        <v>9330</v>
      </c>
      <c r="C4601" s="8" t="s">
        <v>9331</v>
      </c>
      <c r="D4601" s="8" t="s">
        <v>9330</v>
      </c>
      <c r="E4601" s="20" t="e">
        <f t="array" ref="E4601">INDEX(C:C,SMALL(IF(ISNUMBER(FIND(CELL("contents"),$C$2:$C$4852)),ROW($C$2:$C$4852),4^8),ROW(C4601)))&amp;""</f>
        <v>#N/A</v>
      </c>
    </row>
    <row r="4602" ht="14.100000000000001" customHeight="1">
      <c r="B4602" s="8" t="s">
        <v>9332</v>
      </c>
      <c r="C4602" s="8" t="s">
        <v>9333</v>
      </c>
      <c r="D4602" s="8" t="s">
        <v>9332</v>
      </c>
      <c r="E4602" s="20" t="e">
        <f t="array" ref="E4602">INDEX(C:C,SMALL(IF(ISNUMBER(FIND(CELL("contents"),$C$2:$C$4852)),ROW($C$2:$C$4852),4^8),ROW(C4602)))&amp;""</f>
        <v>#N/A</v>
      </c>
    </row>
    <row r="4603" ht="14.100000000000001" customHeight="1">
      <c r="B4603" s="8" t="s">
        <v>9334</v>
      </c>
      <c r="C4603" s="8" t="s">
        <v>9335</v>
      </c>
      <c r="D4603" s="8" t="s">
        <v>9334</v>
      </c>
      <c r="E4603" s="20" t="e">
        <f t="array" ref="E4603">INDEX(C:C,SMALL(IF(ISNUMBER(FIND(CELL("contents"),$C$2:$C$4852)),ROW($C$2:$C$4852),4^8),ROW(C4603)))&amp;""</f>
        <v>#N/A</v>
      </c>
    </row>
    <row r="4604" ht="14.100000000000001" customHeight="1">
      <c r="B4604" s="8" t="s">
        <v>9336</v>
      </c>
      <c r="C4604" s="8" t="s">
        <v>9337</v>
      </c>
      <c r="D4604" s="8" t="s">
        <v>9336</v>
      </c>
      <c r="E4604" s="20" t="e">
        <f t="array" ref="E4604">INDEX(C:C,SMALL(IF(ISNUMBER(FIND(CELL("contents"),$C$2:$C$4852)),ROW($C$2:$C$4852),4^8),ROW(C4604)))&amp;""</f>
        <v>#N/A</v>
      </c>
    </row>
    <row r="4605" ht="14.100000000000001" customHeight="1">
      <c r="B4605" s="8" t="s">
        <v>9338</v>
      </c>
      <c r="C4605" s="8" t="s">
        <v>9339</v>
      </c>
      <c r="D4605" s="8" t="s">
        <v>9338</v>
      </c>
      <c r="E4605" s="20" t="e">
        <f t="array" ref="E4605">INDEX(C:C,SMALL(IF(ISNUMBER(FIND(CELL("contents"),$C$2:$C$4852)),ROW($C$2:$C$4852),4^8),ROW(C4605)))&amp;""</f>
        <v>#N/A</v>
      </c>
    </row>
    <row r="4606" ht="14.100000000000001" customHeight="1">
      <c r="B4606" s="8" t="s">
        <v>9340</v>
      </c>
      <c r="C4606" s="8" t="s">
        <v>9341</v>
      </c>
      <c r="D4606" s="8" t="s">
        <v>9340</v>
      </c>
      <c r="E4606" s="20" t="e">
        <f t="array" ref="E4606">INDEX(C:C,SMALL(IF(ISNUMBER(FIND(CELL("contents"),$C$2:$C$4852)),ROW($C$2:$C$4852),4^8),ROW(C4606)))&amp;""</f>
        <v>#N/A</v>
      </c>
    </row>
    <row r="4607" ht="14.100000000000001" customHeight="1">
      <c r="B4607" s="8" t="s">
        <v>9342</v>
      </c>
      <c r="C4607" s="8" t="s">
        <v>9343</v>
      </c>
      <c r="D4607" s="8" t="s">
        <v>9342</v>
      </c>
      <c r="E4607" s="20" t="e">
        <f t="array" ref="E4607">INDEX(C:C,SMALL(IF(ISNUMBER(FIND(CELL("contents"),$C$2:$C$4852)),ROW($C$2:$C$4852),4^8),ROW(C4607)))&amp;""</f>
        <v>#N/A</v>
      </c>
    </row>
    <row r="4608" ht="14.100000000000001" customHeight="1">
      <c r="B4608" s="8" t="s">
        <v>9344</v>
      </c>
      <c r="C4608" s="8" t="s">
        <v>9345</v>
      </c>
      <c r="D4608" s="8" t="s">
        <v>9344</v>
      </c>
      <c r="E4608" s="20" t="e">
        <f t="array" ref="E4608">INDEX(C:C,SMALL(IF(ISNUMBER(FIND(CELL("contents"),$C$2:$C$4852)),ROW($C$2:$C$4852),4^8),ROW(C4608)))&amp;""</f>
        <v>#N/A</v>
      </c>
    </row>
    <row r="4609" ht="14.100000000000001" customHeight="1">
      <c r="B4609" s="8" t="s">
        <v>9346</v>
      </c>
      <c r="C4609" s="8" t="s">
        <v>9347</v>
      </c>
      <c r="D4609" s="8" t="s">
        <v>9346</v>
      </c>
      <c r="E4609" s="20" t="e">
        <f t="array" ref="E4609">INDEX(C:C,SMALL(IF(ISNUMBER(FIND(CELL("contents"),$C$2:$C$4852)),ROW($C$2:$C$4852),4^8),ROW(C4609)))&amp;""</f>
        <v>#N/A</v>
      </c>
    </row>
    <row r="4610" ht="14.100000000000001" customHeight="1">
      <c r="B4610" s="8" t="s">
        <v>9348</v>
      </c>
      <c r="C4610" s="8" t="s">
        <v>9349</v>
      </c>
      <c r="D4610" s="8" t="s">
        <v>9348</v>
      </c>
      <c r="E4610" s="20" t="e">
        <f t="array" ref="E4610">INDEX(C:C,SMALL(IF(ISNUMBER(FIND(CELL("contents"),$C$2:$C$4852)),ROW($C$2:$C$4852),4^8),ROW(C4610)))&amp;""</f>
        <v>#N/A</v>
      </c>
    </row>
    <row r="4611" ht="14.100000000000001" customHeight="1">
      <c r="B4611" s="8" t="s">
        <v>9350</v>
      </c>
      <c r="C4611" s="8" t="s">
        <v>9351</v>
      </c>
      <c r="D4611" s="8" t="s">
        <v>9350</v>
      </c>
      <c r="E4611" s="20" t="e">
        <f t="array" ref="E4611">INDEX(C:C,SMALL(IF(ISNUMBER(FIND(CELL("contents"),$C$2:$C$4852)),ROW($C$2:$C$4852),4^8),ROW(C4611)))&amp;""</f>
        <v>#N/A</v>
      </c>
    </row>
    <row r="4612" ht="14.100000000000001" customHeight="1">
      <c r="B4612" s="8" t="s">
        <v>9352</v>
      </c>
      <c r="C4612" s="8" t="s">
        <v>9353</v>
      </c>
      <c r="D4612" s="8" t="s">
        <v>9352</v>
      </c>
      <c r="E4612" s="20" t="e">
        <f t="array" ref="E4612">INDEX(C:C,SMALL(IF(ISNUMBER(FIND(CELL("contents"),$C$2:$C$4852)),ROW($C$2:$C$4852),4^8),ROW(C4612)))&amp;""</f>
        <v>#N/A</v>
      </c>
    </row>
    <row r="4613" ht="14.100000000000001" customHeight="1">
      <c r="B4613" s="8" t="s">
        <v>9354</v>
      </c>
      <c r="C4613" s="8" t="s">
        <v>9355</v>
      </c>
      <c r="D4613" s="8" t="s">
        <v>9354</v>
      </c>
      <c r="E4613" s="20" t="e">
        <f t="array" ref="E4613">INDEX(C:C,SMALL(IF(ISNUMBER(FIND(CELL("contents"),$C$2:$C$4852)),ROW($C$2:$C$4852),4^8),ROW(C4613)))&amp;""</f>
        <v>#N/A</v>
      </c>
    </row>
    <row r="4614" ht="14.100000000000001" customHeight="1">
      <c r="B4614" s="8" t="s">
        <v>9356</v>
      </c>
      <c r="C4614" s="8" t="s">
        <v>9357</v>
      </c>
      <c r="D4614" s="8" t="s">
        <v>9356</v>
      </c>
      <c r="E4614" s="20" t="e">
        <f t="array" ref="E4614">INDEX(C:C,SMALL(IF(ISNUMBER(FIND(CELL("contents"),$C$2:$C$4852)),ROW($C$2:$C$4852),4^8),ROW(C4614)))&amp;""</f>
        <v>#N/A</v>
      </c>
    </row>
    <row r="4615" ht="14.100000000000001" customHeight="1">
      <c r="B4615" s="8" t="s">
        <v>9358</v>
      </c>
      <c r="C4615" s="8" t="s">
        <v>9359</v>
      </c>
      <c r="D4615" s="8" t="s">
        <v>9358</v>
      </c>
      <c r="E4615" s="20" t="e">
        <f t="array" ref="E4615">INDEX(C:C,SMALL(IF(ISNUMBER(FIND(CELL("contents"),$C$2:$C$4852)),ROW($C$2:$C$4852),4^8),ROW(C4615)))&amp;""</f>
        <v>#N/A</v>
      </c>
    </row>
    <row r="4616" ht="14.100000000000001" customHeight="1">
      <c r="B4616" s="8" t="s">
        <v>9360</v>
      </c>
      <c r="C4616" s="8" t="s">
        <v>9361</v>
      </c>
      <c r="D4616" s="8" t="s">
        <v>9360</v>
      </c>
      <c r="E4616" s="20" t="e">
        <f t="array" ref="E4616">INDEX(C:C,SMALL(IF(ISNUMBER(FIND(CELL("contents"),$C$2:$C$4852)),ROW($C$2:$C$4852),4^8),ROW(C4616)))&amp;""</f>
        <v>#N/A</v>
      </c>
    </row>
    <row r="4617" ht="14.100000000000001" customHeight="1">
      <c r="B4617" s="8" t="s">
        <v>9362</v>
      </c>
      <c r="C4617" s="8" t="s">
        <v>9363</v>
      </c>
      <c r="D4617" s="8" t="s">
        <v>9362</v>
      </c>
      <c r="E4617" s="20" t="e">
        <f t="array" ref="E4617">INDEX(C:C,SMALL(IF(ISNUMBER(FIND(CELL("contents"),$C$2:$C$4852)),ROW($C$2:$C$4852),4^8),ROW(C4617)))&amp;""</f>
        <v>#N/A</v>
      </c>
    </row>
    <row r="4618" ht="14.100000000000001" customHeight="1">
      <c r="B4618" s="8" t="s">
        <v>9364</v>
      </c>
      <c r="C4618" s="8" t="s">
        <v>9365</v>
      </c>
      <c r="D4618" s="8" t="s">
        <v>9364</v>
      </c>
      <c r="E4618" s="20" t="e">
        <f t="array" ref="E4618">INDEX(C:C,SMALL(IF(ISNUMBER(FIND(CELL("contents"),$C$2:$C$4852)),ROW($C$2:$C$4852),4^8),ROW(C4618)))&amp;""</f>
        <v>#N/A</v>
      </c>
    </row>
    <row r="4619" ht="14.100000000000001" customHeight="1">
      <c r="B4619" s="8" t="s">
        <v>9366</v>
      </c>
      <c r="C4619" s="8" t="s">
        <v>9367</v>
      </c>
      <c r="D4619" s="8" t="s">
        <v>9366</v>
      </c>
      <c r="E4619" s="20" t="e">
        <f t="array" ref="E4619">INDEX(C:C,SMALL(IF(ISNUMBER(FIND(CELL("contents"),$C$2:$C$4852)),ROW($C$2:$C$4852),4^8),ROW(C4619)))&amp;""</f>
        <v>#N/A</v>
      </c>
    </row>
    <row r="4620" ht="14.100000000000001" customHeight="1">
      <c r="B4620" s="8" t="s">
        <v>9368</v>
      </c>
      <c r="C4620" s="8" t="s">
        <v>9369</v>
      </c>
      <c r="D4620" s="8" t="s">
        <v>9368</v>
      </c>
      <c r="E4620" s="20" t="e">
        <f t="array" ref="E4620">INDEX(C:C,SMALL(IF(ISNUMBER(FIND(CELL("contents"),$C$2:$C$4852)),ROW($C$2:$C$4852),4^8),ROW(C4620)))&amp;""</f>
        <v>#N/A</v>
      </c>
    </row>
    <row r="4621" ht="14.100000000000001" customHeight="1">
      <c r="B4621" s="8" t="s">
        <v>9370</v>
      </c>
      <c r="C4621" s="8" t="s">
        <v>9371</v>
      </c>
      <c r="D4621" s="8" t="s">
        <v>9370</v>
      </c>
      <c r="E4621" s="20" t="e">
        <f t="array" ref="E4621">INDEX(C:C,SMALL(IF(ISNUMBER(FIND(CELL("contents"),$C$2:$C$4852)),ROW($C$2:$C$4852),4^8),ROW(C4621)))&amp;""</f>
        <v>#N/A</v>
      </c>
    </row>
    <row r="4622" ht="14.100000000000001" customHeight="1">
      <c r="B4622" s="8" t="s">
        <v>9372</v>
      </c>
      <c r="C4622" s="8" t="s">
        <v>9373</v>
      </c>
      <c r="D4622" s="8" t="s">
        <v>9372</v>
      </c>
      <c r="E4622" s="20" t="e">
        <f t="array" ref="E4622">INDEX(C:C,SMALL(IF(ISNUMBER(FIND(CELL("contents"),$C$2:$C$4852)),ROW($C$2:$C$4852),4^8),ROW(C4622)))&amp;""</f>
        <v>#N/A</v>
      </c>
    </row>
    <row r="4623" ht="14.100000000000001" customHeight="1">
      <c r="B4623" s="8" t="s">
        <v>9374</v>
      </c>
      <c r="C4623" s="8" t="s">
        <v>9375</v>
      </c>
      <c r="D4623" s="8" t="s">
        <v>9374</v>
      </c>
      <c r="E4623" s="20" t="e">
        <f t="array" ref="E4623">INDEX(C:C,SMALL(IF(ISNUMBER(FIND(CELL("contents"),$C$2:$C$4852)),ROW($C$2:$C$4852),4^8),ROW(C4623)))&amp;""</f>
        <v>#N/A</v>
      </c>
    </row>
    <row r="4624" ht="14.100000000000001" customHeight="1">
      <c r="B4624" s="8" t="s">
        <v>9376</v>
      </c>
      <c r="C4624" s="8" t="s">
        <v>9377</v>
      </c>
      <c r="D4624" s="8" t="s">
        <v>9376</v>
      </c>
      <c r="E4624" s="20" t="e">
        <f t="array" ref="E4624">INDEX(C:C,SMALL(IF(ISNUMBER(FIND(CELL("contents"),$C$2:$C$4852)),ROW($C$2:$C$4852),4^8),ROW(C4624)))&amp;""</f>
        <v>#N/A</v>
      </c>
    </row>
    <row r="4625" ht="14.100000000000001" customHeight="1">
      <c r="B4625" s="8" t="s">
        <v>9378</v>
      </c>
      <c r="C4625" s="8" t="s">
        <v>9379</v>
      </c>
      <c r="D4625" s="8" t="s">
        <v>9378</v>
      </c>
      <c r="E4625" s="20" t="e">
        <f t="array" ref="E4625">INDEX(C:C,SMALL(IF(ISNUMBER(FIND(CELL("contents"),$C$2:$C$4852)),ROW($C$2:$C$4852),4^8),ROW(C4625)))&amp;""</f>
        <v>#N/A</v>
      </c>
    </row>
    <row r="4626" ht="14.100000000000001" customHeight="1">
      <c r="B4626" s="8" t="s">
        <v>9380</v>
      </c>
      <c r="C4626" s="8" t="s">
        <v>9381</v>
      </c>
      <c r="D4626" s="8" t="s">
        <v>9380</v>
      </c>
      <c r="E4626" s="20" t="e">
        <f t="array" ref="E4626">INDEX(C:C,SMALL(IF(ISNUMBER(FIND(CELL("contents"),$C$2:$C$4852)),ROW($C$2:$C$4852),4^8),ROW(C4626)))&amp;""</f>
        <v>#N/A</v>
      </c>
    </row>
    <row r="4627" ht="14.100000000000001" customHeight="1">
      <c r="B4627" s="8" t="s">
        <v>9382</v>
      </c>
      <c r="C4627" s="8" t="s">
        <v>9383</v>
      </c>
      <c r="D4627" s="8" t="s">
        <v>9382</v>
      </c>
      <c r="E4627" s="20" t="e">
        <f t="array" ref="E4627">INDEX(C:C,SMALL(IF(ISNUMBER(FIND(CELL("contents"),$C$2:$C$4852)),ROW($C$2:$C$4852),4^8),ROW(C4627)))&amp;""</f>
        <v>#N/A</v>
      </c>
    </row>
    <row r="4628" ht="14.100000000000001" customHeight="1">
      <c r="B4628" s="8" t="s">
        <v>9384</v>
      </c>
      <c r="C4628" s="8" t="s">
        <v>9385</v>
      </c>
      <c r="D4628" s="8" t="s">
        <v>9384</v>
      </c>
      <c r="E4628" s="20" t="e">
        <f t="array" ref="E4628">INDEX(C:C,SMALL(IF(ISNUMBER(FIND(CELL("contents"),$C$2:$C$4852)),ROW($C$2:$C$4852),4^8),ROW(C4628)))&amp;""</f>
        <v>#N/A</v>
      </c>
    </row>
    <row r="4629" ht="14.100000000000001" customHeight="1">
      <c r="B4629" s="8" t="s">
        <v>9386</v>
      </c>
      <c r="C4629" s="8" t="s">
        <v>9387</v>
      </c>
      <c r="D4629" s="8" t="s">
        <v>9386</v>
      </c>
      <c r="E4629" s="20" t="e">
        <f t="array" ref="E4629">INDEX(C:C,SMALL(IF(ISNUMBER(FIND(CELL("contents"),$C$2:$C$4852)),ROW($C$2:$C$4852),4^8),ROW(C4629)))&amp;""</f>
        <v>#N/A</v>
      </c>
    </row>
    <row r="4630" ht="14.100000000000001" customHeight="1">
      <c r="B4630" s="8" t="s">
        <v>9388</v>
      </c>
      <c r="C4630" s="8" t="s">
        <v>9389</v>
      </c>
      <c r="D4630" s="8" t="s">
        <v>9388</v>
      </c>
      <c r="E4630" s="20" t="e">
        <f t="array" ref="E4630">INDEX(C:C,SMALL(IF(ISNUMBER(FIND(CELL("contents"),$C$2:$C$4852)),ROW($C$2:$C$4852),4^8),ROW(C4630)))&amp;""</f>
        <v>#N/A</v>
      </c>
    </row>
    <row r="4631" ht="14.100000000000001" customHeight="1">
      <c r="B4631" s="8" t="s">
        <v>9390</v>
      </c>
      <c r="C4631" s="8" t="s">
        <v>9391</v>
      </c>
      <c r="D4631" s="8" t="s">
        <v>9390</v>
      </c>
      <c r="E4631" s="20" t="e">
        <f t="array" ref="E4631">INDEX(C:C,SMALL(IF(ISNUMBER(FIND(CELL("contents"),$C$2:$C$4852)),ROW($C$2:$C$4852),4^8),ROW(C4631)))&amp;""</f>
        <v>#N/A</v>
      </c>
    </row>
    <row r="4632" ht="14.100000000000001" customHeight="1">
      <c r="B4632" s="8" t="s">
        <v>9392</v>
      </c>
      <c r="C4632" s="8" t="s">
        <v>9393</v>
      </c>
      <c r="D4632" s="8" t="s">
        <v>9392</v>
      </c>
      <c r="E4632" s="20" t="e">
        <f t="array" ref="E4632">INDEX(C:C,SMALL(IF(ISNUMBER(FIND(CELL("contents"),$C$2:$C$4852)),ROW($C$2:$C$4852),4^8),ROW(C4632)))&amp;""</f>
        <v>#N/A</v>
      </c>
    </row>
    <row r="4633" ht="14.100000000000001" customHeight="1">
      <c r="B4633" s="8" t="s">
        <v>9394</v>
      </c>
      <c r="C4633" s="8" t="s">
        <v>9395</v>
      </c>
      <c r="D4633" s="8" t="s">
        <v>9394</v>
      </c>
      <c r="E4633" s="20" t="e">
        <f t="array" ref="E4633">INDEX(C:C,SMALL(IF(ISNUMBER(FIND(CELL("contents"),$C$2:$C$4852)),ROW($C$2:$C$4852),4^8),ROW(C4633)))&amp;""</f>
        <v>#N/A</v>
      </c>
    </row>
    <row r="4634" ht="14.100000000000001" customHeight="1">
      <c r="B4634" s="8" t="s">
        <v>9396</v>
      </c>
      <c r="C4634" s="8" t="s">
        <v>9397</v>
      </c>
      <c r="D4634" s="8" t="s">
        <v>9396</v>
      </c>
      <c r="E4634" s="20" t="e">
        <f t="array" ref="E4634">INDEX(C:C,SMALL(IF(ISNUMBER(FIND(CELL("contents"),$C$2:$C$4852)),ROW($C$2:$C$4852),4^8),ROW(C4634)))&amp;""</f>
        <v>#N/A</v>
      </c>
    </row>
    <row r="4635" ht="14.100000000000001" customHeight="1">
      <c r="B4635" s="8" t="s">
        <v>9398</v>
      </c>
      <c r="C4635" s="8" t="s">
        <v>9399</v>
      </c>
      <c r="D4635" s="8" t="s">
        <v>9398</v>
      </c>
      <c r="E4635" s="20" t="e">
        <f t="array" ref="E4635">INDEX(C:C,SMALL(IF(ISNUMBER(FIND(CELL("contents"),$C$2:$C$4852)),ROW($C$2:$C$4852),4^8),ROW(C4635)))&amp;""</f>
        <v>#N/A</v>
      </c>
    </row>
    <row r="4636" ht="14.100000000000001" customHeight="1">
      <c r="B4636" s="8" t="s">
        <v>9400</v>
      </c>
      <c r="C4636" s="8" t="s">
        <v>9401</v>
      </c>
      <c r="D4636" s="8" t="s">
        <v>9400</v>
      </c>
      <c r="E4636" s="20" t="e">
        <f t="array" ref="E4636">INDEX(C:C,SMALL(IF(ISNUMBER(FIND(CELL("contents"),$C$2:$C$4852)),ROW($C$2:$C$4852),4^8),ROW(C4636)))&amp;""</f>
        <v>#N/A</v>
      </c>
    </row>
    <row r="4637" ht="14.100000000000001" customHeight="1">
      <c r="B4637" s="8" t="s">
        <v>9402</v>
      </c>
      <c r="C4637" s="8" t="s">
        <v>9403</v>
      </c>
      <c r="D4637" s="8" t="s">
        <v>9402</v>
      </c>
      <c r="E4637" s="20" t="e">
        <f t="array" ref="E4637">INDEX(C:C,SMALL(IF(ISNUMBER(FIND(CELL("contents"),$C$2:$C$4852)),ROW($C$2:$C$4852),4^8),ROW(C4637)))&amp;""</f>
        <v>#N/A</v>
      </c>
    </row>
    <row r="4638" ht="14.100000000000001" customHeight="1">
      <c r="B4638" s="8" t="s">
        <v>9404</v>
      </c>
      <c r="C4638" s="8" t="s">
        <v>9405</v>
      </c>
      <c r="D4638" s="8" t="s">
        <v>9404</v>
      </c>
      <c r="E4638" s="20" t="e">
        <f t="array" ref="E4638">INDEX(C:C,SMALL(IF(ISNUMBER(FIND(CELL("contents"),$C$2:$C$4852)),ROW($C$2:$C$4852),4^8),ROW(C4638)))&amp;""</f>
        <v>#N/A</v>
      </c>
    </row>
    <row r="4639" ht="14.100000000000001" customHeight="1">
      <c r="B4639" s="8" t="s">
        <v>9406</v>
      </c>
      <c r="C4639" s="8" t="s">
        <v>9407</v>
      </c>
      <c r="D4639" s="8" t="s">
        <v>9406</v>
      </c>
      <c r="E4639" s="20" t="e">
        <f t="array" ref="E4639">INDEX(C:C,SMALL(IF(ISNUMBER(FIND(CELL("contents"),$C$2:$C$4852)),ROW($C$2:$C$4852),4^8),ROW(C4639)))&amp;""</f>
        <v>#N/A</v>
      </c>
    </row>
    <row r="4640" ht="14.100000000000001" customHeight="1">
      <c r="B4640" s="8" t="s">
        <v>9408</v>
      </c>
      <c r="C4640" s="8" t="s">
        <v>9409</v>
      </c>
      <c r="D4640" s="8" t="s">
        <v>9408</v>
      </c>
      <c r="E4640" s="20" t="e">
        <f t="array" ref="E4640">INDEX(C:C,SMALL(IF(ISNUMBER(FIND(CELL("contents"),$C$2:$C$4852)),ROW($C$2:$C$4852),4^8),ROW(C4640)))&amp;""</f>
        <v>#N/A</v>
      </c>
    </row>
    <row r="4641" ht="14.100000000000001" customHeight="1">
      <c r="B4641" s="8" t="s">
        <v>9410</v>
      </c>
      <c r="C4641" s="8" t="s">
        <v>9411</v>
      </c>
      <c r="D4641" s="8" t="s">
        <v>9410</v>
      </c>
      <c r="E4641" s="20" t="e">
        <f t="array" ref="E4641">INDEX(C:C,SMALL(IF(ISNUMBER(FIND(CELL("contents"),$C$2:$C$4852)),ROW($C$2:$C$4852),4^8),ROW(C4641)))&amp;""</f>
        <v>#N/A</v>
      </c>
    </row>
    <row r="4642" ht="14.100000000000001" customHeight="1">
      <c r="B4642" s="8" t="s">
        <v>9412</v>
      </c>
      <c r="C4642" s="8" t="s">
        <v>9413</v>
      </c>
      <c r="D4642" s="8" t="s">
        <v>9412</v>
      </c>
      <c r="E4642" s="20" t="e">
        <f t="array" ref="E4642">INDEX(C:C,SMALL(IF(ISNUMBER(FIND(CELL("contents"),$C$2:$C$4852)),ROW($C$2:$C$4852),4^8),ROW(C4642)))&amp;""</f>
        <v>#N/A</v>
      </c>
    </row>
    <row r="4643" ht="14.100000000000001" customHeight="1">
      <c r="B4643" s="8" t="s">
        <v>9414</v>
      </c>
      <c r="C4643" s="8" t="s">
        <v>9415</v>
      </c>
      <c r="D4643" s="8" t="s">
        <v>9414</v>
      </c>
      <c r="E4643" s="20" t="e">
        <f t="array" ref="E4643">INDEX(C:C,SMALL(IF(ISNUMBER(FIND(CELL("contents"),$C$2:$C$4852)),ROW($C$2:$C$4852),4^8),ROW(C4643)))&amp;""</f>
        <v>#N/A</v>
      </c>
    </row>
    <row r="4644" ht="14.100000000000001" customHeight="1">
      <c r="B4644" s="8" t="s">
        <v>9416</v>
      </c>
      <c r="C4644" s="8" t="s">
        <v>9417</v>
      </c>
      <c r="D4644" s="8" t="s">
        <v>9416</v>
      </c>
      <c r="E4644" s="20" t="e">
        <f t="array" ref="E4644">INDEX(C:C,SMALL(IF(ISNUMBER(FIND(CELL("contents"),$C$2:$C$4852)),ROW($C$2:$C$4852),4^8),ROW(C4644)))&amp;""</f>
        <v>#N/A</v>
      </c>
    </row>
    <row r="4645" ht="14.100000000000001" customHeight="1">
      <c r="B4645" s="8" t="s">
        <v>9418</v>
      </c>
      <c r="C4645" s="8" t="s">
        <v>9419</v>
      </c>
      <c r="D4645" s="8" t="s">
        <v>9418</v>
      </c>
      <c r="E4645" s="20" t="e">
        <f t="array" ref="E4645">INDEX(C:C,SMALL(IF(ISNUMBER(FIND(CELL("contents"),$C$2:$C$4852)),ROW($C$2:$C$4852),4^8),ROW(C4645)))&amp;""</f>
        <v>#N/A</v>
      </c>
    </row>
    <row r="4646" ht="14.100000000000001" customHeight="1">
      <c r="B4646" s="8" t="s">
        <v>9420</v>
      </c>
      <c r="C4646" s="8" t="s">
        <v>9421</v>
      </c>
      <c r="D4646" s="8" t="s">
        <v>9420</v>
      </c>
      <c r="E4646" s="20" t="e">
        <f t="array" ref="E4646">INDEX(C:C,SMALL(IF(ISNUMBER(FIND(CELL("contents"),$C$2:$C$4852)),ROW($C$2:$C$4852),4^8),ROW(C4646)))&amp;""</f>
        <v>#N/A</v>
      </c>
    </row>
    <row r="4647" ht="14.100000000000001" customHeight="1">
      <c r="B4647" s="8" t="s">
        <v>9422</v>
      </c>
      <c r="C4647" s="8" t="s">
        <v>9423</v>
      </c>
      <c r="D4647" s="8" t="s">
        <v>9422</v>
      </c>
      <c r="E4647" s="20" t="e">
        <f t="array" ref="E4647">INDEX(C:C,SMALL(IF(ISNUMBER(FIND(CELL("contents"),$C$2:$C$4852)),ROW($C$2:$C$4852),4^8),ROW(C4647)))&amp;""</f>
        <v>#N/A</v>
      </c>
    </row>
    <row r="4648" ht="14.100000000000001" customHeight="1">
      <c r="B4648" s="8" t="s">
        <v>9424</v>
      </c>
      <c r="C4648" s="8" t="s">
        <v>9425</v>
      </c>
      <c r="D4648" s="8" t="s">
        <v>9424</v>
      </c>
      <c r="E4648" s="20" t="e">
        <f t="array" ref="E4648">INDEX(C:C,SMALL(IF(ISNUMBER(FIND(CELL("contents"),$C$2:$C$4852)),ROW($C$2:$C$4852),4^8),ROW(C4648)))&amp;""</f>
        <v>#N/A</v>
      </c>
    </row>
    <row r="4649" ht="14.100000000000001" customHeight="1">
      <c r="B4649" s="8" t="s">
        <v>9426</v>
      </c>
      <c r="C4649" s="8" t="s">
        <v>9427</v>
      </c>
      <c r="D4649" s="8" t="s">
        <v>9426</v>
      </c>
      <c r="E4649" s="20" t="e">
        <f t="array" ref="E4649">INDEX(C:C,SMALL(IF(ISNUMBER(FIND(CELL("contents"),$C$2:$C$4852)),ROW($C$2:$C$4852),4^8),ROW(C4649)))&amp;""</f>
        <v>#N/A</v>
      </c>
    </row>
    <row r="4650" ht="14.100000000000001" customHeight="1">
      <c r="B4650" s="8" t="s">
        <v>9428</v>
      </c>
      <c r="C4650" s="8" t="s">
        <v>9429</v>
      </c>
      <c r="D4650" s="8" t="s">
        <v>9428</v>
      </c>
      <c r="E4650" s="20" t="e">
        <f t="array" ref="E4650">INDEX(C:C,SMALL(IF(ISNUMBER(FIND(CELL("contents"),$C$2:$C$4852)),ROW($C$2:$C$4852),4^8),ROW(C4650)))&amp;""</f>
        <v>#N/A</v>
      </c>
    </row>
    <row r="4651" ht="14.100000000000001" customHeight="1">
      <c r="B4651" s="8" t="s">
        <v>9430</v>
      </c>
      <c r="C4651" s="8" t="s">
        <v>9431</v>
      </c>
      <c r="D4651" s="8" t="s">
        <v>9430</v>
      </c>
      <c r="E4651" s="20" t="e">
        <f t="array" ref="E4651">INDEX(C:C,SMALL(IF(ISNUMBER(FIND(CELL("contents"),$C$2:$C$4852)),ROW($C$2:$C$4852),4^8),ROW(C4651)))&amp;""</f>
        <v>#N/A</v>
      </c>
    </row>
    <row r="4652" ht="14.100000000000001" customHeight="1">
      <c r="B4652" s="8" t="s">
        <v>9432</v>
      </c>
      <c r="C4652" s="8" t="s">
        <v>9433</v>
      </c>
      <c r="D4652" s="8" t="s">
        <v>9432</v>
      </c>
      <c r="E4652" s="20" t="e">
        <f t="array" ref="E4652">INDEX(C:C,SMALL(IF(ISNUMBER(FIND(CELL("contents"),$C$2:$C$4852)),ROW($C$2:$C$4852),4^8),ROW(C4652)))&amp;""</f>
        <v>#N/A</v>
      </c>
    </row>
    <row r="4653" ht="14.100000000000001" customHeight="1">
      <c r="B4653" s="8" t="s">
        <v>9434</v>
      </c>
      <c r="C4653" s="8" t="s">
        <v>9435</v>
      </c>
      <c r="D4653" s="8" t="s">
        <v>9434</v>
      </c>
      <c r="E4653" s="20" t="e">
        <f t="array" ref="E4653">INDEX(C:C,SMALL(IF(ISNUMBER(FIND(CELL("contents"),$C$2:$C$4852)),ROW($C$2:$C$4852),4^8),ROW(C4653)))&amp;""</f>
        <v>#N/A</v>
      </c>
    </row>
    <row r="4654" ht="14.100000000000001" customHeight="1">
      <c r="B4654" s="8" t="s">
        <v>9436</v>
      </c>
      <c r="C4654" s="8" t="s">
        <v>9437</v>
      </c>
      <c r="D4654" s="8" t="s">
        <v>9436</v>
      </c>
      <c r="E4654" s="20" t="e">
        <f t="array" ref="E4654">INDEX(C:C,SMALL(IF(ISNUMBER(FIND(CELL("contents"),$C$2:$C$4852)),ROW($C$2:$C$4852),4^8),ROW(C4654)))&amp;""</f>
        <v>#N/A</v>
      </c>
    </row>
    <row r="4655" ht="14.100000000000001" customHeight="1">
      <c r="B4655" s="8" t="s">
        <v>9438</v>
      </c>
      <c r="C4655" s="8" t="s">
        <v>9439</v>
      </c>
      <c r="D4655" s="8" t="s">
        <v>9438</v>
      </c>
      <c r="E4655" s="20" t="e">
        <f t="array" ref="E4655">INDEX(C:C,SMALL(IF(ISNUMBER(FIND(CELL("contents"),$C$2:$C$4852)),ROW($C$2:$C$4852),4^8),ROW(C4655)))&amp;""</f>
        <v>#N/A</v>
      </c>
    </row>
    <row r="4656" ht="14.100000000000001" customHeight="1">
      <c r="B4656" s="8" t="s">
        <v>9440</v>
      </c>
      <c r="C4656" s="8" t="s">
        <v>9441</v>
      </c>
      <c r="D4656" s="8" t="s">
        <v>9440</v>
      </c>
      <c r="E4656" s="20" t="e">
        <f t="array" ref="E4656">INDEX(C:C,SMALL(IF(ISNUMBER(FIND(CELL("contents"),$C$2:$C$4852)),ROW($C$2:$C$4852),4^8),ROW(C4656)))&amp;""</f>
        <v>#N/A</v>
      </c>
    </row>
    <row r="4657" ht="14.100000000000001" customHeight="1">
      <c r="B4657" s="8" t="s">
        <v>9442</v>
      </c>
      <c r="C4657" s="8" t="s">
        <v>9443</v>
      </c>
      <c r="D4657" s="8" t="s">
        <v>9442</v>
      </c>
      <c r="E4657" s="20" t="e">
        <f t="array" ref="E4657">INDEX(C:C,SMALL(IF(ISNUMBER(FIND(CELL("contents"),$C$2:$C$4852)),ROW($C$2:$C$4852),4^8),ROW(C4657)))&amp;""</f>
        <v>#N/A</v>
      </c>
    </row>
    <row r="4658" ht="14.100000000000001" customHeight="1">
      <c r="B4658" s="8" t="s">
        <v>9444</v>
      </c>
      <c r="C4658" s="8" t="s">
        <v>9445</v>
      </c>
      <c r="D4658" s="8" t="s">
        <v>9444</v>
      </c>
      <c r="E4658" s="20" t="e">
        <f t="array" ref="E4658">INDEX(C:C,SMALL(IF(ISNUMBER(FIND(CELL("contents"),$C$2:$C$4852)),ROW($C$2:$C$4852),4^8),ROW(C4658)))&amp;""</f>
        <v>#N/A</v>
      </c>
    </row>
    <row r="4659" ht="14.100000000000001" customHeight="1">
      <c r="B4659" s="8" t="s">
        <v>9446</v>
      </c>
      <c r="C4659" s="8" t="s">
        <v>9447</v>
      </c>
      <c r="D4659" s="8" t="s">
        <v>9446</v>
      </c>
      <c r="E4659" s="20" t="e">
        <f t="array" ref="E4659">INDEX(C:C,SMALL(IF(ISNUMBER(FIND(CELL("contents"),$C$2:$C$4852)),ROW($C$2:$C$4852),4^8),ROW(C4659)))&amp;""</f>
        <v>#N/A</v>
      </c>
    </row>
    <row r="4660" ht="14.100000000000001" customHeight="1">
      <c r="B4660" s="8" t="s">
        <v>9448</v>
      </c>
      <c r="C4660" s="8" t="s">
        <v>9449</v>
      </c>
      <c r="D4660" s="8" t="s">
        <v>9448</v>
      </c>
      <c r="E4660" s="20" t="e">
        <f t="array" ref="E4660">INDEX(C:C,SMALL(IF(ISNUMBER(FIND(CELL("contents"),$C$2:$C$4852)),ROW($C$2:$C$4852),4^8),ROW(C4660)))&amp;""</f>
        <v>#N/A</v>
      </c>
    </row>
    <row r="4661" ht="14.100000000000001" customHeight="1">
      <c r="B4661" s="8" t="s">
        <v>9450</v>
      </c>
      <c r="C4661" s="8" t="s">
        <v>9451</v>
      </c>
      <c r="D4661" s="8" t="s">
        <v>9450</v>
      </c>
      <c r="E4661" s="20" t="e">
        <f t="array" ref="E4661">INDEX(C:C,SMALL(IF(ISNUMBER(FIND(CELL("contents"),$C$2:$C$4852)),ROW($C$2:$C$4852),4^8),ROW(C4661)))&amp;""</f>
        <v>#N/A</v>
      </c>
    </row>
    <row r="4662" ht="14.100000000000001" customHeight="1">
      <c r="B4662" s="8" t="s">
        <v>9452</v>
      </c>
      <c r="C4662" s="8" t="s">
        <v>9453</v>
      </c>
      <c r="D4662" s="8" t="s">
        <v>9452</v>
      </c>
      <c r="E4662" s="20" t="e">
        <f t="array" ref="E4662">INDEX(C:C,SMALL(IF(ISNUMBER(FIND(CELL("contents"),$C$2:$C$4852)),ROW($C$2:$C$4852),4^8),ROW(C4662)))&amp;""</f>
        <v>#N/A</v>
      </c>
    </row>
    <row r="4663" ht="14.100000000000001" customHeight="1">
      <c r="B4663" s="8" t="s">
        <v>9454</v>
      </c>
      <c r="C4663" s="8" t="s">
        <v>9455</v>
      </c>
      <c r="D4663" s="8" t="s">
        <v>9454</v>
      </c>
      <c r="E4663" s="20" t="e">
        <f t="array" ref="E4663">INDEX(C:C,SMALL(IF(ISNUMBER(FIND(CELL("contents"),$C$2:$C$4852)),ROW($C$2:$C$4852),4^8),ROW(C4663)))&amp;""</f>
        <v>#N/A</v>
      </c>
    </row>
    <row r="4664" ht="14.100000000000001" customHeight="1">
      <c r="B4664" s="8" t="s">
        <v>9456</v>
      </c>
      <c r="C4664" s="8" t="s">
        <v>9457</v>
      </c>
      <c r="D4664" s="8" t="s">
        <v>9456</v>
      </c>
      <c r="E4664" s="20" t="e">
        <f t="array" ref="E4664">INDEX(C:C,SMALL(IF(ISNUMBER(FIND(CELL("contents"),$C$2:$C$4852)),ROW($C$2:$C$4852),4^8),ROW(C4664)))&amp;""</f>
        <v>#N/A</v>
      </c>
    </row>
    <row r="4665" ht="14.100000000000001" customHeight="1">
      <c r="B4665" s="8" t="s">
        <v>9458</v>
      </c>
      <c r="C4665" s="8" t="s">
        <v>9459</v>
      </c>
      <c r="D4665" s="8" t="s">
        <v>9458</v>
      </c>
      <c r="E4665" s="20" t="e">
        <f t="array" ref="E4665">INDEX(C:C,SMALL(IF(ISNUMBER(FIND(CELL("contents"),$C$2:$C$4852)),ROW($C$2:$C$4852),4^8),ROW(C4665)))&amp;""</f>
        <v>#N/A</v>
      </c>
    </row>
    <row r="4666" ht="14.100000000000001" customHeight="1">
      <c r="B4666" s="8" t="s">
        <v>9460</v>
      </c>
      <c r="C4666" s="8" t="s">
        <v>9461</v>
      </c>
      <c r="D4666" s="8" t="s">
        <v>9460</v>
      </c>
      <c r="E4666" s="20" t="e">
        <f t="array" ref="E4666">INDEX(C:C,SMALL(IF(ISNUMBER(FIND(CELL("contents"),$C$2:$C$4852)),ROW($C$2:$C$4852),4^8),ROW(C4666)))&amp;""</f>
        <v>#N/A</v>
      </c>
    </row>
    <row r="4667" ht="14.100000000000001" customHeight="1">
      <c r="B4667" s="8" t="s">
        <v>9462</v>
      </c>
      <c r="C4667" s="8" t="s">
        <v>9463</v>
      </c>
      <c r="D4667" s="8" t="s">
        <v>9462</v>
      </c>
      <c r="E4667" s="20" t="e">
        <f t="array" ref="E4667">INDEX(C:C,SMALL(IF(ISNUMBER(FIND(CELL("contents"),$C$2:$C$4852)),ROW($C$2:$C$4852),4^8),ROW(C4667)))&amp;""</f>
        <v>#N/A</v>
      </c>
    </row>
    <row r="4668" ht="14.100000000000001" customHeight="1">
      <c r="B4668" s="8" t="s">
        <v>9464</v>
      </c>
      <c r="C4668" s="8" t="s">
        <v>9465</v>
      </c>
      <c r="D4668" s="8" t="s">
        <v>9464</v>
      </c>
      <c r="E4668" s="20" t="e">
        <f t="array" ref="E4668">INDEX(C:C,SMALL(IF(ISNUMBER(FIND(CELL("contents"),$C$2:$C$4852)),ROW($C$2:$C$4852),4^8),ROW(C4668)))&amp;""</f>
        <v>#N/A</v>
      </c>
    </row>
    <row r="4669" ht="14.100000000000001" customHeight="1">
      <c r="B4669" s="8" t="s">
        <v>9466</v>
      </c>
      <c r="C4669" s="8" t="s">
        <v>9467</v>
      </c>
      <c r="D4669" s="8" t="s">
        <v>9466</v>
      </c>
      <c r="E4669" s="20" t="e">
        <f t="array" ref="E4669">INDEX(C:C,SMALL(IF(ISNUMBER(FIND(CELL("contents"),$C$2:$C$4852)),ROW($C$2:$C$4852),4^8),ROW(C4669)))&amp;""</f>
        <v>#N/A</v>
      </c>
    </row>
    <row r="4670" ht="14.100000000000001" customHeight="1">
      <c r="B4670" s="8" t="s">
        <v>9468</v>
      </c>
      <c r="C4670" s="8" t="s">
        <v>9469</v>
      </c>
      <c r="D4670" s="8" t="s">
        <v>9468</v>
      </c>
      <c r="E4670" s="20" t="e">
        <f t="array" ref="E4670">INDEX(C:C,SMALL(IF(ISNUMBER(FIND(CELL("contents"),$C$2:$C$4852)),ROW($C$2:$C$4852),4^8),ROW(C4670)))&amp;""</f>
        <v>#N/A</v>
      </c>
    </row>
    <row r="4671" ht="14.100000000000001" customHeight="1">
      <c r="B4671" s="8" t="s">
        <v>9470</v>
      </c>
      <c r="C4671" s="8" t="s">
        <v>9471</v>
      </c>
      <c r="D4671" s="8" t="s">
        <v>9470</v>
      </c>
      <c r="E4671" s="20" t="e">
        <f t="array" ref="E4671">INDEX(C:C,SMALL(IF(ISNUMBER(FIND(CELL("contents"),$C$2:$C$4852)),ROW($C$2:$C$4852),4^8),ROW(C4671)))&amp;""</f>
        <v>#N/A</v>
      </c>
    </row>
    <row r="4672" ht="14.100000000000001" customHeight="1">
      <c r="B4672" s="8" t="s">
        <v>9472</v>
      </c>
      <c r="C4672" s="8" t="s">
        <v>9473</v>
      </c>
      <c r="D4672" s="8" t="s">
        <v>9472</v>
      </c>
      <c r="E4672" s="20" t="e">
        <f t="array" ref="E4672">INDEX(C:C,SMALL(IF(ISNUMBER(FIND(CELL("contents"),$C$2:$C$4852)),ROW($C$2:$C$4852),4^8),ROW(C4672)))&amp;""</f>
        <v>#N/A</v>
      </c>
    </row>
    <row r="4673" ht="14.100000000000001" customHeight="1">
      <c r="B4673" s="8" t="s">
        <v>9474</v>
      </c>
      <c r="C4673" s="8" t="s">
        <v>9475</v>
      </c>
      <c r="D4673" s="8" t="s">
        <v>9474</v>
      </c>
      <c r="E4673" s="20" t="e">
        <f t="array" ref="E4673">INDEX(C:C,SMALL(IF(ISNUMBER(FIND(CELL("contents"),$C$2:$C$4852)),ROW($C$2:$C$4852),4^8),ROW(C4673)))&amp;""</f>
        <v>#N/A</v>
      </c>
    </row>
    <row r="4674" ht="14.100000000000001" customHeight="1">
      <c r="B4674" s="8" t="s">
        <v>9476</v>
      </c>
      <c r="C4674" s="8" t="s">
        <v>9477</v>
      </c>
      <c r="D4674" s="8" t="s">
        <v>9476</v>
      </c>
      <c r="E4674" s="20" t="e">
        <f t="array" ref="E4674">INDEX(C:C,SMALL(IF(ISNUMBER(FIND(CELL("contents"),$C$2:$C$4852)),ROW($C$2:$C$4852),4^8),ROW(C4674)))&amp;""</f>
        <v>#N/A</v>
      </c>
    </row>
    <row r="4675" ht="14.100000000000001" customHeight="1">
      <c r="B4675" s="8" t="s">
        <v>9478</v>
      </c>
      <c r="C4675" s="8" t="s">
        <v>9479</v>
      </c>
      <c r="D4675" s="8" t="s">
        <v>9478</v>
      </c>
      <c r="E4675" s="20" t="e">
        <f t="array" ref="E4675">INDEX(C:C,SMALL(IF(ISNUMBER(FIND(CELL("contents"),$C$2:$C$4852)),ROW($C$2:$C$4852),4^8),ROW(C4675)))&amp;""</f>
        <v>#N/A</v>
      </c>
    </row>
    <row r="4676" ht="14.100000000000001" customHeight="1">
      <c r="B4676" s="8" t="s">
        <v>9480</v>
      </c>
      <c r="C4676" s="8" t="s">
        <v>9481</v>
      </c>
      <c r="D4676" s="8" t="s">
        <v>9480</v>
      </c>
      <c r="E4676" s="20" t="e">
        <f t="array" ref="E4676">INDEX(C:C,SMALL(IF(ISNUMBER(FIND(CELL("contents"),$C$2:$C$4852)),ROW($C$2:$C$4852),4^8),ROW(C4676)))&amp;""</f>
        <v>#N/A</v>
      </c>
    </row>
    <row r="4677" ht="14.100000000000001" customHeight="1">
      <c r="B4677" s="8" t="s">
        <v>9482</v>
      </c>
      <c r="C4677" s="8" t="s">
        <v>9483</v>
      </c>
      <c r="D4677" s="8" t="s">
        <v>9482</v>
      </c>
      <c r="E4677" s="20" t="e">
        <f t="array" ref="E4677">INDEX(C:C,SMALL(IF(ISNUMBER(FIND(CELL("contents"),$C$2:$C$4852)),ROW($C$2:$C$4852),4^8),ROW(C4677)))&amp;""</f>
        <v>#N/A</v>
      </c>
    </row>
    <row r="4678" ht="14.100000000000001" customHeight="1">
      <c r="B4678" s="8" t="s">
        <v>9484</v>
      </c>
      <c r="C4678" s="8" t="s">
        <v>9485</v>
      </c>
      <c r="D4678" s="8" t="s">
        <v>9484</v>
      </c>
      <c r="E4678" s="20" t="e">
        <f t="array" ref="E4678">INDEX(C:C,SMALL(IF(ISNUMBER(FIND(CELL("contents"),$C$2:$C$4852)),ROW($C$2:$C$4852),4^8),ROW(C4678)))&amp;""</f>
        <v>#N/A</v>
      </c>
    </row>
    <row r="4679" ht="14.100000000000001" customHeight="1">
      <c r="B4679" s="8" t="s">
        <v>9486</v>
      </c>
      <c r="C4679" s="8" t="s">
        <v>9487</v>
      </c>
      <c r="D4679" s="8" t="s">
        <v>9486</v>
      </c>
      <c r="E4679" s="20" t="e">
        <f t="array" ref="E4679">INDEX(C:C,SMALL(IF(ISNUMBER(FIND(CELL("contents"),$C$2:$C$4852)),ROW($C$2:$C$4852),4^8),ROW(C4679)))&amp;""</f>
        <v>#N/A</v>
      </c>
    </row>
    <row r="4680" ht="14.100000000000001" customHeight="1">
      <c r="B4680" s="8" t="s">
        <v>9488</v>
      </c>
      <c r="C4680" s="8" t="s">
        <v>9489</v>
      </c>
      <c r="D4680" s="8" t="s">
        <v>9488</v>
      </c>
      <c r="E4680" s="20" t="e">
        <f t="array" ref="E4680">INDEX(C:C,SMALL(IF(ISNUMBER(FIND(CELL("contents"),$C$2:$C$4852)),ROW($C$2:$C$4852),4^8),ROW(C4680)))&amp;""</f>
        <v>#N/A</v>
      </c>
    </row>
    <row r="4681" ht="14.100000000000001" customHeight="1">
      <c r="B4681" s="8" t="s">
        <v>9490</v>
      </c>
      <c r="C4681" s="8" t="s">
        <v>9491</v>
      </c>
      <c r="D4681" s="8" t="s">
        <v>9490</v>
      </c>
      <c r="E4681" s="20" t="e">
        <f t="array" ref="E4681">INDEX(C:C,SMALL(IF(ISNUMBER(FIND(CELL("contents"),$C$2:$C$4852)),ROW($C$2:$C$4852),4^8),ROW(C4681)))&amp;""</f>
        <v>#N/A</v>
      </c>
    </row>
    <row r="4682" ht="14.100000000000001" customHeight="1">
      <c r="B4682" s="8" t="s">
        <v>9492</v>
      </c>
      <c r="C4682" s="8" t="s">
        <v>9493</v>
      </c>
      <c r="D4682" s="8" t="s">
        <v>9492</v>
      </c>
      <c r="E4682" s="20" t="e">
        <f t="array" ref="E4682">INDEX(C:C,SMALL(IF(ISNUMBER(FIND(CELL("contents"),$C$2:$C$4852)),ROW($C$2:$C$4852),4^8),ROW(C4682)))&amp;""</f>
        <v>#N/A</v>
      </c>
    </row>
    <row r="4683" ht="14.100000000000001" customHeight="1">
      <c r="B4683" s="8" t="s">
        <v>9494</v>
      </c>
      <c r="C4683" s="8" t="s">
        <v>9495</v>
      </c>
      <c r="D4683" s="8" t="s">
        <v>9494</v>
      </c>
      <c r="E4683" s="20" t="e">
        <f t="array" ref="E4683">INDEX(C:C,SMALL(IF(ISNUMBER(FIND(CELL("contents"),$C$2:$C$4852)),ROW($C$2:$C$4852),4^8),ROW(C4683)))&amp;""</f>
        <v>#N/A</v>
      </c>
    </row>
    <row r="4684" ht="14.100000000000001" customHeight="1">
      <c r="B4684" s="8" t="s">
        <v>9496</v>
      </c>
      <c r="C4684" s="8" t="s">
        <v>9497</v>
      </c>
      <c r="D4684" s="8" t="s">
        <v>9496</v>
      </c>
      <c r="E4684" s="20" t="e">
        <f t="array" ref="E4684">INDEX(C:C,SMALL(IF(ISNUMBER(FIND(CELL("contents"),$C$2:$C$4852)),ROW($C$2:$C$4852),4^8),ROW(C4684)))&amp;""</f>
        <v>#N/A</v>
      </c>
    </row>
    <row r="4685" ht="14.100000000000001" customHeight="1">
      <c r="B4685" s="8" t="s">
        <v>9498</v>
      </c>
      <c r="C4685" s="8" t="s">
        <v>9499</v>
      </c>
      <c r="D4685" s="8" t="s">
        <v>9498</v>
      </c>
      <c r="E4685" s="20" t="e">
        <f t="array" ref="E4685">INDEX(C:C,SMALL(IF(ISNUMBER(FIND(CELL("contents"),$C$2:$C$4852)),ROW($C$2:$C$4852),4^8),ROW(C4685)))&amp;""</f>
        <v>#N/A</v>
      </c>
    </row>
    <row r="4686" ht="14.100000000000001" customHeight="1">
      <c r="B4686" s="8" t="s">
        <v>9500</v>
      </c>
      <c r="C4686" s="8" t="s">
        <v>9501</v>
      </c>
      <c r="D4686" s="8" t="s">
        <v>9500</v>
      </c>
      <c r="E4686" s="20" t="e">
        <f t="array" ref="E4686">INDEX(C:C,SMALL(IF(ISNUMBER(FIND(CELL("contents"),$C$2:$C$4852)),ROW($C$2:$C$4852),4^8),ROW(C4686)))&amp;""</f>
        <v>#N/A</v>
      </c>
    </row>
    <row r="4687" ht="14.100000000000001" customHeight="1">
      <c r="B4687" s="8" t="s">
        <v>9502</v>
      </c>
      <c r="C4687" s="8" t="s">
        <v>9503</v>
      </c>
      <c r="D4687" s="8" t="s">
        <v>9502</v>
      </c>
      <c r="E4687" s="20" t="e">
        <f t="array" ref="E4687">INDEX(C:C,SMALL(IF(ISNUMBER(FIND(CELL("contents"),$C$2:$C$4852)),ROW($C$2:$C$4852),4^8),ROW(C4687)))&amp;""</f>
        <v>#N/A</v>
      </c>
    </row>
    <row r="4688" ht="14.100000000000001" customHeight="1">
      <c r="B4688" s="8" t="s">
        <v>9504</v>
      </c>
      <c r="C4688" s="8" t="s">
        <v>9505</v>
      </c>
      <c r="D4688" s="8" t="s">
        <v>9504</v>
      </c>
      <c r="E4688" s="20" t="e">
        <f t="array" ref="E4688">INDEX(C:C,SMALL(IF(ISNUMBER(FIND(CELL("contents"),$C$2:$C$4852)),ROW($C$2:$C$4852),4^8),ROW(C4688)))&amp;""</f>
        <v>#N/A</v>
      </c>
    </row>
    <row r="4689" ht="14.100000000000001" customHeight="1">
      <c r="B4689" s="8" t="s">
        <v>9506</v>
      </c>
      <c r="C4689" s="8" t="s">
        <v>9507</v>
      </c>
      <c r="D4689" s="8" t="s">
        <v>9506</v>
      </c>
      <c r="E4689" s="20" t="e">
        <f t="array" ref="E4689">INDEX(C:C,SMALL(IF(ISNUMBER(FIND(CELL("contents"),$C$2:$C$4852)),ROW($C$2:$C$4852),4^8),ROW(C4689)))&amp;""</f>
        <v>#N/A</v>
      </c>
    </row>
    <row r="4690" ht="14.100000000000001" customHeight="1">
      <c r="B4690" s="8" t="s">
        <v>9508</v>
      </c>
      <c r="C4690" s="8" t="s">
        <v>9509</v>
      </c>
      <c r="D4690" s="8" t="s">
        <v>9508</v>
      </c>
      <c r="E4690" s="20" t="e">
        <f t="array" ref="E4690">INDEX(C:C,SMALL(IF(ISNUMBER(FIND(CELL("contents"),$C$2:$C$4852)),ROW($C$2:$C$4852),4^8),ROW(C4690)))&amp;""</f>
        <v>#N/A</v>
      </c>
    </row>
    <row r="4691" ht="14.100000000000001" customHeight="1">
      <c r="B4691" s="8" t="s">
        <v>9510</v>
      </c>
      <c r="C4691" s="8" t="s">
        <v>9511</v>
      </c>
      <c r="D4691" s="8" t="s">
        <v>9510</v>
      </c>
      <c r="E4691" s="20" t="e">
        <f t="array" ref="E4691">INDEX(C:C,SMALL(IF(ISNUMBER(FIND(CELL("contents"),$C$2:$C$4852)),ROW($C$2:$C$4852),4^8),ROW(C4691)))&amp;""</f>
        <v>#N/A</v>
      </c>
    </row>
    <row r="4692" ht="14.100000000000001" customHeight="1">
      <c r="B4692" s="8" t="s">
        <v>9512</v>
      </c>
      <c r="C4692" s="8" t="s">
        <v>9513</v>
      </c>
      <c r="D4692" s="8" t="s">
        <v>9512</v>
      </c>
      <c r="E4692" s="20" t="e">
        <f t="array" ref="E4692">INDEX(C:C,SMALL(IF(ISNUMBER(FIND(CELL("contents"),$C$2:$C$4852)),ROW($C$2:$C$4852),4^8),ROW(C4692)))&amp;""</f>
        <v>#N/A</v>
      </c>
    </row>
    <row r="4693" ht="14.100000000000001" customHeight="1">
      <c r="B4693" s="8" t="s">
        <v>9514</v>
      </c>
      <c r="C4693" s="8" t="s">
        <v>9515</v>
      </c>
      <c r="D4693" s="8" t="s">
        <v>9514</v>
      </c>
      <c r="E4693" s="20" t="e">
        <f t="array" ref="E4693">INDEX(C:C,SMALL(IF(ISNUMBER(FIND(CELL("contents"),$C$2:$C$4852)),ROW($C$2:$C$4852),4^8),ROW(C4693)))&amp;""</f>
        <v>#N/A</v>
      </c>
    </row>
    <row r="4694" ht="14.100000000000001" customHeight="1">
      <c r="B4694" s="8" t="s">
        <v>9516</v>
      </c>
      <c r="C4694" s="8" t="s">
        <v>9517</v>
      </c>
      <c r="D4694" s="8" t="s">
        <v>9516</v>
      </c>
      <c r="E4694" s="20" t="e">
        <f t="array" ref="E4694">INDEX(C:C,SMALL(IF(ISNUMBER(FIND(CELL("contents"),$C$2:$C$4852)),ROW($C$2:$C$4852),4^8),ROW(C4694)))&amp;""</f>
        <v>#N/A</v>
      </c>
    </row>
    <row r="4695" ht="14.100000000000001" customHeight="1">
      <c r="B4695" s="8" t="s">
        <v>9518</v>
      </c>
      <c r="C4695" s="8" t="s">
        <v>9519</v>
      </c>
      <c r="D4695" s="8" t="s">
        <v>9518</v>
      </c>
      <c r="E4695" s="20" t="e">
        <f t="array" ref="E4695">INDEX(C:C,SMALL(IF(ISNUMBER(FIND(CELL("contents"),$C$2:$C$4852)),ROW($C$2:$C$4852),4^8),ROW(C4695)))&amp;""</f>
        <v>#N/A</v>
      </c>
    </row>
    <row r="4696" ht="14.100000000000001" customHeight="1">
      <c r="B4696" s="8" t="s">
        <v>9520</v>
      </c>
      <c r="C4696" s="8" t="s">
        <v>9521</v>
      </c>
      <c r="D4696" s="8" t="s">
        <v>9520</v>
      </c>
      <c r="E4696" s="20" t="e">
        <f t="array" ref="E4696">INDEX(C:C,SMALL(IF(ISNUMBER(FIND(CELL("contents"),$C$2:$C$4852)),ROW($C$2:$C$4852),4^8),ROW(C4696)))&amp;""</f>
        <v>#N/A</v>
      </c>
    </row>
    <row r="4697" ht="14.100000000000001" customHeight="1">
      <c r="B4697" s="8" t="s">
        <v>9522</v>
      </c>
      <c r="C4697" s="8" t="s">
        <v>9523</v>
      </c>
      <c r="D4697" s="8" t="s">
        <v>9522</v>
      </c>
      <c r="E4697" s="20" t="e">
        <f t="array" ref="E4697">INDEX(C:C,SMALL(IF(ISNUMBER(FIND(CELL("contents"),$C$2:$C$4852)),ROW($C$2:$C$4852),4^8),ROW(C4697)))&amp;""</f>
        <v>#N/A</v>
      </c>
    </row>
    <row r="4698" ht="14.100000000000001" customHeight="1">
      <c r="B4698" s="8" t="s">
        <v>9524</v>
      </c>
      <c r="C4698" s="8" t="s">
        <v>9525</v>
      </c>
      <c r="D4698" s="8" t="s">
        <v>9524</v>
      </c>
      <c r="E4698" s="20" t="e">
        <f t="array" ref="E4698">INDEX(C:C,SMALL(IF(ISNUMBER(FIND(CELL("contents"),$C$2:$C$4852)),ROW($C$2:$C$4852),4^8),ROW(C4698)))&amp;""</f>
        <v>#N/A</v>
      </c>
    </row>
    <row r="4699" ht="14.100000000000001" customHeight="1">
      <c r="B4699" s="8" t="s">
        <v>9526</v>
      </c>
      <c r="C4699" s="8" t="s">
        <v>9527</v>
      </c>
      <c r="D4699" s="8" t="s">
        <v>9526</v>
      </c>
      <c r="E4699" s="20" t="e">
        <f t="array" ref="E4699">INDEX(C:C,SMALL(IF(ISNUMBER(FIND(CELL("contents"),$C$2:$C$4852)),ROW($C$2:$C$4852),4^8),ROW(C4699)))&amp;""</f>
        <v>#N/A</v>
      </c>
    </row>
    <row r="4700" ht="14.100000000000001" customHeight="1">
      <c r="B4700" s="8" t="s">
        <v>9528</v>
      </c>
      <c r="C4700" s="8" t="s">
        <v>9529</v>
      </c>
      <c r="D4700" s="8" t="s">
        <v>9528</v>
      </c>
      <c r="E4700" s="20" t="e">
        <f t="array" ref="E4700">INDEX(C:C,SMALL(IF(ISNUMBER(FIND(CELL("contents"),$C$2:$C$4852)),ROW($C$2:$C$4852),4^8),ROW(C4700)))&amp;""</f>
        <v>#N/A</v>
      </c>
    </row>
    <row r="4701" ht="14.100000000000001" customHeight="1">
      <c r="B4701" s="8" t="s">
        <v>9530</v>
      </c>
      <c r="C4701" s="8" t="s">
        <v>7258</v>
      </c>
      <c r="D4701" s="8" t="s">
        <v>9530</v>
      </c>
      <c r="E4701" s="20" t="e">
        <f t="array" ref="E4701">INDEX(C:C,SMALL(IF(ISNUMBER(FIND(CELL("contents"),$C$2:$C$4852)),ROW($C$2:$C$4852),4^8),ROW(C4701)))&amp;""</f>
        <v>#N/A</v>
      </c>
    </row>
    <row r="4702" ht="14.100000000000001" customHeight="1">
      <c r="B4702" s="8" t="s">
        <v>9531</v>
      </c>
      <c r="C4702" s="8" t="s">
        <v>9532</v>
      </c>
      <c r="D4702" s="8" t="s">
        <v>9531</v>
      </c>
      <c r="E4702" s="20" t="e">
        <f t="array" ref="E4702">INDEX(C:C,SMALL(IF(ISNUMBER(FIND(CELL("contents"),$C$2:$C$4852)),ROW($C$2:$C$4852),4^8),ROW(C4702)))&amp;""</f>
        <v>#N/A</v>
      </c>
    </row>
    <row r="4703" ht="14.100000000000001" customHeight="1">
      <c r="B4703" s="8" t="s">
        <v>9533</v>
      </c>
      <c r="C4703" s="8" t="s">
        <v>9534</v>
      </c>
      <c r="D4703" s="8" t="s">
        <v>9533</v>
      </c>
      <c r="E4703" s="20" t="e">
        <f t="array" ref="E4703">INDEX(C:C,SMALL(IF(ISNUMBER(FIND(CELL("contents"),$C$2:$C$4852)),ROW($C$2:$C$4852),4^8),ROW(C4703)))&amp;""</f>
        <v>#N/A</v>
      </c>
    </row>
    <row r="4704" ht="14.100000000000001" customHeight="1">
      <c r="B4704" s="8" t="s">
        <v>9535</v>
      </c>
      <c r="C4704" s="8" t="s">
        <v>9536</v>
      </c>
      <c r="D4704" s="8" t="s">
        <v>9535</v>
      </c>
      <c r="E4704" s="20" t="e">
        <f t="array" ref="E4704">INDEX(C:C,SMALL(IF(ISNUMBER(FIND(CELL("contents"),$C$2:$C$4852)),ROW($C$2:$C$4852),4^8),ROW(C4704)))&amp;""</f>
        <v>#N/A</v>
      </c>
    </row>
    <row r="4705" ht="14.100000000000001" customHeight="1">
      <c r="B4705" s="8" t="s">
        <v>9537</v>
      </c>
      <c r="C4705" s="8" t="s">
        <v>9538</v>
      </c>
      <c r="D4705" s="8" t="s">
        <v>9537</v>
      </c>
      <c r="E4705" s="20" t="e">
        <f t="array" ref="E4705">INDEX(C:C,SMALL(IF(ISNUMBER(FIND(CELL("contents"),$C$2:$C$4852)),ROW($C$2:$C$4852),4^8),ROW(C4705)))&amp;""</f>
        <v>#N/A</v>
      </c>
    </row>
    <row r="4706" ht="14.100000000000001" customHeight="1">
      <c r="B4706" s="8" t="s">
        <v>9539</v>
      </c>
      <c r="C4706" s="8" t="s">
        <v>9540</v>
      </c>
      <c r="D4706" s="8" t="s">
        <v>9539</v>
      </c>
      <c r="E4706" s="20" t="e">
        <f t="array" ref="E4706">INDEX(C:C,SMALL(IF(ISNUMBER(FIND(CELL("contents"),$C$2:$C$4852)),ROW($C$2:$C$4852),4^8),ROW(C4706)))&amp;""</f>
        <v>#N/A</v>
      </c>
    </row>
    <row r="4707" ht="14.100000000000001" customHeight="1">
      <c r="B4707" s="8" t="s">
        <v>9541</v>
      </c>
      <c r="C4707" s="8" t="s">
        <v>9542</v>
      </c>
      <c r="D4707" s="8" t="s">
        <v>9541</v>
      </c>
      <c r="E4707" s="20" t="e">
        <f t="array" ref="E4707">INDEX(C:C,SMALL(IF(ISNUMBER(FIND(CELL("contents"),$C$2:$C$4852)),ROW($C$2:$C$4852),4^8),ROW(C4707)))&amp;""</f>
        <v>#N/A</v>
      </c>
    </row>
    <row r="4708" ht="14.100000000000001" customHeight="1">
      <c r="B4708" s="8" t="s">
        <v>9543</v>
      </c>
      <c r="C4708" s="8" t="s">
        <v>9544</v>
      </c>
      <c r="D4708" s="8" t="s">
        <v>9543</v>
      </c>
      <c r="E4708" s="20" t="e">
        <f t="array" ref="E4708">INDEX(C:C,SMALL(IF(ISNUMBER(FIND(CELL("contents"),$C$2:$C$4852)),ROW($C$2:$C$4852),4^8),ROW(C4708)))&amp;""</f>
        <v>#N/A</v>
      </c>
    </row>
    <row r="4709" ht="14.100000000000001" customHeight="1">
      <c r="B4709" s="8" t="s">
        <v>9545</v>
      </c>
      <c r="C4709" s="8" t="s">
        <v>9546</v>
      </c>
      <c r="D4709" s="8" t="s">
        <v>9545</v>
      </c>
      <c r="E4709" s="20" t="e">
        <f t="array" ref="E4709">INDEX(C:C,SMALL(IF(ISNUMBER(FIND(CELL("contents"),$C$2:$C$4852)),ROW($C$2:$C$4852),4^8),ROW(C4709)))&amp;""</f>
        <v>#N/A</v>
      </c>
    </row>
    <row r="4710" ht="14.100000000000001" customHeight="1">
      <c r="B4710" s="8" t="s">
        <v>9547</v>
      </c>
      <c r="C4710" s="8" t="s">
        <v>9548</v>
      </c>
      <c r="D4710" s="8" t="s">
        <v>9547</v>
      </c>
      <c r="E4710" s="20" t="e">
        <f t="array" ref="E4710">INDEX(C:C,SMALL(IF(ISNUMBER(FIND(CELL("contents"),$C$2:$C$4852)),ROW($C$2:$C$4852),4^8),ROW(C4710)))&amp;""</f>
        <v>#N/A</v>
      </c>
    </row>
    <row r="4711" ht="14.100000000000001" customHeight="1">
      <c r="B4711" s="8" t="s">
        <v>9549</v>
      </c>
      <c r="C4711" s="8" t="s">
        <v>9550</v>
      </c>
      <c r="D4711" s="8" t="s">
        <v>9549</v>
      </c>
      <c r="E4711" s="20" t="e">
        <f t="array" ref="E4711">INDEX(C:C,SMALL(IF(ISNUMBER(FIND(CELL("contents"),$C$2:$C$4852)),ROW($C$2:$C$4852),4^8),ROW(C4711)))&amp;""</f>
        <v>#N/A</v>
      </c>
    </row>
    <row r="4712" ht="14.100000000000001" customHeight="1">
      <c r="B4712" s="8" t="s">
        <v>9551</v>
      </c>
      <c r="C4712" s="8" t="s">
        <v>9552</v>
      </c>
      <c r="D4712" s="8" t="s">
        <v>9551</v>
      </c>
      <c r="E4712" s="20" t="e">
        <f t="array" ref="E4712">INDEX(C:C,SMALL(IF(ISNUMBER(FIND(CELL("contents"),$C$2:$C$4852)),ROW($C$2:$C$4852),4^8),ROW(C4712)))&amp;""</f>
        <v>#N/A</v>
      </c>
    </row>
    <row r="4713" ht="14.100000000000001" customHeight="1">
      <c r="B4713" s="8" t="s">
        <v>9553</v>
      </c>
      <c r="C4713" s="8" t="s">
        <v>9554</v>
      </c>
      <c r="D4713" s="8" t="s">
        <v>9553</v>
      </c>
      <c r="E4713" s="20" t="e">
        <f t="array" ref="E4713">INDEX(C:C,SMALL(IF(ISNUMBER(FIND(CELL("contents"),$C$2:$C$4852)),ROW($C$2:$C$4852),4^8),ROW(C4713)))&amp;""</f>
        <v>#N/A</v>
      </c>
    </row>
    <row r="4714" ht="14.100000000000001" customHeight="1">
      <c r="B4714" s="8" t="s">
        <v>9555</v>
      </c>
      <c r="C4714" s="8" t="s">
        <v>9556</v>
      </c>
      <c r="D4714" s="8" t="s">
        <v>9555</v>
      </c>
      <c r="E4714" s="20" t="e">
        <f t="array" ref="E4714">INDEX(C:C,SMALL(IF(ISNUMBER(FIND(CELL("contents"),$C$2:$C$4852)),ROW($C$2:$C$4852),4^8),ROW(C4714)))&amp;""</f>
        <v>#N/A</v>
      </c>
    </row>
    <row r="4715" ht="14.100000000000001" customHeight="1">
      <c r="B4715" s="8" t="s">
        <v>9557</v>
      </c>
      <c r="C4715" s="8" t="s">
        <v>9558</v>
      </c>
      <c r="D4715" s="8" t="s">
        <v>9557</v>
      </c>
      <c r="E4715" s="20" t="e">
        <f t="array" ref="E4715">INDEX(C:C,SMALL(IF(ISNUMBER(FIND(CELL("contents"),$C$2:$C$4852)),ROW($C$2:$C$4852),4^8),ROW(C4715)))&amp;""</f>
        <v>#N/A</v>
      </c>
    </row>
    <row r="4716" ht="14.100000000000001" customHeight="1">
      <c r="B4716" s="8" t="s">
        <v>9559</v>
      </c>
      <c r="C4716" s="8" t="s">
        <v>9560</v>
      </c>
      <c r="D4716" s="8" t="s">
        <v>9559</v>
      </c>
      <c r="E4716" s="20" t="e">
        <f t="array" ref="E4716">INDEX(C:C,SMALL(IF(ISNUMBER(FIND(CELL("contents"),$C$2:$C$4852)),ROW($C$2:$C$4852),4^8),ROW(C4716)))&amp;""</f>
        <v>#N/A</v>
      </c>
    </row>
    <row r="4717" ht="14.100000000000001" customHeight="1">
      <c r="B4717" s="8" t="s">
        <v>9561</v>
      </c>
      <c r="C4717" s="8" t="s">
        <v>9562</v>
      </c>
      <c r="D4717" s="8" t="s">
        <v>9561</v>
      </c>
      <c r="E4717" s="20" t="e">
        <f t="array" ref="E4717">INDEX(C:C,SMALL(IF(ISNUMBER(FIND(CELL("contents"),$C$2:$C$4852)),ROW($C$2:$C$4852),4^8),ROW(C4717)))&amp;""</f>
        <v>#N/A</v>
      </c>
    </row>
    <row r="4718" ht="14.100000000000001" customHeight="1">
      <c r="B4718" s="8" t="s">
        <v>9563</v>
      </c>
      <c r="C4718" s="8" t="s">
        <v>9564</v>
      </c>
      <c r="D4718" s="8" t="s">
        <v>9563</v>
      </c>
      <c r="E4718" s="20" t="e">
        <f t="array" ref="E4718">INDEX(C:C,SMALL(IF(ISNUMBER(FIND(CELL("contents"),$C$2:$C$4852)),ROW($C$2:$C$4852),4^8),ROW(C4718)))&amp;""</f>
        <v>#N/A</v>
      </c>
    </row>
    <row r="4719" ht="14.100000000000001" customHeight="1">
      <c r="B4719" s="8" t="s">
        <v>9565</v>
      </c>
      <c r="C4719" s="8" t="s">
        <v>9566</v>
      </c>
      <c r="D4719" s="8" t="s">
        <v>9565</v>
      </c>
      <c r="E4719" s="20" t="e">
        <f t="array" ref="E4719">INDEX(C:C,SMALL(IF(ISNUMBER(FIND(CELL("contents"),$C$2:$C$4852)),ROW($C$2:$C$4852),4^8),ROW(C4719)))&amp;""</f>
        <v>#N/A</v>
      </c>
    </row>
    <row r="4720" ht="14.100000000000001" customHeight="1">
      <c r="B4720" s="8" t="s">
        <v>9567</v>
      </c>
      <c r="C4720" s="8" t="s">
        <v>9568</v>
      </c>
      <c r="D4720" s="8" t="s">
        <v>9567</v>
      </c>
      <c r="E4720" s="20" t="e">
        <f t="array" ref="E4720">INDEX(C:C,SMALL(IF(ISNUMBER(FIND(CELL("contents"),$C$2:$C$4852)),ROW($C$2:$C$4852),4^8),ROW(C4720)))&amp;""</f>
        <v>#N/A</v>
      </c>
    </row>
    <row r="4721" ht="14.100000000000001" customHeight="1">
      <c r="B4721" s="8" t="s">
        <v>9569</v>
      </c>
      <c r="C4721" s="8" t="s">
        <v>9570</v>
      </c>
      <c r="D4721" s="8" t="s">
        <v>9569</v>
      </c>
      <c r="E4721" s="20" t="e">
        <f t="array" ref="E4721">INDEX(C:C,SMALL(IF(ISNUMBER(FIND(CELL("contents"),$C$2:$C$4852)),ROW($C$2:$C$4852),4^8),ROW(C4721)))&amp;""</f>
        <v>#N/A</v>
      </c>
    </row>
    <row r="4722" ht="14.100000000000001" customHeight="1">
      <c r="B4722" s="8" t="s">
        <v>9571</v>
      </c>
      <c r="C4722" s="8" t="s">
        <v>9572</v>
      </c>
      <c r="D4722" s="8" t="s">
        <v>9571</v>
      </c>
      <c r="E4722" s="20" t="e">
        <f t="array" ref="E4722">INDEX(C:C,SMALL(IF(ISNUMBER(FIND(CELL("contents"),$C$2:$C$4852)),ROW($C$2:$C$4852),4^8),ROW(C4722)))&amp;""</f>
        <v>#N/A</v>
      </c>
    </row>
    <row r="4723" ht="14.100000000000001" customHeight="1">
      <c r="B4723" s="8" t="s">
        <v>9573</v>
      </c>
      <c r="C4723" s="8" t="s">
        <v>9574</v>
      </c>
      <c r="D4723" s="8" t="s">
        <v>9573</v>
      </c>
      <c r="E4723" s="20" t="e">
        <f t="array" ref="E4723">INDEX(C:C,SMALL(IF(ISNUMBER(FIND(CELL("contents"),$C$2:$C$4852)),ROW($C$2:$C$4852),4^8),ROW(C4723)))&amp;""</f>
        <v>#N/A</v>
      </c>
    </row>
    <row r="4724" ht="14.100000000000001" customHeight="1">
      <c r="B4724" s="8" t="s">
        <v>9575</v>
      </c>
      <c r="C4724" s="8" t="s">
        <v>9576</v>
      </c>
      <c r="D4724" s="8" t="s">
        <v>9575</v>
      </c>
      <c r="E4724" s="20" t="e">
        <f t="array" ref="E4724">INDEX(C:C,SMALL(IF(ISNUMBER(FIND(CELL("contents"),$C$2:$C$4852)),ROW($C$2:$C$4852),4^8),ROW(C4724)))&amp;""</f>
        <v>#N/A</v>
      </c>
    </row>
    <row r="4725" ht="14.100000000000001" customHeight="1">
      <c r="B4725" s="8" t="s">
        <v>9577</v>
      </c>
      <c r="C4725" s="8" t="s">
        <v>9578</v>
      </c>
      <c r="D4725" s="8" t="s">
        <v>9577</v>
      </c>
      <c r="E4725" s="20" t="e">
        <f t="array" ref="E4725">INDEX(C:C,SMALL(IF(ISNUMBER(FIND(CELL("contents"),$C$2:$C$4852)),ROW($C$2:$C$4852),4^8),ROW(C4725)))&amp;""</f>
        <v>#N/A</v>
      </c>
    </row>
    <row r="4726" ht="14.100000000000001" customHeight="1">
      <c r="B4726" s="8" t="s">
        <v>9579</v>
      </c>
      <c r="C4726" s="8" t="s">
        <v>9580</v>
      </c>
      <c r="D4726" s="8" t="s">
        <v>9579</v>
      </c>
      <c r="E4726" s="20" t="e">
        <f t="array" ref="E4726">INDEX(C:C,SMALL(IF(ISNUMBER(FIND(CELL("contents"),$C$2:$C$4852)),ROW($C$2:$C$4852),4^8),ROW(C4726)))&amp;""</f>
        <v>#N/A</v>
      </c>
    </row>
    <row r="4727" ht="14.100000000000001" customHeight="1">
      <c r="B4727" s="8" t="s">
        <v>9581</v>
      </c>
      <c r="C4727" s="8" t="s">
        <v>9582</v>
      </c>
      <c r="D4727" s="8" t="s">
        <v>9581</v>
      </c>
      <c r="E4727" s="20" t="e">
        <f t="array" ref="E4727">INDEX(C:C,SMALL(IF(ISNUMBER(FIND(CELL("contents"),$C$2:$C$4852)),ROW($C$2:$C$4852),4^8),ROW(C4727)))&amp;""</f>
        <v>#N/A</v>
      </c>
    </row>
    <row r="4728" ht="14.100000000000001" customHeight="1">
      <c r="B4728" s="8" t="s">
        <v>9583</v>
      </c>
      <c r="C4728" s="8" t="s">
        <v>9584</v>
      </c>
      <c r="D4728" s="8" t="s">
        <v>9583</v>
      </c>
      <c r="E4728" s="20" t="e">
        <f t="array" ref="E4728">INDEX(C:C,SMALL(IF(ISNUMBER(FIND(CELL("contents"),$C$2:$C$4852)),ROW($C$2:$C$4852),4^8),ROW(C4728)))&amp;""</f>
        <v>#N/A</v>
      </c>
    </row>
    <row r="4729" ht="14.100000000000001" customHeight="1">
      <c r="B4729" s="8" t="s">
        <v>9585</v>
      </c>
      <c r="C4729" s="8" t="s">
        <v>9586</v>
      </c>
      <c r="D4729" s="8" t="s">
        <v>9585</v>
      </c>
      <c r="E4729" s="20" t="e">
        <f t="array" ref="E4729">INDEX(C:C,SMALL(IF(ISNUMBER(FIND(CELL("contents"),$C$2:$C$4852)),ROW($C$2:$C$4852),4^8),ROW(C4729)))&amp;""</f>
        <v>#N/A</v>
      </c>
    </row>
    <row r="4730" ht="14.100000000000001" customHeight="1">
      <c r="B4730" s="8" t="s">
        <v>9587</v>
      </c>
      <c r="C4730" s="8" t="s">
        <v>9588</v>
      </c>
      <c r="D4730" s="8" t="s">
        <v>9587</v>
      </c>
      <c r="E4730" s="20" t="e">
        <f t="array" ref="E4730">INDEX(C:C,SMALL(IF(ISNUMBER(FIND(CELL("contents"),$C$2:$C$4852)),ROW($C$2:$C$4852),4^8),ROW(C4730)))&amp;""</f>
        <v>#N/A</v>
      </c>
    </row>
    <row r="4731" ht="14.100000000000001" customHeight="1">
      <c r="B4731" s="8" t="s">
        <v>9589</v>
      </c>
      <c r="C4731" s="8" t="s">
        <v>9590</v>
      </c>
      <c r="D4731" s="8" t="s">
        <v>9589</v>
      </c>
      <c r="E4731" s="20" t="e">
        <f t="array" ref="E4731">INDEX(C:C,SMALL(IF(ISNUMBER(FIND(CELL("contents"),$C$2:$C$4852)),ROW($C$2:$C$4852),4^8),ROW(C4731)))&amp;""</f>
        <v>#N/A</v>
      </c>
    </row>
    <row r="4732" ht="14.100000000000001" customHeight="1">
      <c r="B4732" s="8" t="s">
        <v>9591</v>
      </c>
      <c r="C4732" s="8" t="s">
        <v>9592</v>
      </c>
      <c r="D4732" s="8" t="s">
        <v>9591</v>
      </c>
      <c r="E4732" s="20" t="e">
        <f t="array" ref="E4732">INDEX(C:C,SMALL(IF(ISNUMBER(FIND(CELL("contents"),$C$2:$C$4852)),ROW($C$2:$C$4852),4^8),ROW(C4732)))&amp;""</f>
        <v>#N/A</v>
      </c>
    </row>
    <row r="4733" ht="14.100000000000001" customHeight="1">
      <c r="B4733" s="8" t="s">
        <v>9593</v>
      </c>
      <c r="C4733" s="8" t="s">
        <v>9594</v>
      </c>
      <c r="D4733" s="8" t="s">
        <v>9593</v>
      </c>
      <c r="E4733" s="20" t="e">
        <f t="array" ref="E4733">INDEX(C:C,SMALL(IF(ISNUMBER(FIND(CELL("contents"),$C$2:$C$4852)),ROW($C$2:$C$4852),4^8),ROW(C4733)))&amp;""</f>
        <v>#N/A</v>
      </c>
    </row>
    <row r="4734" ht="14.100000000000001" customHeight="1">
      <c r="B4734" s="8" t="s">
        <v>9595</v>
      </c>
      <c r="C4734" s="8" t="s">
        <v>9596</v>
      </c>
      <c r="D4734" s="8" t="s">
        <v>9595</v>
      </c>
      <c r="E4734" s="20" t="e">
        <f t="array" ref="E4734">INDEX(C:C,SMALL(IF(ISNUMBER(FIND(CELL("contents"),$C$2:$C$4852)),ROW($C$2:$C$4852),4^8),ROW(C4734)))&amp;""</f>
        <v>#N/A</v>
      </c>
    </row>
    <row r="4735" ht="14.100000000000001" customHeight="1">
      <c r="B4735" s="8" t="s">
        <v>9597</v>
      </c>
      <c r="C4735" s="8" t="s">
        <v>9598</v>
      </c>
      <c r="D4735" s="8" t="s">
        <v>9597</v>
      </c>
      <c r="E4735" s="20" t="e">
        <f t="array" ref="E4735">INDEX(C:C,SMALL(IF(ISNUMBER(FIND(CELL("contents"),$C$2:$C$4852)),ROW($C$2:$C$4852),4^8),ROW(C4735)))&amp;""</f>
        <v>#N/A</v>
      </c>
    </row>
    <row r="4736" ht="14.100000000000001" customHeight="1">
      <c r="B4736" s="8" t="s">
        <v>9599</v>
      </c>
      <c r="C4736" s="8" t="s">
        <v>9600</v>
      </c>
      <c r="D4736" s="8" t="s">
        <v>9599</v>
      </c>
      <c r="E4736" s="20" t="e">
        <f t="array" ref="E4736">INDEX(C:C,SMALL(IF(ISNUMBER(FIND(CELL("contents"),$C$2:$C$4852)),ROW($C$2:$C$4852),4^8),ROW(C4736)))&amp;""</f>
        <v>#N/A</v>
      </c>
    </row>
    <row r="4737" ht="14.100000000000001" customHeight="1">
      <c r="B4737" s="8" t="s">
        <v>9601</v>
      </c>
      <c r="C4737" s="8" t="s">
        <v>9602</v>
      </c>
      <c r="D4737" s="8" t="s">
        <v>9601</v>
      </c>
      <c r="E4737" s="20" t="e">
        <f t="array" ref="E4737">INDEX(C:C,SMALL(IF(ISNUMBER(FIND(CELL("contents"),$C$2:$C$4852)),ROW($C$2:$C$4852),4^8),ROW(C4737)))&amp;""</f>
        <v>#N/A</v>
      </c>
    </row>
    <row r="4738" ht="14.100000000000001" customHeight="1">
      <c r="B4738" s="8" t="s">
        <v>9603</v>
      </c>
      <c r="C4738" s="8" t="s">
        <v>9604</v>
      </c>
      <c r="D4738" s="8" t="s">
        <v>9603</v>
      </c>
      <c r="E4738" s="20" t="e">
        <f t="array" ref="E4738">INDEX(C:C,SMALL(IF(ISNUMBER(FIND(CELL("contents"),$C$2:$C$4852)),ROW($C$2:$C$4852),4^8),ROW(C4738)))&amp;""</f>
        <v>#N/A</v>
      </c>
    </row>
    <row r="4739" ht="14.100000000000001" customHeight="1">
      <c r="B4739" s="8" t="s">
        <v>9605</v>
      </c>
      <c r="C4739" s="8" t="s">
        <v>9606</v>
      </c>
      <c r="D4739" s="8" t="s">
        <v>9605</v>
      </c>
      <c r="E4739" s="20" t="e">
        <f t="array" ref="E4739">INDEX(C:C,SMALL(IF(ISNUMBER(FIND(CELL("contents"),$C$2:$C$4852)),ROW($C$2:$C$4852),4^8),ROW(C4739)))&amp;""</f>
        <v>#N/A</v>
      </c>
    </row>
    <row r="4740" ht="14.100000000000001" customHeight="1">
      <c r="B4740" s="8" t="s">
        <v>9607</v>
      </c>
      <c r="C4740" s="8" t="s">
        <v>9608</v>
      </c>
      <c r="D4740" s="8" t="s">
        <v>9607</v>
      </c>
      <c r="E4740" s="20" t="e">
        <f t="array" ref="E4740">INDEX(C:C,SMALL(IF(ISNUMBER(FIND(CELL("contents"),$C$2:$C$4852)),ROW($C$2:$C$4852),4^8),ROW(C4740)))&amp;""</f>
        <v>#N/A</v>
      </c>
    </row>
    <row r="4741" ht="14.100000000000001" customHeight="1">
      <c r="B4741" s="8" t="s">
        <v>9609</v>
      </c>
      <c r="C4741" s="8" t="s">
        <v>9610</v>
      </c>
      <c r="D4741" s="8" t="s">
        <v>9609</v>
      </c>
      <c r="E4741" s="20" t="e">
        <f t="array" ref="E4741">INDEX(C:C,SMALL(IF(ISNUMBER(FIND(CELL("contents"),$C$2:$C$4852)),ROW($C$2:$C$4852),4^8),ROW(C4741)))&amp;""</f>
        <v>#N/A</v>
      </c>
    </row>
    <row r="4742" ht="14.100000000000001" customHeight="1">
      <c r="B4742" s="8" t="s">
        <v>9611</v>
      </c>
      <c r="C4742" s="8" t="s">
        <v>9612</v>
      </c>
      <c r="D4742" s="8" t="s">
        <v>9611</v>
      </c>
      <c r="E4742" s="20" t="e">
        <f t="array" ref="E4742">INDEX(C:C,SMALL(IF(ISNUMBER(FIND(CELL("contents"),$C$2:$C$4852)),ROW($C$2:$C$4852),4^8),ROW(C4742)))&amp;""</f>
        <v>#N/A</v>
      </c>
    </row>
    <row r="4743" ht="14.100000000000001" customHeight="1">
      <c r="B4743" s="8" t="s">
        <v>9613</v>
      </c>
      <c r="C4743" s="8" t="s">
        <v>9614</v>
      </c>
      <c r="D4743" s="8" t="s">
        <v>9613</v>
      </c>
      <c r="E4743" s="20" t="e">
        <f t="array" ref="E4743">INDEX(C:C,SMALL(IF(ISNUMBER(FIND(CELL("contents"),$C$2:$C$4852)),ROW($C$2:$C$4852),4^8),ROW(C4743)))&amp;""</f>
        <v>#N/A</v>
      </c>
    </row>
    <row r="4744" ht="14.100000000000001" customHeight="1">
      <c r="B4744" s="8" t="s">
        <v>9615</v>
      </c>
      <c r="C4744" s="8" t="s">
        <v>9616</v>
      </c>
      <c r="D4744" s="8" t="s">
        <v>9615</v>
      </c>
      <c r="E4744" s="20" t="e">
        <f t="array" ref="E4744">INDEX(C:C,SMALL(IF(ISNUMBER(FIND(CELL("contents"),$C$2:$C$4852)),ROW($C$2:$C$4852),4^8),ROW(C4744)))&amp;""</f>
        <v>#N/A</v>
      </c>
    </row>
    <row r="4745" ht="14.100000000000001" customHeight="1">
      <c r="B4745" s="8" t="s">
        <v>9617</v>
      </c>
      <c r="C4745" s="8" t="s">
        <v>9618</v>
      </c>
      <c r="D4745" s="8" t="s">
        <v>9617</v>
      </c>
      <c r="E4745" s="20" t="e">
        <f t="array" ref="E4745">INDEX(C:C,SMALL(IF(ISNUMBER(FIND(CELL("contents"),$C$2:$C$4852)),ROW($C$2:$C$4852),4^8),ROW(C4745)))&amp;""</f>
        <v>#N/A</v>
      </c>
    </row>
    <row r="4746" ht="14.100000000000001" customHeight="1">
      <c r="B4746" s="8" t="s">
        <v>9619</v>
      </c>
      <c r="C4746" s="8" t="s">
        <v>9620</v>
      </c>
      <c r="D4746" s="8" t="s">
        <v>9619</v>
      </c>
      <c r="E4746" s="20" t="e">
        <f t="array" ref="E4746">INDEX(C:C,SMALL(IF(ISNUMBER(FIND(CELL("contents"),$C$2:$C$4852)),ROW($C$2:$C$4852),4^8),ROW(C4746)))&amp;""</f>
        <v>#N/A</v>
      </c>
    </row>
    <row r="4747" ht="14.100000000000001" customHeight="1">
      <c r="B4747" s="8" t="s">
        <v>9621</v>
      </c>
      <c r="C4747" s="8" t="s">
        <v>9622</v>
      </c>
      <c r="D4747" s="8" t="s">
        <v>9621</v>
      </c>
      <c r="E4747" s="20" t="e">
        <f t="array" ref="E4747">INDEX(C:C,SMALL(IF(ISNUMBER(FIND(CELL("contents"),$C$2:$C$4852)),ROW($C$2:$C$4852),4^8),ROW(C4747)))&amp;""</f>
        <v>#N/A</v>
      </c>
    </row>
    <row r="4748" ht="14.100000000000001" customHeight="1">
      <c r="B4748" s="8" t="s">
        <v>9623</v>
      </c>
      <c r="C4748" s="8" t="s">
        <v>9624</v>
      </c>
      <c r="D4748" s="8" t="s">
        <v>9623</v>
      </c>
      <c r="E4748" s="20" t="e">
        <f t="array" ref="E4748">INDEX(C:C,SMALL(IF(ISNUMBER(FIND(CELL("contents"),$C$2:$C$4852)),ROW($C$2:$C$4852),4^8),ROW(C4748)))&amp;""</f>
        <v>#N/A</v>
      </c>
    </row>
    <row r="4749" ht="14.100000000000001" customHeight="1">
      <c r="B4749" s="8" t="s">
        <v>9625</v>
      </c>
      <c r="C4749" s="8" t="s">
        <v>9626</v>
      </c>
      <c r="D4749" s="8" t="s">
        <v>9625</v>
      </c>
      <c r="E4749" s="20" t="e">
        <f t="array" ref="E4749">INDEX(C:C,SMALL(IF(ISNUMBER(FIND(CELL("contents"),$C$2:$C$4852)),ROW($C$2:$C$4852),4^8),ROW(C4749)))&amp;""</f>
        <v>#N/A</v>
      </c>
    </row>
    <row r="4750" ht="14.100000000000001" customHeight="1">
      <c r="B4750" s="8" t="s">
        <v>9627</v>
      </c>
      <c r="C4750" s="8" t="s">
        <v>9628</v>
      </c>
      <c r="D4750" s="8" t="s">
        <v>9627</v>
      </c>
      <c r="E4750" s="20" t="e">
        <f t="array" ref="E4750">INDEX(C:C,SMALL(IF(ISNUMBER(FIND(CELL("contents"),$C$2:$C$4852)),ROW($C$2:$C$4852),4^8),ROW(C4750)))&amp;""</f>
        <v>#N/A</v>
      </c>
    </row>
    <row r="4751" ht="14.100000000000001" customHeight="1">
      <c r="B4751" s="8" t="s">
        <v>9629</v>
      </c>
      <c r="C4751" s="8" t="s">
        <v>9630</v>
      </c>
      <c r="D4751" s="8" t="s">
        <v>9629</v>
      </c>
      <c r="E4751" s="20" t="e">
        <f t="array" ref="E4751">INDEX(C:C,SMALL(IF(ISNUMBER(FIND(CELL("contents"),$C$2:$C$4852)),ROW($C$2:$C$4852),4^8),ROW(C4751)))&amp;""</f>
        <v>#N/A</v>
      </c>
    </row>
    <row r="4752" ht="14.100000000000001" customHeight="1">
      <c r="B4752" s="8" t="s">
        <v>9631</v>
      </c>
      <c r="C4752" s="8" t="s">
        <v>9632</v>
      </c>
      <c r="D4752" s="8" t="s">
        <v>9631</v>
      </c>
      <c r="E4752" s="20" t="e">
        <f t="array" ref="E4752">INDEX(C:C,SMALL(IF(ISNUMBER(FIND(CELL("contents"),$C$2:$C$4852)),ROW($C$2:$C$4852),4^8),ROW(C4752)))&amp;""</f>
        <v>#N/A</v>
      </c>
    </row>
    <row r="4753" ht="14.100000000000001" customHeight="1">
      <c r="B4753" s="8" t="s">
        <v>9633</v>
      </c>
      <c r="C4753" s="8" t="s">
        <v>9634</v>
      </c>
      <c r="D4753" s="8" t="s">
        <v>9633</v>
      </c>
      <c r="E4753" s="20" t="e">
        <f t="array" ref="E4753">INDEX(C:C,SMALL(IF(ISNUMBER(FIND(CELL("contents"),$C$2:$C$4852)),ROW($C$2:$C$4852),4^8),ROW(C4753)))&amp;""</f>
        <v>#N/A</v>
      </c>
    </row>
    <row r="4754" ht="14.100000000000001" customHeight="1">
      <c r="B4754" s="8" t="s">
        <v>9635</v>
      </c>
      <c r="C4754" s="8" t="s">
        <v>9636</v>
      </c>
      <c r="D4754" s="8" t="s">
        <v>9635</v>
      </c>
      <c r="E4754" s="20" t="e">
        <f t="array" ref="E4754">INDEX(C:C,SMALL(IF(ISNUMBER(FIND(CELL("contents"),$C$2:$C$4852)),ROW($C$2:$C$4852),4^8),ROW(C4754)))&amp;""</f>
        <v>#N/A</v>
      </c>
    </row>
    <row r="4755" ht="14.100000000000001" customHeight="1">
      <c r="B4755" s="8" t="s">
        <v>9637</v>
      </c>
      <c r="C4755" s="8" t="s">
        <v>9638</v>
      </c>
      <c r="D4755" s="8" t="s">
        <v>9637</v>
      </c>
      <c r="E4755" s="20" t="e">
        <f t="array" ref="E4755">INDEX(C:C,SMALL(IF(ISNUMBER(FIND(CELL("contents"),$C$2:$C$4852)),ROW($C$2:$C$4852),4^8),ROW(C4755)))&amp;""</f>
        <v>#N/A</v>
      </c>
    </row>
    <row r="4756" ht="14.100000000000001" customHeight="1">
      <c r="B4756" s="8" t="s">
        <v>9639</v>
      </c>
      <c r="C4756" s="8" t="s">
        <v>9640</v>
      </c>
      <c r="D4756" s="8" t="s">
        <v>9639</v>
      </c>
      <c r="E4756" s="20" t="e">
        <f t="array" ref="E4756">INDEX(C:C,SMALL(IF(ISNUMBER(FIND(CELL("contents"),$C$2:$C$4852)),ROW($C$2:$C$4852),4^8),ROW(C4756)))&amp;""</f>
        <v>#N/A</v>
      </c>
    </row>
    <row r="4757" ht="14.100000000000001" customHeight="1">
      <c r="B4757" s="8" t="s">
        <v>9641</v>
      </c>
      <c r="C4757" s="8" t="s">
        <v>9642</v>
      </c>
      <c r="D4757" s="8" t="s">
        <v>9641</v>
      </c>
      <c r="E4757" s="20" t="e">
        <f t="array" ref="E4757">INDEX(C:C,SMALL(IF(ISNUMBER(FIND(CELL("contents"),$C$2:$C$4852)),ROW($C$2:$C$4852),4^8),ROW(C4757)))&amp;""</f>
        <v>#N/A</v>
      </c>
    </row>
    <row r="4758" ht="14.100000000000001" customHeight="1">
      <c r="B4758" s="8" t="s">
        <v>9643</v>
      </c>
      <c r="C4758" s="8" t="s">
        <v>9644</v>
      </c>
      <c r="D4758" s="8" t="s">
        <v>9643</v>
      </c>
      <c r="E4758" s="20" t="e">
        <f t="array" ref="E4758">INDEX(C:C,SMALL(IF(ISNUMBER(FIND(CELL("contents"),$C$2:$C$4852)),ROW($C$2:$C$4852),4^8),ROW(C4758)))&amp;""</f>
        <v>#N/A</v>
      </c>
    </row>
    <row r="4759" ht="14.100000000000001" customHeight="1">
      <c r="B4759" s="8" t="s">
        <v>9645</v>
      </c>
      <c r="C4759" s="8" t="s">
        <v>9646</v>
      </c>
      <c r="D4759" s="8" t="s">
        <v>9645</v>
      </c>
      <c r="E4759" s="20" t="e">
        <f t="array" ref="E4759">INDEX(C:C,SMALL(IF(ISNUMBER(FIND(CELL("contents"),$C$2:$C$4852)),ROW($C$2:$C$4852),4^8),ROW(C4759)))&amp;""</f>
        <v>#N/A</v>
      </c>
    </row>
    <row r="4760" ht="14.100000000000001" customHeight="1">
      <c r="B4760" s="8" t="s">
        <v>9647</v>
      </c>
      <c r="C4760" s="8" t="s">
        <v>9648</v>
      </c>
      <c r="D4760" s="8" t="s">
        <v>9647</v>
      </c>
      <c r="E4760" s="20" t="e">
        <f t="array" ref="E4760">INDEX(C:C,SMALL(IF(ISNUMBER(FIND(CELL("contents"),$C$2:$C$4852)),ROW($C$2:$C$4852),4^8),ROW(C4760)))&amp;""</f>
        <v>#N/A</v>
      </c>
    </row>
    <row r="4761" ht="14.100000000000001" customHeight="1">
      <c r="B4761" s="8" t="s">
        <v>9649</v>
      </c>
      <c r="C4761" s="8" t="s">
        <v>9650</v>
      </c>
      <c r="D4761" s="8" t="s">
        <v>9649</v>
      </c>
      <c r="E4761" s="20" t="e">
        <f t="array" ref="E4761">INDEX(C:C,SMALL(IF(ISNUMBER(FIND(CELL("contents"),$C$2:$C$4852)),ROW($C$2:$C$4852),4^8),ROW(C4761)))&amp;""</f>
        <v>#N/A</v>
      </c>
    </row>
    <row r="4762" ht="14.100000000000001" customHeight="1">
      <c r="B4762" s="8" t="s">
        <v>9651</v>
      </c>
      <c r="C4762" s="8" t="s">
        <v>9652</v>
      </c>
      <c r="D4762" s="8" t="s">
        <v>9651</v>
      </c>
      <c r="E4762" s="20" t="e">
        <f t="array" ref="E4762">INDEX(C:C,SMALL(IF(ISNUMBER(FIND(CELL("contents"),$C$2:$C$4852)),ROW($C$2:$C$4852),4^8),ROW(C4762)))&amp;""</f>
        <v>#N/A</v>
      </c>
    </row>
    <row r="4763" ht="14.100000000000001" customHeight="1">
      <c r="B4763" s="8" t="s">
        <v>9653</v>
      </c>
      <c r="C4763" s="8" t="s">
        <v>9654</v>
      </c>
      <c r="D4763" s="8" t="s">
        <v>9653</v>
      </c>
      <c r="E4763" s="20" t="e">
        <f t="array" ref="E4763">INDEX(C:C,SMALL(IF(ISNUMBER(FIND(CELL("contents"),$C$2:$C$4852)),ROW($C$2:$C$4852),4^8),ROW(C4763)))&amp;""</f>
        <v>#N/A</v>
      </c>
    </row>
    <row r="4764" ht="14.100000000000001" customHeight="1">
      <c r="B4764" s="8" t="s">
        <v>9655</v>
      </c>
      <c r="C4764" s="8" t="s">
        <v>9656</v>
      </c>
      <c r="D4764" s="8" t="s">
        <v>9655</v>
      </c>
      <c r="E4764" s="20" t="e">
        <f t="array" ref="E4764">INDEX(C:C,SMALL(IF(ISNUMBER(FIND(CELL("contents"),$C$2:$C$4852)),ROW($C$2:$C$4852),4^8),ROW(C4764)))&amp;""</f>
        <v>#N/A</v>
      </c>
    </row>
    <row r="4765" ht="14.100000000000001" customHeight="1">
      <c r="B4765" s="8" t="s">
        <v>9657</v>
      </c>
      <c r="C4765" s="8" t="s">
        <v>9658</v>
      </c>
      <c r="D4765" s="8" t="s">
        <v>9657</v>
      </c>
      <c r="E4765" s="20" t="e">
        <f t="array" ref="E4765">INDEX(C:C,SMALL(IF(ISNUMBER(FIND(CELL("contents"),$C$2:$C$4852)),ROW($C$2:$C$4852),4^8),ROW(C4765)))&amp;""</f>
        <v>#N/A</v>
      </c>
    </row>
    <row r="4766" ht="14.100000000000001" customHeight="1">
      <c r="B4766" s="8" t="s">
        <v>9659</v>
      </c>
      <c r="C4766" s="8" t="s">
        <v>9660</v>
      </c>
      <c r="D4766" s="8" t="s">
        <v>9659</v>
      </c>
      <c r="E4766" s="20" t="e">
        <f t="array" ref="E4766">INDEX(C:C,SMALL(IF(ISNUMBER(FIND(CELL("contents"),$C$2:$C$4852)),ROW($C$2:$C$4852),4^8),ROW(C4766)))&amp;""</f>
        <v>#N/A</v>
      </c>
    </row>
    <row r="4767" ht="14.100000000000001" customHeight="1">
      <c r="B4767" s="8" t="s">
        <v>9661</v>
      </c>
      <c r="C4767" s="8" t="s">
        <v>9662</v>
      </c>
      <c r="D4767" s="8" t="s">
        <v>9661</v>
      </c>
      <c r="E4767" s="20" t="e">
        <f t="array" ref="E4767">INDEX(C:C,SMALL(IF(ISNUMBER(FIND(CELL("contents"),$C$2:$C$4852)),ROW($C$2:$C$4852),4^8),ROW(C4767)))&amp;""</f>
        <v>#N/A</v>
      </c>
    </row>
    <row r="4768" ht="14.100000000000001" customHeight="1">
      <c r="B4768" s="8" t="s">
        <v>9663</v>
      </c>
      <c r="C4768" s="8" t="s">
        <v>9664</v>
      </c>
      <c r="D4768" s="8" t="s">
        <v>9663</v>
      </c>
      <c r="E4768" s="20" t="e">
        <f t="array" ref="E4768">INDEX(C:C,SMALL(IF(ISNUMBER(FIND(CELL("contents"),$C$2:$C$4852)),ROW($C$2:$C$4852),4^8),ROW(C4768)))&amp;""</f>
        <v>#N/A</v>
      </c>
    </row>
    <row r="4769" ht="14.100000000000001" customHeight="1">
      <c r="B4769" s="8" t="s">
        <v>9665</v>
      </c>
      <c r="C4769" s="8" t="s">
        <v>9666</v>
      </c>
      <c r="D4769" s="8" t="s">
        <v>9665</v>
      </c>
      <c r="E4769" s="20" t="e">
        <f t="array" ref="E4769">INDEX(C:C,SMALL(IF(ISNUMBER(FIND(CELL("contents"),$C$2:$C$4852)),ROW($C$2:$C$4852),4^8),ROW(C4769)))&amp;""</f>
        <v>#N/A</v>
      </c>
    </row>
    <row r="4770" ht="14.100000000000001" customHeight="1">
      <c r="B4770" s="8" t="s">
        <v>9667</v>
      </c>
      <c r="C4770" s="8" t="s">
        <v>9668</v>
      </c>
      <c r="D4770" s="8" t="s">
        <v>9667</v>
      </c>
      <c r="E4770" s="20" t="e">
        <f t="array" ref="E4770">INDEX(C:C,SMALL(IF(ISNUMBER(FIND(CELL("contents"),$C$2:$C$4852)),ROW($C$2:$C$4852),4^8),ROW(C4770)))&amp;""</f>
        <v>#N/A</v>
      </c>
    </row>
    <row r="4771" ht="14.100000000000001" customHeight="1">
      <c r="B4771" s="8" t="s">
        <v>9669</v>
      </c>
      <c r="C4771" s="8" t="s">
        <v>9670</v>
      </c>
      <c r="D4771" s="8" t="s">
        <v>9669</v>
      </c>
      <c r="E4771" s="20" t="e">
        <f t="array" ref="E4771">INDEX(C:C,SMALL(IF(ISNUMBER(FIND(CELL("contents"),$C$2:$C$4852)),ROW($C$2:$C$4852),4^8),ROW(C4771)))&amp;""</f>
        <v>#N/A</v>
      </c>
    </row>
    <row r="4772" ht="14.100000000000001" customHeight="1">
      <c r="B4772" s="8" t="s">
        <v>9671</v>
      </c>
      <c r="C4772" s="8" t="s">
        <v>9672</v>
      </c>
      <c r="D4772" s="8" t="s">
        <v>9671</v>
      </c>
      <c r="E4772" s="20" t="e">
        <f t="array" ref="E4772">INDEX(C:C,SMALL(IF(ISNUMBER(FIND(CELL("contents"),$C$2:$C$4852)),ROW($C$2:$C$4852),4^8),ROW(C4772)))&amp;""</f>
        <v>#N/A</v>
      </c>
    </row>
    <row r="4773" ht="14.100000000000001" customHeight="1">
      <c r="B4773" s="8" t="s">
        <v>9673</v>
      </c>
      <c r="C4773" s="8" t="s">
        <v>9674</v>
      </c>
      <c r="D4773" s="8" t="s">
        <v>9673</v>
      </c>
      <c r="E4773" s="20" t="e">
        <f t="array" ref="E4773">INDEX(C:C,SMALL(IF(ISNUMBER(FIND(CELL("contents"),$C$2:$C$4852)),ROW($C$2:$C$4852),4^8),ROW(C4773)))&amp;""</f>
        <v>#N/A</v>
      </c>
    </row>
    <row r="4774" ht="14.100000000000001" customHeight="1">
      <c r="B4774" s="8" t="s">
        <v>9675</v>
      </c>
      <c r="C4774" s="8" t="s">
        <v>9676</v>
      </c>
      <c r="D4774" s="8" t="s">
        <v>9675</v>
      </c>
      <c r="E4774" s="20" t="e">
        <f t="array" ref="E4774">INDEX(C:C,SMALL(IF(ISNUMBER(FIND(CELL("contents"),$C$2:$C$4852)),ROW($C$2:$C$4852),4^8),ROW(C4774)))&amp;""</f>
        <v>#N/A</v>
      </c>
    </row>
    <row r="4775" ht="14.100000000000001" customHeight="1">
      <c r="B4775" s="8" t="s">
        <v>9677</v>
      </c>
      <c r="C4775" s="8" t="s">
        <v>9678</v>
      </c>
      <c r="D4775" s="8" t="s">
        <v>9677</v>
      </c>
      <c r="E4775" s="20" t="e">
        <f t="array" ref="E4775">INDEX(C:C,SMALL(IF(ISNUMBER(FIND(CELL("contents"),$C$2:$C$4852)),ROW($C$2:$C$4852),4^8),ROW(C4775)))&amp;""</f>
        <v>#N/A</v>
      </c>
    </row>
    <row r="4776" ht="14.100000000000001" customHeight="1">
      <c r="B4776" s="8" t="s">
        <v>9679</v>
      </c>
      <c r="C4776" s="8" t="s">
        <v>9680</v>
      </c>
      <c r="D4776" s="8" t="s">
        <v>9679</v>
      </c>
      <c r="E4776" s="20" t="e">
        <f t="array" ref="E4776">INDEX(C:C,SMALL(IF(ISNUMBER(FIND(CELL("contents"),$C$2:$C$4852)),ROW($C$2:$C$4852),4^8),ROW(C4776)))&amp;""</f>
        <v>#N/A</v>
      </c>
    </row>
    <row r="4777" ht="14.100000000000001" customHeight="1">
      <c r="B4777" s="8" t="s">
        <v>9681</v>
      </c>
      <c r="C4777" s="8" t="s">
        <v>9682</v>
      </c>
      <c r="D4777" s="8" t="s">
        <v>9681</v>
      </c>
      <c r="E4777" s="20" t="e">
        <f t="array" ref="E4777">INDEX(C:C,SMALL(IF(ISNUMBER(FIND(CELL("contents"),$C$2:$C$4852)),ROW($C$2:$C$4852),4^8),ROW(C4777)))&amp;""</f>
        <v>#N/A</v>
      </c>
    </row>
    <row r="4778" ht="14.100000000000001" customHeight="1">
      <c r="B4778" s="8" t="s">
        <v>9683</v>
      </c>
      <c r="C4778" s="8" t="s">
        <v>9684</v>
      </c>
      <c r="D4778" s="8" t="s">
        <v>9683</v>
      </c>
      <c r="E4778" s="20" t="e">
        <f t="array" ref="E4778">INDEX(C:C,SMALL(IF(ISNUMBER(FIND(CELL("contents"),$C$2:$C$4852)),ROW($C$2:$C$4852),4^8),ROW(C4778)))&amp;""</f>
        <v>#N/A</v>
      </c>
    </row>
    <row r="4779" ht="14.100000000000001" customHeight="1">
      <c r="B4779" s="8" t="s">
        <v>9685</v>
      </c>
      <c r="C4779" s="8" t="s">
        <v>9686</v>
      </c>
      <c r="D4779" s="8" t="s">
        <v>9685</v>
      </c>
      <c r="E4779" s="20" t="e">
        <f t="array" ref="E4779">INDEX(C:C,SMALL(IF(ISNUMBER(FIND(CELL("contents"),$C$2:$C$4852)),ROW($C$2:$C$4852),4^8),ROW(C4779)))&amp;""</f>
        <v>#N/A</v>
      </c>
    </row>
    <row r="4780" ht="14.100000000000001" customHeight="1">
      <c r="B4780" s="8" t="s">
        <v>9687</v>
      </c>
      <c r="C4780" s="8" t="s">
        <v>9688</v>
      </c>
      <c r="D4780" s="8" t="s">
        <v>9687</v>
      </c>
      <c r="E4780" s="20" t="e">
        <f t="array" ref="E4780">INDEX(C:C,SMALL(IF(ISNUMBER(FIND(CELL("contents"),$C$2:$C$4852)),ROW($C$2:$C$4852),4^8),ROW(C4780)))&amp;""</f>
        <v>#N/A</v>
      </c>
    </row>
    <row r="4781" ht="14.100000000000001" customHeight="1">
      <c r="B4781" s="8" t="s">
        <v>9689</v>
      </c>
      <c r="C4781" s="8" t="s">
        <v>9690</v>
      </c>
      <c r="D4781" s="8" t="s">
        <v>9689</v>
      </c>
      <c r="E4781" s="20" t="e">
        <f t="array" ref="E4781">INDEX(C:C,SMALL(IF(ISNUMBER(FIND(CELL("contents"),$C$2:$C$4852)),ROW($C$2:$C$4852),4^8),ROW(C4781)))&amp;""</f>
        <v>#N/A</v>
      </c>
    </row>
    <row r="4782" ht="14.100000000000001" customHeight="1">
      <c r="B4782" s="8" t="s">
        <v>9691</v>
      </c>
      <c r="C4782" s="8" t="s">
        <v>9692</v>
      </c>
      <c r="D4782" s="8" t="s">
        <v>9691</v>
      </c>
      <c r="E4782" s="20" t="e">
        <f t="array" ref="E4782">INDEX(C:C,SMALL(IF(ISNUMBER(FIND(CELL("contents"),$C$2:$C$4852)),ROW($C$2:$C$4852),4^8),ROW(C4782)))&amp;""</f>
        <v>#N/A</v>
      </c>
    </row>
    <row r="4783" ht="14.100000000000001" customHeight="1">
      <c r="B4783" s="8" t="s">
        <v>9693</v>
      </c>
      <c r="C4783" s="8" t="s">
        <v>9694</v>
      </c>
      <c r="D4783" s="8" t="s">
        <v>9693</v>
      </c>
      <c r="E4783" s="20" t="e">
        <f t="array" ref="E4783">INDEX(C:C,SMALL(IF(ISNUMBER(FIND(CELL("contents"),$C$2:$C$4852)),ROW($C$2:$C$4852),4^8),ROW(C4783)))&amp;""</f>
        <v>#N/A</v>
      </c>
    </row>
    <row r="4784" ht="14.100000000000001" customHeight="1">
      <c r="B4784" s="8" t="s">
        <v>9695</v>
      </c>
      <c r="C4784" s="8" t="s">
        <v>9696</v>
      </c>
      <c r="D4784" s="8" t="s">
        <v>9695</v>
      </c>
      <c r="E4784" s="20" t="e">
        <f t="array" ref="E4784">INDEX(C:C,SMALL(IF(ISNUMBER(FIND(CELL("contents"),$C$2:$C$4852)),ROW($C$2:$C$4852),4^8),ROW(C4784)))&amp;""</f>
        <v>#N/A</v>
      </c>
    </row>
    <row r="4785" ht="14.100000000000001" customHeight="1">
      <c r="B4785" s="8" t="s">
        <v>9697</v>
      </c>
      <c r="C4785" s="8" t="s">
        <v>9698</v>
      </c>
      <c r="D4785" s="8" t="s">
        <v>9697</v>
      </c>
      <c r="E4785" s="20" t="e">
        <f t="array" ref="E4785">INDEX(C:C,SMALL(IF(ISNUMBER(FIND(CELL("contents"),$C$2:$C$4852)),ROW($C$2:$C$4852),4^8),ROW(C4785)))&amp;""</f>
        <v>#N/A</v>
      </c>
    </row>
    <row r="4786" ht="14.100000000000001" customHeight="1">
      <c r="B4786" s="8" t="s">
        <v>9699</v>
      </c>
      <c r="C4786" s="8" t="s">
        <v>9700</v>
      </c>
      <c r="D4786" s="8" t="s">
        <v>9699</v>
      </c>
      <c r="E4786" s="20" t="e">
        <f t="array" ref="E4786">INDEX(C:C,SMALL(IF(ISNUMBER(FIND(CELL("contents"),$C$2:$C$4852)),ROW($C$2:$C$4852),4^8),ROW(C4786)))&amp;""</f>
        <v>#N/A</v>
      </c>
    </row>
    <row r="4787" ht="14.100000000000001" customHeight="1">
      <c r="B4787" s="8" t="s">
        <v>9701</v>
      </c>
      <c r="C4787" s="8" t="s">
        <v>9702</v>
      </c>
      <c r="D4787" s="8" t="s">
        <v>9701</v>
      </c>
      <c r="E4787" s="20" t="e">
        <f t="array" ref="E4787">INDEX(C:C,SMALL(IF(ISNUMBER(FIND(CELL("contents"),$C$2:$C$4852)),ROW($C$2:$C$4852),4^8),ROW(C4787)))&amp;""</f>
        <v>#N/A</v>
      </c>
    </row>
    <row r="4788" ht="14.100000000000001" customHeight="1">
      <c r="B4788" s="8" t="s">
        <v>9703</v>
      </c>
      <c r="C4788" s="8" t="s">
        <v>9704</v>
      </c>
      <c r="D4788" s="8" t="s">
        <v>9703</v>
      </c>
      <c r="E4788" s="20" t="e">
        <f t="array" ref="E4788">INDEX(C:C,SMALL(IF(ISNUMBER(FIND(CELL("contents"),$C$2:$C$4852)),ROW($C$2:$C$4852),4^8),ROW(C4788)))&amp;""</f>
        <v>#N/A</v>
      </c>
    </row>
    <row r="4789" ht="14.100000000000001" customHeight="1">
      <c r="B4789" s="8" t="s">
        <v>9705</v>
      </c>
      <c r="C4789" s="8" t="s">
        <v>9706</v>
      </c>
      <c r="D4789" s="8" t="s">
        <v>9705</v>
      </c>
      <c r="E4789" s="20" t="e">
        <f t="array" ref="E4789">INDEX(C:C,SMALL(IF(ISNUMBER(FIND(CELL("contents"),$C$2:$C$4852)),ROW($C$2:$C$4852),4^8),ROW(C4789)))&amp;""</f>
        <v>#N/A</v>
      </c>
    </row>
    <row r="4790" ht="14.100000000000001" customHeight="1">
      <c r="B4790" s="8" t="s">
        <v>9707</v>
      </c>
      <c r="C4790" s="8" t="s">
        <v>9708</v>
      </c>
      <c r="D4790" s="8" t="s">
        <v>9707</v>
      </c>
      <c r="E4790" s="20" t="e">
        <f t="array" ref="E4790">INDEX(C:C,SMALL(IF(ISNUMBER(FIND(CELL("contents"),$C$2:$C$4852)),ROW($C$2:$C$4852),4^8),ROW(C4790)))&amp;""</f>
        <v>#N/A</v>
      </c>
    </row>
    <row r="4791" ht="14.100000000000001" customHeight="1">
      <c r="B4791" s="8" t="s">
        <v>9709</v>
      </c>
      <c r="C4791" s="8" t="s">
        <v>9710</v>
      </c>
      <c r="D4791" s="8" t="s">
        <v>9709</v>
      </c>
      <c r="E4791" s="20" t="e">
        <f t="array" ref="E4791">INDEX(C:C,SMALL(IF(ISNUMBER(FIND(CELL("contents"),$C$2:$C$4852)),ROW($C$2:$C$4852),4^8),ROW(C4791)))&amp;""</f>
        <v>#N/A</v>
      </c>
    </row>
    <row r="4792" ht="14.100000000000001" customHeight="1">
      <c r="B4792" s="8" t="s">
        <v>9711</v>
      </c>
      <c r="C4792" s="8" t="s">
        <v>9712</v>
      </c>
      <c r="D4792" s="8" t="s">
        <v>9711</v>
      </c>
      <c r="E4792" s="20" t="e">
        <f t="array" ref="E4792">INDEX(C:C,SMALL(IF(ISNUMBER(FIND(CELL("contents"),$C$2:$C$4852)),ROW($C$2:$C$4852),4^8),ROW(C4792)))&amp;""</f>
        <v>#N/A</v>
      </c>
    </row>
    <row r="4793" ht="14.100000000000001" customHeight="1">
      <c r="B4793" s="8" t="s">
        <v>9713</v>
      </c>
      <c r="C4793" s="8" t="s">
        <v>9714</v>
      </c>
      <c r="D4793" s="8" t="s">
        <v>9713</v>
      </c>
      <c r="E4793" s="20" t="e">
        <f t="array" ref="E4793">INDEX(C:C,SMALL(IF(ISNUMBER(FIND(CELL("contents"),$C$2:$C$4852)),ROW($C$2:$C$4852),4^8),ROW(C4793)))&amp;""</f>
        <v>#N/A</v>
      </c>
    </row>
    <row r="4794" ht="14.100000000000001" customHeight="1">
      <c r="B4794" s="8" t="s">
        <v>9715</v>
      </c>
      <c r="C4794" s="8" t="s">
        <v>9716</v>
      </c>
      <c r="D4794" s="8" t="s">
        <v>9715</v>
      </c>
      <c r="E4794" s="20" t="e">
        <f t="array" ref="E4794">INDEX(C:C,SMALL(IF(ISNUMBER(FIND(CELL("contents"),$C$2:$C$4852)),ROW($C$2:$C$4852),4^8),ROW(C4794)))&amp;""</f>
        <v>#N/A</v>
      </c>
    </row>
    <row r="4795" ht="14.100000000000001" customHeight="1">
      <c r="B4795" s="8" t="s">
        <v>9717</v>
      </c>
      <c r="C4795" s="8" t="s">
        <v>9718</v>
      </c>
      <c r="D4795" s="8" t="s">
        <v>9717</v>
      </c>
      <c r="E4795" s="20" t="e">
        <f t="array" ref="E4795">INDEX(C:C,SMALL(IF(ISNUMBER(FIND(CELL("contents"),$C$2:$C$4852)),ROW($C$2:$C$4852),4^8),ROW(C4795)))&amp;""</f>
        <v>#N/A</v>
      </c>
    </row>
    <row r="4796" ht="14.100000000000001" customHeight="1">
      <c r="B4796" s="8" t="s">
        <v>9719</v>
      </c>
      <c r="C4796" s="8" t="s">
        <v>9720</v>
      </c>
      <c r="D4796" s="8" t="s">
        <v>9719</v>
      </c>
      <c r="E4796" s="20" t="e">
        <f t="array" ref="E4796">INDEX(C:C,SMALL(IF(ISNUMBER(FIND(CELL("contents"),$C$2:$C$4852)),ROW($C$2:$C$4852),4^8),ROW(C4796)))&amp;""</f>
        <v>#N/A</v>
      </c>
    </row>
    <row r="4797" ht="14.100000000000001" customHeight="1">
      <c r="B4797" s="8" t="s">
        <v>9721</v>
      </c>
      <c r="C4797" s="8" t="s">
        <v>9722</v>
      </c>
      <c r="D4797" s="8" t="s">
        <v>9721</v>
      </c>
      <c r="E4797" s="20" t="e">
        <f t="array" ref="E4797">INDEX(C:C,SMALL(IF(ISNUMBER(FIND(CELL("contents"),$C$2:$C$4852)),ROW($C$2:$C$4852),4^8),ROW(C4797)))&amp;""</f>
        <v>#N/A</v>
      </c>
    </row>
    <row r="4798" ht="14.100000000000001" customHeight="1">
      <c r="B4798" s="8" t="s">
        <v>9723</v>
      </c>
      <c r="C4798" s="8" t="s">
        <v>9724</v>
      </c>
      <c r="D4798" s="8" t="s">
        <v>9723</v>
      </c>
      <c r="E4798" s="20" t="e">
        <f t="array" ref="E4798">INDEX(C:C,SMALL(IF(ISNUMBER(FIND(CELL("contents"),$C$2:$C$4852)),ROW($C$2:$C$4852),4^8),ROW(C4798)))&amp;""</f>
        <v>#N/A</v>
      </c>
    </row>
    <row r="4799" ht="14.100000000000001" customHeight="1">
      <c r="B4799" s="8" t="s">
        <v>9725</v>
      </c>
      <c r="C4799" s="8" t="s">
        <v>9726</v>
      </c>
      <c r="D4799" s="8" t="s">
        <v>9725</v>
      </c>
      <c r="E4799" s="20" t="e">
        <f t="array" ref="E4799">INDEX(C:C,SMALL(IF(ISNUMBER(FIND(CELL("contents"),$C$2:$C$4852)),ROW($C$2:$C$4852),4^8),ROW(C4799)))&amp;""</f>
        <v>#N/A</v>
      </c>
    </row>
    <row r="4800" ht="14.100000000000001" customHeight="1">
      <c r="B4800" s="8" t="s">
        <v>9727</v>
      </c>
      <c r="C4800" s="8" t="s">
        <v>9728</v>
      </c>
      <c r="D4800" s="8" t="s">
        <v>9727</v>
      </c>
      <c r="E4800" s="20" t="e">
        <f t="array" ref="E4800">INDEX(C:C,SMALL(IF(ISNUMBER(FIND(CELL("contents"),$C$2:$C$4852)),ROW($C$2:$C$4852),4^8),ROW(C4800)))&amp;""</f>
        <v>#N/A</v>
      </c>
    </row>
    <row r="4801" ht="14.100000000000001" customHeight="1">
      <c r="B4801" s="8" t="s">
        <v>9729</v>
      </c>
      <c r="C4801" s="8" t="s">
        <v>9730</v>
      </c>
      <c r="D4801" s="8" t="s">
        <v>9729</v>
      </c>
      <c r="E4801" s="20" t="e">
        <f t="array" ref="E4801">INDEX(C:C,SMALL(IF(ISNUMBER(FIND(CELL("contents"),$C$2:$C$4852)),ROW($C$2:$C$4852),4^8),ROW(C4801)))&amp;""</f>
        <v>#N/A</v>
      </c>
    </row>
    <row r="4802" ht="14.100000000000001" customHeight="1">
      <c r="B4802" s="8" t="s">
        <v>9731</v>
      </c>
      <c r="C4802" s="8" t="s">
        <v>9732</v>
      </c>
      <c r="D4802" s="8" t="s">
        <v>9731</v>
      </c>
      <c r="E4802" s="20" t="e">
        <f t="array" ref="E4802">INDEX(C:C,SMALL(IF(ISNUMBER(FIND(CELL("contents"),$C$2:$C$4852)),ROW($C$2:$C$4852),4^8),ROW(C4802)))&amp;""</f>
        <v>#N/A</v>
      </c>
    </row>
    <row r="4803" ht="14.100000000000001" customHeight="1">
      <c r="B4803" s="8" t="s">
        <v>9733</v>
      </c>
      <c r="C4803" s="8" t="s">
        <v>9734</v>
      </c>
      <c r="D4803" s="8" t="s">
        <v>9733</v>
      </c>
      <c r="E4803" s="20" t="e">
        <f t="array" ref="E4803">INDEX(C:C,SMALL(IF(ISNUMBER(FIND(CELL("contents"),$C$2:$C$4852)),ROW($C$2:$C$4852),4^8),ROW(C4803)))&amp;""</f>
        <v>#N/A</v>
      </c>
    </row>
    <row r="4804" ht="14.100000000000001" customHeight="1">
      <c r="B4804" s="8" t="s">
        <v>9735</v>
      </c>
      <c r="C4804" s="8" t="s">
        <v>9736</v>
      </c>
      <c r="D4804" s="8" t="s">
        <v>9735</v>
      </c>
      <c r="E4804" s="20" t="e">
        <f t="array" ref="E4804">INDEX(C:C,SMALL(IF(ISNUMBER(FIND(CELL("contents"),$C$2:$C$4852)),ROW($C$2:$C$4852),4^8),ROW(C4804)))&amp;""</f>
        <v>#N/A</v>
      </c>
    </row>
    <row r="4805" ht="14.100000000000001" customHeight="1">
      <c r="B4805" s="8" t="s">
        <v>9737</v>
      </c>
      <c r="C4805" s="8" t="s">
        <v>9738</v>
      </c>
      <c r="D4805" s="8" t="s">
        <v>9737</v>
      </c>
      <c r="E4805" s="20" t="e">
        <f t="array" ref="E4805">INDEX(C:C,SMALL(IF(ISNUMBER(FIND(CELL("contents"),$C$2:$C$4852)),ROW($C$2:$C$4852),4^8),ROW(C4805)))&amp;""</f>
        <v>#N/A</v>
      </c>
    </row>
    <row r="4806" ht="14.100000000000001" customHeight="1">
      <c r="B4806" s="8" t="s">
        <v>9739</v>
      </c>
      <c r="C4806" s="8" t="s">
        <v>9740</v>
      </c>
      <c r="D4806" s="8" t="s">
        <v>9739</v>
      </c>
      <c r="E4806" s="20" t="e">
        <f t="array" ref="E4806">INDEX(C:C,SMALL(IF(ISNUMBER(FIND(CELL("contents"),$C$2:$C$4852)),ROW($C$2:$C$4852),4^8),ROW(C4806)))&amp;""</f>
        <v>#N/A</v>
      </c>
    </row>
    <row r="4807" ht="14.100000000000001" customHeight="1">
      <c r="B4807" s="8" t="s">
        <v>9741</v>
      </c>
      <c r="C4807" s="8" t="s">
        <v>9742</v>
      </c>
      <c r="D4807" s="8" t="s">
        <v>9741</v>
      </c>
      <c r="E4807" s="20" t="e">
        <f t="array" ref="E4807">INDEX(C:C,SMALL(IF(ISNUMBER(FIND(CELL("contents"),$C$2:$C$4852)),ROW($C$2:$C$4852),4^8),ROW(C4807)))&amp;""</f>
        <v>#N/A</v>
      </c>
    </row>
    <row r="4808" ht="14.100000000000001" customHeight="1">
      <c r="B4808" s="8" t="s">
        <v>9743</v>
      </c>
      <c r="C4808" s="8" t="s">
        <v>9744</v>
      </c>
      <c r="D4808" s="8" t="s">
        <v>9743</v>
      </c>
      <c r="E4808" s="20" t="e">
        <f t="array" ref="E4808">INDEX(C:C,SMALL(IF(ISNUMBER(FIND(CELL("contents"),$C$2:$C$4852)),ROW($C$2:$C$4852),4^8),ROW(C4808)))&amp;""</f>
        <v>#N/A</v>
      </c>
    </row>
    <row r="4809" ht="14.100000000000001" customHeight="1">
      <c r="B4809" s="8" t="s">
        <v>9745</v>
      </c>
      <c r="C4809" s="8" t="s">
        <v>9746</v>
      </c>
      <c r="D4809" s="8" t="s">
        <v>9745</v>
      </c>
      <c r="E4809" s="20" t="e">
        <f t="array" ref="E4809">INDEX(C:C,SMALL(IF(ISNUMBER(FIND(CELL("contents"),$C$2:$C$4852)),ROW($C$2:$C$4852),4^8),ROW(C4809)))&amp;""</f>
        <v>#N/A</v>
      </c>
    </row>
    <row r="4810" ht="14.100000000000001" customHeight="1">
      <c r="B4810" s="8" t="s">
        <v>9747</v>
      </c>
      <c r="C4810" s="8" t="s">
        <v>9748</v>
      </c>
      <c r="D4810" s="8" t="s">
        <v>9747</v>
      </c>
      <c r="E4810" s="20" t="e">
        <f t="array" ref="E4810">INDEX(C:C,SMALL(IF(ISNUMBER(FIND(CELL("contents"),$C$2:$C$4852)),ROW($C$2:$C$4852),4^8),ROW(C4810)))&amp;""</f>
        <v>#N/A</v>
      </c>
    </row>
    <row r="4811" ht="14.100000000000001" customHeight="1">
      <c r="B4811" s="8" t="s">
        <v>9749</v>
      </c>
      <c r="C4811" s="8" t="s">
        <v>9750</v>
      </c>
      <c r="D4811" s="8" t="s">
        <v>9749</v>
      </c>
      <c r="E4811" s="20" t="e">
        <f t="array" ref="E4811">INDEX(C:C,SMALL(IF(ISNUMBER(FIND(CELL("contents"),$C$2:$C$4852)),ROW($C$2:$C$4852),4^8),ROW(C4811)))&amp;""</f>
        <v>#N/A</v>
      </c>
    </row>
    <row r="4812" ht="14.100000000000001" customHeight="1">
      <c r="B4812" s="8" t="s">
        <v>9751</v>
      </c>
      <c r="C4812" s="8" t="s">
        <v>9752</v>
      </c>
      <c r="D4812" s="8" t="s">
        <v>9751</v>
      </c>
      <c r="E4812" s="20" t="e">
        <f t="array" ref="E4812">INDEX(C:C,SMALL(IF(ISNUMBER(FIND(CELL("contents"),$C$2:$C$4852)),ROW($C$2:$C$4852),4^8),ROW(C4812)))&amp;""</f>
        <v>#N/A</v>
      </c>
    </row>
    <row r="4813" ht="14.100000000000001" customHeight="1">
      <c r="B4813" s="8" t="s">
        <v>9753</v>
      </c>
      <c r="C4813" s="8" t="s">
        <v>9754</v>
      </c>
      <c r="D4813" s="8" t="s">
        <v>9753</v>
      </c>
      <c r="E4813" s="20" t="e">
        <f t="array" ref="E4813">INDEX(C:C,SMALL(IF(ISNUMBER(FIND(CELL("contents"),$C$2:$C$4852)),ROW($C$2:$C$4852),4^8),ROW(C4813)))&amp;""</f>
        <v>#N/A</v>
      </c>
    </row>
    <row r="4814" ht="14.100000000000001" customHeight="1">
      <c r="B4814" s="8" t="s">
        <v>9755</v>
      </c>
      <c r="C4814" s="8" t="s">
        <v>9756</v>
      </c>
      <c r="D4814" s="8" t="s">
        <v>9755</v>
      </c>
      <c r="E4814" s="20" t="e">
        <f t="array" ref="E4814">INDEX(C:C,SMALL(IF(ISNUMBER(FIND(CELL("contents"),$C$2:$C$4852)),ROW($C$2:$C$4852),4^8),ROW(C4814)))&amp;""</f>
        <v>#N/A</v>
      </c>
    </row>
    <row r="4815" ht="14.100000000000001" customHeight="1">
      <c r="B4815" s="8" t="s">
        <v>9757</v>
      </c>
      <c r="C4815" s="8" t="s">
        <v>9758</v>
      </c>
      <c r="D4815" s="8" t="s">
        <v>9757</v>
      </c>
      <c r="E4815" s="20" t="e">
        <f t="array" ref="E4815">INDEX(C:C,SMALL(IF(ISNUMBER(FIND(CELL("contents"),$C$2:$C$4852)),ROW($C$2:$C$4852),4^8),ROW(C4815)))&amp;""</f>
        <v>#N/A</v>
      </c>
    </row>
    <row r="4816" ht="14.100000000000001" customHeight="1">
      <c r="B4816" s="8" t="s">
        <v>9759</v>
      </c>
      <c r="C4816" s="8" t="s">
        <v>9760</v>
      </c>
      <c r="D4816" s="8" t="s">
        <v>9759</v>
      </c>
      <c r="E4816" s="20" t="e">
        <f t="array" ref="E4816">INDEX(C:C,SMALL(IF(ISNUMBER(FIND(CELL("contents"),$C$2:$C$4852)),ROW($C$2:$C$4852),4^8),ROW(C4816)))&amp;""</f>
        <v>#N/A</v>
      </c>
    </row>
    <row r="4817" ht="14.100000000000001" customHeight="1">
      <c r="B4817" s="8" t="s">
        <v>9761</v>
      </c>
      <c r="C4817" s="8" t="s">
        <v>9762</v>
      </c>
      <c r="D4817" s="8" t="s">
        <v>9761</v>
      </c>
      <c r="E4817" s="20" t="e">
        <f t="array" ref="E4817">INDEX(C:C,SMALL(IF(ISNUMBER(FIND(CELL("contents"),$C$2:$C$4852)),ROW($C$2:$C$4852),4^8),ROW(C4817)))&amp;""</f>
        <v>#N/A</v>
      </c>
    </row>
    <row r="4818" ht="14.100000000000001" customHeight="1">
      <c r="B4818" s="8" t="s">
        <v>9763</v>
      </c>
      <c r="C4818" s="8" t="s">
        <v>9764</v>
      </c>
      <c r="D4818" s="8" t="s">
        <v>9763</v>
      </c>
      <c r="E4818" s="20" t="e">
        <f t="array" ref="E4818">INDEX(C:C,SMALL(IF(ISNUMBER(FIND(CELL("contents"),$C$2:$C$4852)),ROW($C$2:$C$4852),4^8),ROW(C4818)))&amp;""</f>
        <v>#N/A</v>
      </c>
    </row>
    <row r="4819" ht="14.100000000000001" customHeight="1">
      <c r="B4819" s="8" t="s">
        <v>9765</v>
      </c>
      <c r="C4819" s="8" t="s">
        <v>9766</v>
      </c>
      <c r="D4819" s="8" t="s">
        <v>9765</v>
      </c>
      <c r="E4819" s="20" t="e">
        <f t="array" ref="E4819">INDEX(C:C,SMALL(IF(ISNUMBER(FIND(CELL("contents"),$C$2:$C$4852)),ROW($C$2:$C$4852),4^8),ROW(C4819)))&amp;""</f>
        <v>#N/A</v>
      </c>
    </row>
    <row r="4820" ht="14.100000000000001" customHeight="1">
      <c r="B4820" s="8" t="s">
        <v>9767</v>
      </c>
      <c r="C4820" s="8" t="s">
        <v>9768</v>
      </c>
      <c r="D4820" s="8" t="s">
        <v>9767</v>
      </c>
      <c r="E4820" s="20" t="e">
        <f t="array" ref="E4820">INDEX(C:C,SMALL(IF(ISNUMBER(FIND(CELL("contents"),$C$2:$C$4852)),ROW($C$2:$C$4852),4^8),ROW(C4820)))&amp;""</f>
        <v>#N/A</v>
      </c>
    </row>
    <row r="4821" ht="14.100000000000001" customHeight="1">
      <c r="B4821" s="8" t="s">
        <v>9769</v>
      </c>
      <c r="C4821" s="8" t="s">
        <v>9770</v>
      </c>
      <c r="D4821" s="8" t="s">
        <v>9769</v>
      </c>
      <c r="E4821" s="20" t="e">
        <f t="array" ref="E4821">INDEX(C:C,SMALL(IF(ISNUMBER(FIND(CELL("contents"),$C$2:$C$4852)),ROW($C$2:$C$4852),4^8),ROW(C4821)))&amp;""</f>
        <v>#N/A</v>
      </c>
    </row>
    <row r="4822" ht="14.100000000000001" customHeight="1">
      <c r="B4822" s="8" t="s">
        <v>9771</v>
      </c>
      <c r="C4822" s="8" t="s">
        <v>9772</v>
      </c>
      <c r="D4822" s="8" t="s">
        <v>9771</v>
      </c>
      <c r="E4822" s="20" t="e">
        <f t="array" ref="E4822">INDEX(C:C,SMALL(IF(ISNUMBER(FIND(CELL("contents"),$C$2:$C$4852)),ROW($C$2:$C$4852),4^8),ROW(C4822)))&amp;""</f>
        <v>#N/A</v>
      </c>
    </row>
    <row r="4823" ht="14.100000000000001" customHeight="1">
      <c r="B4823" s="8" t="s">
        <v>9773</v>
      </c>
      <c r="C4823" s="8" t="s">
        <v>9774</v>
      </c>
      <c r="D4823" s="8" t="s">
        <v>9773</v>
      </c>
      <c r="E4823" s="20" t="e">
        <f t="array" ref="E4823">INDEX(C:C,SMALL(IF(ISNUMBER(FIND(CELL("contents"),$C$2:$C$4852)),ROW($C$2:$C$4852),4^8),ROW(C4823)))&amp;""</f>
        <v>#N/A</v>
      </c>
    </row>
    <row r="4824" ht="14.100000000000001" customHeight="1">
      <c r="B4824" s="8" t="s">
        <v>9775</v>
      </c>
      <c r="C4824" s="8" t="s">
        <v>9776</v>
      </c>
      <c r="D4824" s="8" t="s">
        <v>9775</v>
      </c>
      <c r="E4824" s="20" t="e">
        <f t="array" ref="E4824">INDEX(C:C,SMALL(IF(ISNUMBER(FIND(CELL("contents"),$C$2:$C$4852)),ROW($C$2:$C$4852),4^8),ROW(C4824)))&amp;""</f>
        <v>#N/A</v>
      </c>
    </row>
    <row r="4825" ht="14.100000000000001" customHeight="1">
      <c r="B4825" s="8" t="s">
        <v>9777</v>
      </c>
      <c r="C4825" s="8" t="s">
        <v>9778</v>
      </c>
      <c r="D4825" s="8" t="s">
        <v>9777</v>
      </c>
      <c r="E4825" s="20" t="e">
        <f t="array" ref="E4825">INDEX(C:C,SMALL(IF(ISNUMBER(FIND(CELL("contents"),$C$2:$C$4852)),ROW($C$2:$C$4852),4^8),ROW(C4825)))&amp;""</f>
        <v>#N/A</v>
      </c>
    </row>
    <row r="4826" ht="14.100000000000001" customHeight="1">
      <c r="B4826" s="8" t="s">
        <v>9779</v>
      </c>
      <c r="C4826" s="8" t="s">
        <v>9780</v>
      </c>
      <c r="D4826" s="8" t="s">
        <v>9779</v>
      </c>
      <c r="E4826" s="20" t="e">
        <f t="array" ref="E4826">INDEX(C:C,SMALL(IF(ISNUMBER(FIND(CELL("contents"),$C$2:$C$4852)),ROW($C$2:$C$4852),4^8),ROW(C4826)))&amp;""</f>
        <v>#N/A</v>
      </c>
    </row>
    <row r="4827" ht="14.100000000000001" customHeight="1">
      <c r="B4827" s="8" t="s">
        <v>9781</v>
      </c>
      <c r="C4827" s="8" t="s">
        <v>9782</v>
      </c>
      <c r="D4827" s="8" t="s">
        <v>9781</v>
      </c>
      <c r="E4827" s="20" t="e">
        <f t="array" ref="E4827">INDEX(C:C,SMALL(IF(ISNUMBER(FIND(CELL("contents"),$C$2:$C$4852)),ROW($C$2:$C$4852),4^8),ROW(C4827)))&amp;""</f>
        <v>#N/A</v>
      </c>
    </row>
    <row r="4828" ht="14.100000000000001" customHeight="1">
      <c r="B4828" s="8" t="s">
        <v>9783</v>
      </c>
      <c r="C4828" s="8" t="s">
        <v>9784</v>
      </c>
      <c r="D4828" s="8" t="s">
        <v>9783</v>
      </c>
      <c r="E4828" s="20" t="e">
        <f t="array" ref="E4828">INDEX(C:C,SMALL(IF(ISNUMBER(FIND(CELL("contents"),$C$2:$C$4852)),ROW($C$2:$C$4852),4^8),ROW(C4828)))&amp;""</f>
        <v>#N/A</v>
      </c>
    </row>
    <row r="4829" ht="14.100000000000001" customHeight="1">
      <c r="B4829" s="8" t="s">
        <v>9785</v>
      </c>
      <c r="C4829" s="8" t="s">
        <v>9786</v>
      </c>
      <c r="D4829" s="8" t="s">
        <v>9785</v>
      </c>
      <c r="E4829" s="20" t="e">
        <f t="array" ref="E4829">INDEX(C:C,SMALL(IF(ISNUMBER(FIND(CELL("contents"),$C$2:$C$4852)),ROW($C$2:$C$4852),4^8),ROW(C4829)))&amp;""</f>
        <v>#N/A</v>
      </c>
    </row>
    <row r="4830" ht="14.100000000000001" customHeight="1">
      <c r="B4830" s="8" t="s">
        <v>9787</v>
      </c>
      <c r="C4830" s="8" t="s">
        <v>9788</v>
      </c>
      <c r="D4830" s="8" t="s">
        <v>9787</v>
      </c>
      <c r="E4830" s="20" t="e">
        <f t="array" ref="E4830">INDEX(C:C,SMALL(IF(ISNUMBER(FIND(CELL("contents"),$C$2:$C$4852)),ROW($C$2:$C$4852),4^8),ROW(C4830)))&amp;""</f>
        <v>#N/A</v>
      </c>
    </row>
    <row r="4831" ht="14.100000000000001" customHeight="1">
      <c r="B4831" s="8" t="s">
        <v>9789</v>
      </c>
      <c r="C4831" s="8" t="s">
        <v>9790</v>
      </c>
      <c r="D4831" s="8" t="s">
        <v>9789</v>
      </c>
      <c r="E4831" s="20" t="e">
        <f t="array" ref="E4831">INDEX(C:C,SMALL(IF(ISNUMBER(FIND(CELL("contents"),$C$2:$C$4852)),ROW($C$2:$C$4852),4^8),ROW(C4831)))&amp;""</f>
        <v>#N/A</v>
      </c>
    </row>
    <row r="4832" ht="14.100000000000001" customHeight="1">
      <c r="B4832" s="8" t="s">
        <v>9791</v>
      </c>
      <c r="C4832" s="8" t="s">
        <v>9792</v>
      </c>
      <c r="D4832" s="8" t="s">
        <v>9791</v>
      </c>
      <c r="E4832" s="20" t="e">
        <f t="array" ref="E4832">INDEX(C:C,SMALL(IF(ISNUMBER(FIND(CELL("contents"),$C$2:$C$4852)),ROW($C$2:$C$4852),4^8),ROW(C4832)))&amp;""</f>
        <v>#N/A</v>
      </c>
    </row>
    <row r="4833" ht="14.100000000000001" customHeight="1">
      <c r="B4833" s="8" t="s">
        <v>9793</v>
      </c>
      <c r="C4833" s="8" t="s">
        <v>9794</v>
      </c>
      <c r="D4833" s="8" t="s">
        <v>9793</v>
      </c>
      <c r="E4833" s="20" t="e">
        <f t="array" ref="E4833">INDEX(C:C,SMALL(IF(ISNUMBER(FIND(CELL("contents"),$C$2:$C$4852)),ROW($C$2:$C$4852),4^8),ROW(C4833)))&amp;""</f>
        <v>#N/A</v>
      </c>
    </row>
    <row r="4834" ht="14.100000000000001" customHeight="1">
      <c r="B4834" s="8" t="s">
        <v>9795</v>
      </c>
      <c r="C4834" s="8" t="s">
        <v>9796</v>
      </c>
      <c r="D4834" s="8" t="s">
        <v>9795</v>
      </c>
      <c r="E4834" s="20" t="e">
        <f t="array" ref="E4834">INDEX(C:C,SMALL(IF(ISNUMBER(FIND(CELL("contents"),$C$2:$C$4852)),ROW($C$2:$C$4852),4^8),ROW(C4834)))&amp;""</f>
        <v>#N/A</v>
      </c>
    </row>
    <row r="4835" ht="14.100000000000001" customHeight="1">
      <c r="B4835" s="8" t="s">
        <v>9797</v>
      </c>
      <c r="C4835" s="8" t="s">
        <v>9798</v>
      </c>
      <c r="D4835" s="8" t="s">
        <v>9797</v>
      </c>
      <c r="E4835" s="20" t="e">
        <f t="array" ref="E4835">INDEX(C:C,SMALL(IF(ISNUMBER(FIND(CELL("contents"),$C$2:$C$4852)),ROW($C$2:$C$4852),4^8),ROW(C4835)))&amp;""</f>
        <v>#N/A</v>
      </c>
    </row>
    <row r="4836" ht="14.100000000000001" customHeight="1">
      <c r="B4836" s="8" t="s">
        <v>9799</v>
      </c>
      <c r="C4836" s="8" t="s">
        <v>9800</v>
      </c>
      <c r="D4836" s="8" t="s">
        <v>9799</v>
      </c>
      <c r="E4836" s="20" t="e">
        <f t="array" ref="E4836">INDEX(C:C,SMALL(IF(ISNUMBER(FIND(CELL("contents"),$C$2:$C$4852)),ROW($C$2:$C$4852),4^8),ROW(C4836)))&amp;""</f>
        <v>#N/A</v>
      </c>
    </row>
    <row r="4837" ht="14.100000000000001" customHeight="1">
      <c r="B4837" s="8" t="s">
        <v>9801</v>
      </c>
      <c r="C4837" s="8" t="s">
        <v>9802</v>
      </c>
      <c r="D4837" s="8" t="s">
        <v>9801</v>
      </c>
      <c r="E4837" s="20" t="e">
        <f t="array" ref="E4837">INDEX(C:C,SMALL(IF(ISNUMBER(FIND(CELL("contents"),$C$2:$C$4852)),ROW($C$2:$C$4852),4^8),ROW(C4837)))&amp;""</f>
        <v>#N/A</v>
      </c>
    </row>
    <row r="4838" ht="14.100000000000001" customHeight="1">
      <c r="B4838" s="8" t="s">
        <v>9803</v>
      </c>
      <c r="C4838" s="8" t="s">
        <v>9804</v>
      </c>
      <c r="D4838" s="8" t="s">
        <v>9803</v>
      </c>
      <c r="E4838" s="20" t="e">
        <f t="array" ref="E4838">INDEX(C:C,SMALL(IF(ISNUMBER(FIND(CELL("contents"),$C$2:$C$4852)),ROW($C$2:$C$4852),4^8),ROW(C4838)))&amp;""</f>
        <v>#N/A</v>
      </c>
    </row>
    <row r="4839" ht="14.100000000000001" customHeight="1">
      <c r="B4839" s="8" t="s">
        <v>9805</v>
      </c>
      <c r="C4839" s="8" t="s">
        <v>9806</v>
      </c>
      <c r="D4839" s="8" t="s">
        <v>9805</v>
      </c>
      <c r="E4839" s="20" t="e">
        <f t="array" ref="E4839">INDEX(C:C,SMALL(IF(ISNUMBER(FIND(CELL("contents"),$C$2:$C$4852)),ROW($C$2:$C$4852),4^8),ROW(C4839)))&amp;""</f>
        <v>#N/A</v>
      </c>
    </row>
    <row r="4840" ht="14.100000000000001" customHeight="1">
      <c r="B4840" s="8" t="s">
        <v>9807</v>
      </c>
      <c r="C4840" s="8" t="s">
        <v>9808</v>
      </c>
      <c r="D4840" s="8" t="s">
        <v>9807</v>
      </c>
      <c r="E4840" s="20" t="e">
        <f t="array" ref="E4840">INDEX(C:C,SMALL(IF(ISNUMBER(FIND(CELL("contents"),$C$2:$C$4852)),ROW($C$2:$C$4852),4^8),ROW(C4840)))&amp;""</f>
        <v>#N/A</v>
      </c>
    </row>
    <row r="4841" ht="14.100000000000001" customHeight="1">
      <c r="B4841" s="8" t="s">
        <v>9809</v>
      </c>
      <c r="C4841" s="8" t="s">
        <v>9810</v>
      </c>
      <c r="D4841" s="8" t="s">
        <v>9809</v>
      </c>
      <c r="E4841" s="20" t="e">
        <f t="array" ref="E4841">INDEX(C:C,SMALL(IF(ISNUMBER(FIND(CELL("contents"),$C$2:$C$4852)),ROW($C$2:$C$4852),4^8),ROW(C4841)))&amp;""</f>
        <v>#N/A</v>
      </c>
    </row>
    <row r="4842" ht="14.100000000000001" customHeight="1">
      <c r="B4842" s="8" t="s">
        <v>9811</v>
      </c>
      <c r="C4842" s="8" t="s">
        <v>9812</v>
      </c>
      <c r="D4842" s="8" t="s">
        <v>9811</v>
      </c>
      <c r="E4842" s="20" t="e">
        <f t="array" ref="E4842">INDEX(C:C,SMALL(IF(ISNUMBER(FIND(CELL("contents"),$C$2:$C$4852)),ROW($C$2:$C$4852),4^8),ROW(C4842)))&amp;""</f>
        <v>#N/A</v>
      </c>
    </row>
    <row r="4843" ht="14.100000000000001" customHeight="1">
      <c r="B4843" s="8" t="s">
        <v>9813</v>
      </c>
      <c r="C4843" s="8" t="s">
        <v>9814</v>
      </c>
      <c r="D4843" s="8" t="s">
        <v>9813</v>
      </c>
      <c r="E4843" s="20" t="e">
        <f t="array" ref="E4843">INDEX(C:C,SMALL(IF(ISNUMBER(FIND(CELL("contents"),$C$2:$C$4852)),ROW($C$2:$C$4852),4^8),ROW(C4843)))&amp;""</f>
        <v>#N/A</v>
      </c>
    </row>
    <row r="4844" ht="14.100000000000001" customHeight="1">
      <c r="B4844" s="8" t="s">
        <v>9815</v>
      </c>
      <c r="C4844" s="8" t="s">
        <v>9816</v>
      </c>
      <c r="D4844" s="8" t="s">
        <v>9815</v>
      </c>
      <c r="E4844" s="20" t="e">
        <f t="array" ref="E4844">INDEX(C:C,SMALL(IF(ISNUMBER(FIND(CELL("contents"),$C$2:$C$4852)),ROW($C$2:$C$4852),4^8),ROW(C4844)))&amp;""</f>
        <v>#N/A</v>
      </c>
    </row>
    <row r="4845" ht="14.100000000000001" customHeight="1">
      <c r="B4845" s="8" t="s">
        <v>9817</v>
      </c>
      <c r="C4845" s="8" t="s">
        <v>9818</v>
      </c>
      <c r="D4845" s="8" t="s">
        <v>9817</v>
      </c>
      <c r="E4845" s="20" t="e">
        <f t="array" ref="E4845">INDEX(C:C,SMALL(IF(ISNUMBER(FIND(CELL("contents"),$C$2:$C$4852)),ROW($C$2:$C$4852),4^8),ROW(C4845)))&amp;""</f>
        <v>#N/A</v>
      </c>
    </row>
    <row r="4846" ht="14.100000000000001" customHeight="1">
      <c r="B4846" s="8" t="s">
        <v>9819</v>
      </c>
      <c r="C4846" s="8" t="s">
        <v>9820</v>
      </c>
      <c r="D4846" s="8" t="s">
        <v>9819</v>
      </c>
      <c r="E4846" s="20" t="e">
        <f t="array" ref="E4846">INDEX(C:C,SMALL(IF(ISNUMBER(FIND(CELL("contents"),$C$2:$C$4852)),ROW($C$2:$C$4852),4^8),ROW(C4846)))&amp;""</f>
        <v>#N/A</v>
      </c>
    </row>
    <row r="4847" ht="14.100000000000001" customHeight="1">
      <c r="B4847" s="8" t="s">
        <v>9821</v>
      </c>
      <c r="C4847" s="8" t="s">
        <v>9822</v>
      </c>
      <c r="D4847" s="8" t="s">
        <v>9821</v>
      </c>
      <c r="E4847" s="20" t="e">
        <f t="array" ref="E4847">INDEX(C:C,SMALL(IF(ISNUMBER(FIND(CELL("contents"),$C$2:$C$4852)),ROW($C$2:$C$4852),4^8),ROW(C4847)))&amp;""</f>
        <v>#N/A</v>
      </c>
    </row>
    <row r="4848" ht="14.100000000000001" customHeight="1">
      <c r="B4848" s="8" t="s">
        <v>9823</v>
      </c>
      <c r="C4848" s="8" t="s">
        <v>9824</v>
      </c>
      <c r="D4848" s="8" t="s">
        <v>9823</v>
      </c>
      <c r="E4848" s="20" t="e">
        <f t="array" ref="E4848">INDEX(C:C,SMALL(IF(ISNUMBER(FIND(CELL("contents"),$C$2:$C$4852)),ROW($C$2:$C$4852),4^8),ROW(C4848)))&amp;""</f>
        <v>#N/A</v>
      </c>
    </row>
    <row r="4849" ht="14.100000000000001" customHeight="1">
      <c r="B4849" s="8" t="s">
        <v>9825</v>
      </c>
      <c r="C4849" s="8" t="s">
        <v>9826</v>
      </c>
      <c r="D4849" s="8" t="s">
        <v>9825</v>
      </c>
      <c r="E4849" s="20" t="e">
        <f t="array" ref="E4849">INDEX(C:C,SMALL(IF(ISNUMBER(FIND(CELL("contents"),$C$2:$C$4852)),ROW($C$2:$C$4852),4^8),ROW(C4849)))&amp;""</f>
        <v>#N/A</v>
      </c>
    </row>
    <row r="4850" ht="14.100000000000001" customHeight="1">
      <c r="B4850" s="8" t="s">
        <v>9827</v>
      </c>
      <c r="C4850" s="8" t="s">
        <v>9828</v>
      </c>
      <c r="D4850" s="8" t="s">
        <v>9827</v>
      </c>
      <c r="E4850" s="20" t="e">
        <f t="array" ref="E4850">INDEX(C:C,SMALL(IF(ISNUMBER(FIND(CELL("contents"),$C$2:$C$4852)),ROW($C$2:$C$4852),4^8),ROW(C4850)))&amp;""</f>
        <v>#N/A</v>
      </c>
    </row>
    <row r="4851" ht="14.100000000000001" customHeight="1">
      <c r="B4851" s="8" t="s">
        <v>9829</v>
      </c>
      <c r="C4851" s="8" t="s">
        <v>9830</v>
      </c>
      <c r="D4851" s="8" t="s">
        <v>9829</v>
      </c>
      <c r="E4851" s="20" t="e">
        <f t="array" ref="E4851">INDEX(C:C,SMALL(IF(ISNUMBER(FIND(CELL("contents"),$C$2:$C$4852)),ROW($C$2:$C$4852),4^8),ROW(C4851)))&amp;""</f>
        <v>#N/A</v>
      </c>
    </row>
    <row r="4852" ht="14.100000000000001" customHeight="1">
      <c r="B4852" s="8" t="s">
        <v>9831</v>
      </c>
      <c r="C4852" s="8" t="s">
        <v>9832</v>
      </c>
      <c r="D4852" s="8" t="s">
        <v>9831</v>
      </c>
      <c r="E4852" s="20" t="e">
        <f t="array" ref="E4852">INDEX(C:C,SMALL(IF(ISNUMBER(FIND(CELL("contents"),$C$2:$C$4852)),ROW($C$2:$C$4852),4^8),ROW(C4852)))&amp;""</f>
        <v>#NUM!</v>
      </c>
    </row>
  </sheetData>
  <autoFilter ref="B1:E4852"/>
  <phoneticPr fontId="1" type="noConversion"/>
  <dataValidations count="1">
    <dataValidation type="none" allowBlank="1" showInputMessage="1" sqref="E1:E1048576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8.8330078125" defaultRowHeight="19.5" customHeight="1"/>
  <cols>
    <col min="1" max="1" width="34.166015625" customWidth="1" style="20"/>
    <col min="2" max="2" width="24.6650390625" customWidth="1" style="20"/>
    <col min="3" max="3" width="29.4990234375" customWidth="1" style="20"/>
    <col min="4" max="4" width="24.1640625" customWidth="1" style="20"/>
    <col min="5" max="5" width="18.1640625" customWidth="1" style="20"/>
    <col min="6" max="6" width="33.9990234375" customWidth="1" style="20"/>
    <col min="7" max="7" width="8.666015625" style="20"/>
    <col min="8" max="8" width="27.1640625" customWidth="1" style="20"/>
    <col min="9" max="9" width="38.1650390625" customWidth="1" style="20"/>
    <col min="10" max="12" width="8.666015625" style="20"/>
    <col min="13" max="13" width="35.4990234375" customWidth="1" style="20"/>
    <col min="14" max="17" width="8.666015625" style="20"/>
    <col min="18" max="18" width="15.3310546875" customWidth="1" style="20"/>
    <col min="19" max="35" width="8.666015625" style="20"/>
  </cols>
  <sheetData>
    <row r="1" ht="19.5" customHeight="1">
      <c r="A1" s="20" t="s">
        <v>9833</v>
      </c>
      <c r="B1" s="20" t="s">
        <v>9834</v>
      </c>
      <c r="C1" s="5" t="s">
        <v>66</v>
      </c>
      <c r="D1" s="5" t="s">
        <v>65</v>
      </c>
      <c r="E1" s="6" t="s">
        <v>68</v>
      </c>
      <c r="F1" s="7"/>
      <c r="H1" s="8" t="s">
        <v>9835</v>
      </c>
      <c r="I1" s="8" t="s">
        <v>9836</v>
      </c>
      <c r="J1" s="8" t="s">
        <v>9835</v>
      </c>
      <c r="L1" s="20" t="n">
        <v>100</v>
      </c>
      <c r="M1" s="20" t="s">
        <v>123</v>
      </c>
      <c r="N1" s="20" t="n">
        <v>100</v>
      </c>
    </row>
    <row r="2" ht="19.5" customHeight="1">
      <c r="A2" s="20" t="s">
        <v>9837</v>
      </c>
      <c r="B2" s="20" t="s">
        <v>9838</v>
      </c>
      <c r="C2" s="5" t="s">
        <v>109</v>
      </c>
      <c r="D2" s="5" t="s">
        <v>108</v>
      </c>
      <c r="E2" s="9" t="s">
        <v>111</v>
      </c>
      <c r="F2" s="10" t="s">
        <v>9839</v>
      </c>
      <c r="H2" s="8" t="s">
        <v>9840</v>
      </c>
      <c r="I2" s="8" t="s">
        <v>9841</v>
      </c>
      <c r="J2" s="8" t="s">
        <v>9840</v>
      </c>
      <c r="L2" s="20" t="n">
        <v>101</v>
      </c>
      <c r="M2" s="20" t="s">
        <v>9842</v>
      </c>
    </row>
    <row r="3" ht="33.6" customHeight="1">
      <c r="A3" s="20" t="s">
        <v>9843</v>
      </c>
      <c r="B3" s="20" t="s">
        <v>9844</v>
      </c>
      <c r="C3" s="20" t="s">
        <v>9845</v>
      </c>
      <c r="D3" s="20" t="s">
        <v>9846</v>
      </c>
      <c r="E3" s="11" t="s">
        <v>9847</v>
      </c>
      <c r="F3" s="12" t="s">
        <v>9848</v>
      </c>
      <c r="H3" s="8" t="s">
        <v>9849</v>
      </c>
      <c r="I3" s="8" t="s">
        <v>9850</v>
      </c>
      <c r="J3" s="8" t="s">
        <v>9849</v>
      </c>
      <c r="L3" s="20" t="n">
        <v>102</v>
      </c>
      <c r="M3" s="20" t="s">
        <v>9851</v>
      </c>
    </row>
    <row r="4" ht="33.6" customHeight="1">
      <c r="A4" s="20" t="s">
        <v>1468</v>
      </c>
      <c r="B4" s="20" t="s">
        <v>9852</v>
      </c>
      <c r="C4" s="20" t="s">
        <v>9853</v>
      </c>
      <c r="D4" s="20" t="s">
        <v>9854</v>
      </c>
      <c r="E4" s="11" t="s">
        <v>9855</v>
      </c>
      <c r="F4" s="12" t="s">
        <v>9856</v>
      </c>
      <c r="H4" s="8" t="s">
        <v>9857</v>
      </c>
      <c r="I4" s="8" t="s">
        <v>9858</v>
      </c>
      <c r="J4" s="8" t="s">
        <v>9857</v>
      </c>
      <c r="L4" s="20" t="n">
        <v>103</v>
      </c>
      <c r="M4" s="20" t="s">
        <v>9859</v>
      </c>
      <c r="N4" s="20" t="n">
        <v>103</v>
      </c>
    </row>
    <row r="5" ht="43.5" customHeight="1">
      <c r="A5" s="20" t="s">
        <v>9860</v>
      </c>
      <c r="B5" s="20" t="s">
        <v>9861</v>
      </c>
      <c r="C5" s="20" t="s">
        <v>139</v>
      </c>
      <c r="D5" s="20" t="s">
        <v>138</v>
      </c>
      <c r="E5" s="11" t="s">
        <v>9862</v>
      </c>
      <c r="F5" s="12" t="s">
        <v>9863</v>
      </c>
      <c r="H5" s="8" t="s">
        <v>9864</v>
      </c>
      <c r="I5" s="8" t="s">
        <v>9865</v>
      </c>
      <c r="J5" s="8" t="s">
        <v>9864</v>
      </c>
      <c r="L5" s="20" t="n">
        <v>104</v>
      </c>
      <c r="M5" s="20" t="s">
        <v>9866</v>
      </c>
      <c r="N5" s="20" t="n">
        <v>104</v>
      </c>
    </row>
    <row r="6" ht="33.6" customHeight="1">
      <c r="A6" s="20" t="s">
        <v>9867</v>
      </c>
      <c r="B6" s="20" t="s">
        <v>9868</v>
      </c>
      <c r="C6" s="20" t="s">
        <v>9869</v>
      </c>
      <c r="D6" s="20" t="s">
        <v>9870</v>
      </c>
      <c r="E6" s="11" t="s">
        <v>140</v>
      </c>
      <c r="F6" s="12" t="s">
        <v>9871</v>
      </c>
      <c r="H6" s="8" t="s">
        <v>9872</v>
      </c>
      <c r="I6" s="8" t="s">
        <v>9873</v>
      </c>
      <c r="J6" s="8" t="s">
        <v>9872</v>
      </c>
      <c r="L6" s="20" t="n">
        <v>105</v>
      </c>
      <c r="M6" s="20" t="s">
        <v>9874</v>
      </c>
    </row>
    <row r="7" ht="33.6" customHeight="1">
      <c r="A7" s="20" t="s">
        <v>9875</v>
      </c>
      <c r="B7" s="20" t="s">
        <v>9876</v>
      </c>
      <c r="C7" s="20" t="s">
        <v>9877</v>
      </c>
      <c r="D7" s="20" t="s">
        <v>9878</v>
      </c>
      <c r="E7" s="11" t="s">
        <v>9879</v>
      </c>
      <c r="F7" s="12" t="s">
        <v>9880</v>
      </c>
      <c r="H7" s="8" t="s">
        <v>9881</v>
      </c>
      <c r="I7" s="8" t="s">
        <v>9882</v>
      </c>
      <c r="J7" s="8" t="s">
        <v>9881</v>
      </c>
      <c r="L7" s="20" t="n">
        <v>108</v>
      </c>
      <c r="M7" s="20" t="s">
        <v>9883</v>
      </c>
    </row>
    <row r="8" ht="33.6" customHeight="1">
      <c r="A8" s="20" t="s">
        <v>9884</v>
      </c>
      <c r="B8" s="20" t="s">
        <v>9885</v>
      </c>
      <c r="C8" s="20" t="s">
        <v>9886</v>
      </c>
      <c r="D8" s="20" t="s">
        <v>9887</v>
      </c>
      <c r="E8" s="13" t="s">
        <v>1468</v>
      </c>
      <c r="F8" s="14" t="s">
        <v>9888</v>
      </c>
      <c r="H8" s="8" t="s">
        <v>9889</v>
      </c>
      <c r="I8" s="8" t="s">
        <v>9890</v>
      </c>
      <c r="J8" s="8" t="s">
        <v>9889</v>
      </c>
    </row>
    <row r="9" ht="19.5" customHeight="1">
      <c r="A9" s="20" t="s">
        <v>9891</v>
      </c>
      <c r="B9" s="20" t="s">
        <v>9892</v>
      </c>
      <c r="H9" s="8" t="s">
        <v>9893</v>
      </c>
      <c r="I9" s="8" t="s">
        <v>9894</v>
      </c>
      <c r="J9" s="8" t="s">
        <v>9893</v>
      </c>
    </row>
    <row r="10" ht="19.5" customHeight="1">
      <c r="A10" s="20" t="s">
        <v>9877</v>
      </c>
      <c r="B10" s="20" t="s">
        <v>9895</v>
      </c>
      <c r="H10" s="8" t="s">
        <v>9896</v>
      </c>
      <c r="I10" s="8" t="s">
        <v>9897</v>
      </c>
      <c r="J10" s="8" t="s">
        <v>9896</v>
      </c>
    </row>
    <row r="11" ht="19.5" customHeight="1">
      <c r="A11" s="20" t="s">
        <v>9898</v>
      </c>
      <c r="B11" s="20" t="s">
        <v>9899</v>
      </c>
      <c r="G11" s="5"/>
      <c r="H11" s="8" t="s">
        <v>9900</v>
      </c>
      <c r="I11" s="8" t="s">
        <v>9901</v>
      </c>
      <c r="J11" s="8" t="s">
        <v>9900</v>
      </c>
      <c r="Q11" s="5"/>
    </row>
    <row r="12" ht="19.5" customHeight="1">
      <c r="A12" s="20" t="s">
        <v>9902</v>
      </c>
      <c r="B12" s="20" t="s">
        <v>9903</v>
      </c>
      <c r="H12" s="8" t="s">
        <v>9904</v>
      </c>
      <c r="I12" s="8" t="s">
        <v>9905</v>
      </c>
      <c r="J12" s="8" t="s">
        <v>9904</v>
      </c>
    </row>
    <row r="13" ht="19.5" customHeight="1">
      <c r="A13" s="20" t="s">
        <v>147</v>
      </c>
      <c r="B13" s="20" t="s">
        <v>146</v>
      </c>
      <c r="H13" s="8" t="s">
        <v>9906</v>
      </c>
      <c r="I13" s="8" t="s">
        <v>9907</v>
      </c>
      <c r="J13" s="8" t="s">
        <v>9906</v>
      </c>
    </row>
    <row r="14" ht="19.5" customHeight="1">
      <c r="A14" s="20" t="s">
        <v>9908</v>
      </c>
      <c r="B14" s="20" t="s">
        <v>9909</v>
      </c>
      <c r="H14" s="8" t="s">
        <v>9910</v>
      </c>
      <c r="I14" s="8" t="s">
        <v>9911</v>
      </c>
      <c r="J14" s="8" t="s">
        <v>9910</v>
      </c>
    </row>
    <row r="15" ht="19.5" customHeight="1">
      <c r="A15" s="20" t="s">
        <v>9912</v>
      </c>
      <c r="B15" s="20" t="s">
        <v>9913</v>
      </c>
      <c r="H15" s="8" t="s">
        <v>9914</v>
      </c>
      <c r="I15" s="8" t="s">
        <v>9915</v>
      </c>
      <c r="J15" s="8" t="s">
        <v>9914</v>
      </c>
    </row>
    <row r="16" ht="19.5" customHeight="1">
      <c r="A16" s="20" t="s">
        <v>9916</v>
      </c>
      <c r="B16" s="20" t="s">
        <v>9917</v>
      </c>
      <c r="H16" s="8" t="s">
        <v>9918</v>
      </c>
      <c r="I16" s="8" t="s">
        <v>9919</v>
      </c>
      <c r="J16" s="8" t="s">
        <v>9918</v>
      </c>
    </row>
    <row r="17" ht="19.5" customHeight="1">
      <c r="A17" s="20" t="s">
        <v>135</v>
      </c>
      <c r="B17" s="20" t="s">
        <v>134</v>
      </c>
      <c r="H17" s="8" t="s">
        <v>9920</v>
      </c>
      <c r="I17" s="8" t="s">
        <v>9921</v>
      </c>
      <c r="J17" s="8" t="s">
        <v>9920</v>
      </c>
    </row>
    <row r="18" ht="19.5" customHeight="1">
      <c r="A18" s="20" t="s">
        <v>9922</v>
      </c>
      <c r="B18" s="20" t="s">
        <v>9923</v>
      </c>
      <c r="H18" s="8" t="s">
        <v>9924</v>
      </c>
      <c r="I18" s="8" t="s">
        <v>9925</v>
      </c>
      <c r="J18" s="8" t="s">
        <v>9924</v>
      </c>
    </row>
    <row r="19" ht="19.5" customHeight="1">
      <c r="A19" s="20" t="s">
        <v>9926</v>
      </c>
      <c r="B19" s="20" t="s">
        <v>9927</v>
      </c>
      <c r="H19" s="8" t="s">
        <v>9928</v>
      </c>
      <c r="I19" s="8" t="s">
        <v>9929</v>
      </c>
      <c r="J19" s="8" t="s">
        <v>9928</v>
      </c>
    </row>
    <row r="20" ht="19.5" customHeight="1">
      <c r="A20" s="20" t="s">
        <v>9930</v>
      </c>
      <c r="B20" s="20" t="s">
        <v>9931</v>
      </c>
      <c r="H20" s="8" t="s">
        <v>9932</v>
      </c>
      <c r="I20" s="8" t="s">
        <v>9933</v>
      </c>
      <c r="J20" s="8" t="s">
        <v>9932</v>
      </c>
    </row>
    <row r="21" ht="19.5" customHeight="1">
      <c r="A21" s="20" t="s">
        <v>9934</v>
      </c>
      <c r="B21" s="20" t="s">
        <v>9935</v>
      </c>
      <c r="H21" s="8" t="s">
        <v>9936</v>
      </c>
      <c r="I21" s="8" t="s">
        <v>9937</v>
      </c>
      <c r="J21" s="8" t="s">
        <v>9936</v>
      </c>
    </row>
    <row r="22" ht="19.5" customHeight="1">
      <c r="A22" s="20" t="s">
        <v>9938</v>
      </c>
      <c r="B22" s="20" t="s">
        <v>9939</v>
      </c>
      <c r="H22" s="8" t="s">
        <v>9940</v>
      </c>
      <c r="I22" s="8" t="s">
        <v>9941</v>
      </c>
      <c r="J22" s="8" t="s">
        <v>9940</v>
      </c>
    </row>
    <row r="23" ht="19.5" customHeight="1">
      <c r="A23" s="20" t="s">
        <v>9942</v>
      </c>
      <c r="B23" s="20" t="s">
        <v>9943</v>
      </c>
      <c r="H23" s="8" t="s">
        <v>9944</v>
      </c>
      <c r="I23" s="8" t="s">
        <v>9945</v>
      </c>
      <c r="J23" s="8" t="s">
        <v>9944</v>
      </c>
    </row>
    <row r="24" ht="19.5" customHeight="1">
      <c r="A24" s="20" t="s">
        <v>9946</v>
      </c>
      <c r="B24" s="20" t="s">
        <v>9947</v>
      </c>
      <c r="H24" s="8" t="s">
        <v>9948</v>
      </c>
      <c r="I24" s="8" t="s">
        <v>9949</v>
      </c>
      <c r="J24" s="8" t="s">
        <v>9948</v>
      </c>
    </row>
    <row r="25" ht="19.5" customHeight="1">
      <c r="A25" s="20" t="s">
        <v>9950</v>
      </c>
      <c r="B25" s="20" t="s">
        <v>9951</v>
      </c>
      <c r="H25" s="8" t="s">
        <v>9952</v>
      </c>
      <c r="I25" s="8" t="s">
        <v>9953</v>
      </c>
      <c r="J25" s="8" t="s">
        <v>9952</v>
      </c>
    </row>
    <row r="26" ht="19.5" customHeight="1">
      <c r="A26" s="20" t="s">
        <v>9954</v>
      </c>
      <c r="B26" s="20" t="s">
        <v>9955</v>
      </c>
      <c r="H26" s="8" t="s">
        <v>9956</v>
      </c>
      <c r="I26" s="8" t="s">
        <v>9957</v>
      </c>
      <c r="J26" s="8" t="s">
        <v>9956</v>
      </c>
    </row>
    <row r="27" ht="19.5" customHeight="1">
      <c r="A27" s="20" t="s">
        <v>9958</v>
      </c>
      <c r="B27" s="20" t="s">
        <v>9959</v>
      </c>
      <c r="H27" s="8" t="s">
        <v>9960</v>
      </c>
      <c r="I27" s="8" t="s">
        <v>9961</v>
      </c>
      <c r="J27" s="8" t="s">
        <v>9960</v>
      </c>
    </row>
    <row r="28" ht="19.5" customHeight="1">
      <c r="A28" s="20" t="s">
        <v>9962</v>
      </c>
      <c r="B28" s="20" t="s">
        <v>9963</v>
      </c>
      <c r="H28" s="8" t="s">
        <v>9964</v>
      </c>
      <c r="I28" s="8" t="s">
        <v>9965</v>
      </c>
      <c r="J28" s="8" t="s">
        <v>9964</v>
      </c>
    </row>
    <row r="29" ht="19.5" customHeight="1">
      <c r="A29" s="20" t="s">
        <v>9966</v>
      </c>
      <c r="B29" s="20" t="s">
        <v>9967</v>
      </c>
      <c r="H29" s="8" t="s">
        <v>9968</v>
      </c>
      <c r="I29" s="8" t="s">
        <v>9969</v>
      </c>
      <c r="J29" s="8" t="s">
        <v>9968</v>
      </c>
    </row>
    <row r="30" ht="19.5" customHeight="1">
      <c r="A30" s="20" t="s">
        <v>9970</v>
      </c>
      <c r="B30" s="20" t="s">
        <v>9971</v>
      </c>
      <c r="H30" s="8" t="s">
        <v>9972</v>
      </c>
      <c r="I30" s="8" t="s">
        <v>9973</v>
      </c>
      <c r="J30" s="8" t="s">
        <v>9972</v>
      </c>
    </row>
    <row r="31" ht="19.5" customHeight="1">
      <c r="A31" s="20" t="s">
        <v>9974</v>
      </c>
      <c r="B31" s="20" t="s">
        <v>9975</v>
      </c>
      <c r="H31" s="8" t="s">
        <v>9976</v>
      </c>
      <c r="I31" s="8" t="s">
        <v>9977</v>
      </c>
      <c r="J31" s="8" t="s">
        <v>9976</v>
      </c>
    </row>
    <row r="32" ht="19.5" customHeight="1">
      <c r="A32" s="20" t="s">
        <v>9978</v>
      </c>
      <c r="B32" s="20" t="s">
        <v>9979</v>
      </c>
      <c r="H32" s="8" t="s">
        <v>9980</v>
      </c>
      <c r="I32" s="8" t="s">
        <v>9981</v>
      </c>
      <c r="J32" s="8" t="s">
        <v>9980</v>
      </c>
    </row>
    <row r="33" ht="19.5" customHeight="1">
      <c r="A33" s="20" t="s">
        <v>9982</v>
      </c>
      <c r="B33" s="20" t="s">
        <v>9983</v>
      </c>
      <c r="H33" s="8" t="s">
        <v>9984</v>
      </c>
      <c r="I33" s="8" t="s">
        <v>9985</v>
      </c>
      <c r="J33" s="8" t="s">
        <v>9984</v>
      </c>
    </row>
    <row r="34" ht="19.5" customHeight="1">
      <c r="A34" s="20" t="s">
        <v>9986</v>
      </c>
      <c r="B34" s="20" t="s">
        <v>9987</v>
      </c>
      <c r="H34" s="8" t="s">
        <v>9988</v>
      </c>
      <c r="I34" s="8" t="s">
        <v>9989</v>
      </c>
      <c r="J34" s="8" t="s">
        <v>9988</v>
      </c>
    </row>
    <row r="35" ht="19.5" customHeight="1">
      <c r="A35" s="20" t="s">
        <v>9990</v>
      </c>
      <c r="B35" s="20" t="s">
        <v>9991</v>
      </c>
      <c r="H35" s="8" t="s">
        <v>9992</v>
      </c>
      <c r="I35" s="8" t="s">
        <v>9993</v>
      </c>
      <c r="J35" s="8" t="s">
        <v>9992</v>
      </c>
    </row>
    <row r="36" ht="19.5" customHeight="1">
      <c r="A36" s="20" t="s">
        <v>9994</v>
      </c>
      <c r="B36" s="20" t="s">
        <v>9995</v>
      </c>
      <c r="H36" s="8" t="s">
        <v>9996</v>
      </c>
      <c r="I36" s="8" t="s">
        <v>9997</v>
      </c>
      <c r="J36" s="8" t="s">
        <v>9996</v>
      </c>
    </row>
    <row r="37" ht="19.5" customHeight="1">
      <c r="A37" s="20" t="s">
        <v>9998</v>
      </c>
      <c r="B37" s="20" t="s">
        <v>9999</v>
      </c>
      <c r="H37" s="8" t="s">
        <v>10000</v>
      </c>
      <c r="I37" s="8" t="s">
        <v>10001</v>
      </c>
      <c r="J37" s="8" t="s">
        <v>10000</v>
      </c>
    </row>
    <row r="38" ht="19.5" customHeight="1">
      <c r="A38" s="20" t="s">
        <v>10002</v>
      </c>
      <c r="B38" s="20" t="s">
        <v>10003</v>
      </c>
      <c r="H38" s="8" t="s">
        <v>10004</v>
      </c>
      <c r="I38" s="8" t="s">
        <v>10005</v>
      </c>
      <c r="J38" s="8" t="s">
        <v>10004</v>
      </c>
    </row>
    <row r="39" ht="19.5" customHeight="1">
      <c r="A39" s="20" t="s">
        <v>10006</v>
      </c>
      <c r="B39" s="20" t="s">
        <v>10007</v>
      </c>
      <c r="H39" s="8" t="s">
        <v>10008</v>
      </c>
      <c r="I39" s="8" t="s">
        <v>10009</v>
      </c>
      <c r="J39" s="8" t="s">
        <v>10008</v>
      </c>
    </row>
    <row r="40" ht="19.5" customHeight="1">
      <c r="A40" s="20" t="s">
        <v>10010</v>
      </c>
      <c r="B40" s="20" t="s">
        <v>10011</v>
      </c>
      <c r="H40" s="8" t="s">
        <v>10012</v>
      </c>
      <c r="I40" s="8" t="s">
        <v>10013</v>
      </c>
      <c r="J40" s="8" t="s">
        <v>10012</v>
      </c>
    </row>
    <row r="41" ht="19.5" customHeight="1">
      <c r="A41" s="20" t="s">
        <v>10014</v>
      </c>
      <c r="B41" s="20" t="s">
        <v>10015</v>
      </c>
      <c r="H41" s="8" t="s">
        <v>10016</v>
      </c>
      <c r="I41" s="8" t="s">
        <v>10017</v>
      </c>
      <c r="J41" s="8" t="s">
        <v>10016</v>
      </c>
    </row>
    <row r="42" ht="19.5" customHeight="1">
      <c r="A42" s="20" t="s">
        <v>10018</v>
      </c>
      <c r="B42" s="20" t="s">
        <v>10019</v>
      </c>
      <c r="H42" s="8" t="s">
        <v>10020</v>
      </c>
      <c r="I42" s="8" t="s">
        <v>10021</v>
      </c>
      <c r="J42" s="8" t="s">
        <v>10020</v>
      </c>
    </row>
    <row r="43" ht="19.5" customHeight="1">
      <c r="A43" s="20" t="s">
        <v>10022</v>
      </c>
      <c r="B43" s="20" t="s">
        <v>10023</v>
      </c>
      <c r="H43" s="8" t="s">
        <v>10024</v>
      </c>
      <c r="I43" s="8" t="s">
        <v>10025</v>
      </c>
      <c r="J43" s="8" t="s">
        <v>10024</v>
      </c>
    </row>
    <row r="44" ht="19.5" customHeight="1">
      <c r="A44" s="20" t="s">
        <v>10026</v>
      </c>
      <c r="B44" s="20" t="s">
        <v>10027</v>
      </c>
      <c r="H44" s="8" t="s">
        <v>10028</v>
      </c>
      <c r="I44" s="8" t="s">
        <v>10029</v>
      </c>
      <c r="J44" s="8" t="s">
        <v>10028</v>
      </c>
    </row>
    <row r="45" ht="19.5" customHeight="1">
      <c r="A45" s="20" t="s">
        <v>10030</v>
      </c>
      <c r="B45" s="20" t="s">
        <v>10031</v>
      </c>
      <c r="H45" s="8" t="s">
        <v>10032</v>
      </c>
      <c r="I45" s="8" t="s">
        <v>10033</v>
      </c>
      <c r="J45" s="8" t="s">
        <v>10032</v>
      </c>
    </row>
    <row r="46" ht="19.5" customHeight="1">
      <c r="A46" s="20" t="s">
        <v>10034</v>
      </c>
      <c r="B46" s="20" t="s">
        <v>10035</v>
      </c>
      <c r="H46" s="8" t="s">
        <v>10036</v>
      </c>
      <c r="I46" s="8" t="s">
        <v>10037</v>
      </c>
      <c r="J46" s="8" t="s">
        <v>10036</v>
      </c>
    </row>
    <row r="47" ht="19.5" customHeight="1">
      <c r="A47" s="20" t="s">
        <v>10038</v>
      </c>
      <c r="B47" s="20" t="s">
        <v>10039</v>
      </c>
      <c r="H47" s="8" t="s">
        <v>10040</v>
      </c>
      <c r="I47" s="8" t="s">
        <v>10041</v>
      </c>
      <c r="J47" s="8" t="s">
        <v>10040</v>
      </c>
    </row>
    <row r="48" ht="19.5" customHeight="1">
      <c r="A48" s="20" t="s">
        <v>10042</v>
      </c>
      <c r="B48" s="20" t="s">
        <v>10043</v>
      </c>
      <c r="H48" s="8" t="s">
        <v>10044</v>
      </c>
      <c r="I48" s="8" t="s">
        <v>10045</v>
      </c>
      <c r="J48" s="8" t="s">
        <v>10044</v>
      </c>
    </row>
    <row r="49" ht="19.5" customHeight="1">
      <c r="A49" s="20" t="s">
        <v>10046</v>
      </c>
      <c r="B49" s="20" t="s">
        <v>10047</v>
      </c>
      <c r="H49" s="8" t="s">
        <v>10048</v>
      </c>
      <c r="I49" s="8" t="s">
        <v>10049</v>
      </c>
      <c r="J49" s="8" t="s">
        <v>10048</v>
      </c>
    </row>
    <row r="50" ht="19.5" customHeight="1">
      <c r="A50" s="20" t="s">
        <v>10050</v>
      </c>
      <c r="B50" s="20" t="s">
        <v>10051</v>
      </c>
      <c r="H50" s="8" t="s">
        <v>10052</v>
      </c>
      <c r="I50" s="8" t="s">
        <v>10053</v>
      </c>
      <c r="J50" s="8" t="s">
        <v>10052</v>
      </c>
    </row>
    <row r="51" ht="19.5" customHeight="1">
      <c r="A51" s="20" t="s">
        <v>10054</v>
      </c>
      <c r="B51" s="20" t="s">
        <v>10055</v>
      </c>
      <c r="H51" s="8" t="s">
        <v>10056</v>
      </c>
      <c r="I51" s="8" t="s">
        <v>10057</v>
      </c>
      <c r="J51" s="8" t="s">
        <v>10056</v>
      </c>
    </row>
    <row r="52" ht="19.5" customHeight="1">
      <c r="A52" s="20" t="s">
        <v>10058</v>
      </c>
      <c r="B52" s="20" t="s">
        <v>10059</v>
      </c>
      <c r="H52" s="8" t="s">
        <v>10060</v>
      </c>
      <c r="I52" s="8" t="s">
        <v>10061</v>
      </c>
      <c r="J52" s="8" t="s">
        <v>10060</v>
      </c>
    </row>
    <row r="53" ht="19.5" customHeight="1">
      <c r="A53" s="20" t="s">
        <v>10062</v>
      </c>
      <c r="B53" s="20" t="s">
        <v>10063</v>
      </c>
      <c r="H53" s="8" t="s">
        <v>10064</v>
      </c>
      <c r="I53" s="8" t="s">
        <v>10065</v>
      </c>
      <c r="J53" s="8" t="s">
        <v>10064</v>
      </c>
    </row>
    <row r="54" ht="19.5" customHeight="1">
      <c r="A54" s="20" t="s">
        <v>10066</v>
      </c>
      <c r="B54" s="20" t="s">
        <v>10067</v>
      </c>
      <c r="H54" s="8" t="s">
        <v>10068</v>
      </c>
      <c r="I54" s="8" t="s">
        <v>10069</v>
      </c>
      <c r="J54" s="8" t="s">
        <v>10068</v>
      </c>
    </row>
    <row r="55" ht="19.5" customHeight="1">
      <c r="A55" s="20" t="s">
        <v>10070</v>
      </c>
      <c r="B55" s="20" t="s">
        <v>10071</v>
      </c>
      <c r="H55" s="8" t="s">
        <v>10072</v>
      </c>
      <c r="I55" s="8" t="s">
        <v>10033</v>
      </c>
      <c r="J55" s="8" t="s">
        <v>10072</v>
      </c>
    </row>
    <row r="56" ht="19.5" customHeight="1">
      <c r="A56" s="20" t="s">
        <v>10073</v>
      </c>
      <c r="B56" s="20" t="s">
        <v>10074</v>
      </c>
      <c r="H56" s="8" t="s">
        <v>10075</v>
      </c>
      <c r="I56" s="8" t="s">
        <v>10076</v>
      </c>
      <c r="J56" s="8" t="s">
        <v>10075</v>
      </c>
    </row>
    <row r="57" ht="19.5" customHeight="1">
      <c r="A57" s="20" t="s">
        <v>10077</v>
      </c>
      <c r="B57" s="20" t="s">
        <v>10078</v>
      </c>
      <c r="H57" s="8" t="s">
        <v>10079</v>
      </c>
      <c r="I57" s="8" t="s">
        <v>10080</v>
      </c>
      <c r="J57" s="8" t="s">
        <v>10079</v>
      </c>
    </row>
    <row r="58" ht="19.5" customHeight="1">
      <c r="A58" s="20" t="s">
        <v>10081</v>
      </c>
      <c r="B58" s="20" t="s">
        <v>10082</v>
      </c>
      <c r="H58" s="8" t="s">
        <v>10083</v>
      </c>
      <c r="I58" s="8" t="s">
        <v>10033</v>
      </c>
      <c r="J58" s="8" t="s">
        <v>10083</v>
      </c>
    </row>
    <row r="59" ht="19.5" customHeight="1">
      <c r="A59" s="20" t="s">
        <v>10084</v>
      </c>
      <c r="B59" s="15" t="s">
        <v>10085</v>
      </c>
      <c r="H59" s="8" t="s">
        <v>10086</v>
      </c>
      <c r="I59" s="8" t="s">
        <v>10076</v>
      </c>
      <c r="J59" s="8" t="s">
        <v>10086</v>
      </c>
    </row>
    <row r="60" ht="19.5" customHeight="1">
      <c r="A60" s="20" t="s">
        <v>10087</v>
      </c>
      <c r="B60" s="20" t="s">
        <v>10088</v>
      </c>
      <c r="H60" s="8" t="s">
        <v>10089</v>
      </c>
      <c r="I60" s="8" t="s">
        <v>10090</v>
      </c>
      <c r="J60" s="8" t="s">
        <v>10089</v>
      </c>
    </row>
    <row r="61" ht="19.5" customHeight="1">
      <c r="A61" s="20" t="s">
        <v>10091</v>
      </c>
      <c r="B61" s="20" t="s">
        <v>10092</v>
      </c>
      <c r="H61" s="8" t="s">
        <v>10093</v>
      </c>
      <c r="I61" s="8" t="s">
        <v>10033</v>
      </c>
      <c r="J61" s="8" t="s">
        <v>10093</v>
      </c>
    </row>
    <row r="62" ht="19.5" customHeight="1">
      <c r="A62" s="20" t="s">
        <v>10094</v>
      </c>
      <c r="B62" s="20" t="s">
        <v>10095</v>
      </c>
      <c r="H62" s="8" t="s">
        <v>10096</v>
      </c>
      <c r="I62" s="8" t="s">
        <v>10076</v>
      </c>
      <c r="J62" s="8" t="s">
        <v>10096</v>
      </c>
    </row>
    <row r="63" ht="19.5" customHeight="1">
      <c r="H63" s="8" t="s">
        <v>10097</v>
      </c>
      <c r="I63" s="8" t="s">
        <v>10098</v>
      </c>
      <c r="J63" s="8" t="s">
        <v>10097</v>
      </c>
    </row>
    <row r="64" ht="19.5" customHeight="1">
      <c r="H64" s="8" t="s">
        <v>10099</v>
      </c>
      <c r="I64" s="8" t="s">
        <v>10076</v>
      </c>
      <c r="J64" s="8" t="s">
        <v>10099</v>
      </c>
    </row>
    <row r="65" ht="19.5" customHeight="1">
      <c r="H65" s="8" t="s">
        <v>10100</v>
      </c>
      <c r="I65" s="8" t="s">
        <v>10033</v>
      </c>
      <c r="J65" s="8" t="s">
        <v>10100</v>
      </c>
    </row>
    <row r="66" ht="19.5" customHeight="1">
      <c r="H66" s="8" t="s">
        <v>10101</v>
      </c>
      <c r="I66" s="8" t="s">
        <v>10102</v>
      </c>
      <c r="J66" s="8" t="s">
        <v>10101</v>
      </c>
    </row>
    <row r="67" ht="19.5" customHeight="1">
      <c r="H67" s="8" t="s">
        <v>10103</v>
      </c>
      <c r="I67" s="8" t="s">
        <v>10104</v>
      </c>
      <c r="J67" s="8" t="s">
        <v>10103</v>
      </c>
    </row>
    <row r="68" ht="19.5" customHeight="1">
      <c r="H68" s="8" t="s">
        <v>10105</v>
      </c>
      <c r="I68" s="8" t="s">
        <v>10106</v>
      </c>
      <c r="J68" s="8" t="s">
        <v>10105</v>
      </c>
    </row>
    <row r="69" ht="19.5" customHeight="1">
      <c r="H69" s="8" t="s">
        <v>10107</v>
      </c>
      <c r="I69" s="8" t="s">
        <v>10108</v>
      </c>
      <c r="J69" s="8" t="s">
        <v>10107</v>
      </c>
    </row>
    <row r="70" ht="19.5" customHeight="1">
      <c r="H70" s="8" t="s">
        <v>10109</v>
      </c>
      <c r="I70" s="8" t="s">
        <v>10110</v>
      </c>
      <c r="J70" s="8" t="s">
        <v>10109</v>
      </c>
    </row>
    <row r="71" ht="19.5" customHeight="1">
      <c r="H71" s="8" t="s">
        <v>10111</v>
      </c>
      <c r="I71" s="8" t="s">
        <v>10112</v>
      </c>
      <c r="J71" s="8" t="s">
        <v>10111</v>
      </c>
    </row>
    <row r="72" ht="19.5" customHeight="1">
      <c r="H72" s="8" t="s">
        <v>10113</v>
      </c>
      <c r="I72" s="8" t="s">
        <v>10009</v>
      </c>
      <c r="J72" s="8" t="s">
        <v>10113</v>
      </c>
    </row>
    <row r="73" ht="19.5" customHeight="1">
      <c r="H73" s="8" t="s">
        <v>10114</v>
      </c>
      <c r="I73" s="8" t="s">
        <v>10013</v>
      </c>
      <c r="J73" s="8" t="s">
        <v>10114</v>
      </c>
    </row>
    <row r="74" ht="19.5" customHeight="1">
      <c r="H74" s="8" t="s">
        <v>10115</v>
      </c>
      <c r="I74" s="8" t="s">
        <v>10017</v>
      </c>
      <c r="J74" s="8" t="s">
        <v>10115</v>
      </c>
    </row>
    <row r="75" ht="19.5" customHeight="1">
      <c r="H75" s="8" t="s">
        <v>10116</v>
      </c>
      <c r="I75" s="8" t="s">
        <v>10117</v>
      </c>
      <c r="J75" s="8" t="s">
        <v>10116</v>
      </c>
    </row>
    <row r="76" ht="19.5" customHeight="1">
      <c r="H76" s="8" t="s">
        <v>10118</v>
      </c>
      <c r="I76" s="8" t="s">
        <v>10119</v>
      </c>
      <c r="J76" s="8" t="s">
        <v>10118</v>
      </c>
    </row>
    <row r="77" ht="19.5" customHeight="1">
      <c r="H77" s="8" t="s">
        <v>10120</v>
      </c>
      <c r="I77" s="8" t="s">
        <v>10121</v>
      </c>
      <c r="J77" s="8" t="s">
        <v>10120</v>
      </c>
    </row>
    <row r="78" ht="19.5" customHeight="1">
      <c r="H78" s="8" t="s">
        <v>10122</v>
      </c>
      <c r="I78" s="8" t="s">
        <v>10005</v>
      </c>
      <c r="J78" s="8" t="s">
        <v>10122</v>
      </c>
    </row>
    <row r="79" ht="19.5" customHeight="1">
      <c r="H79" s="8" t="s">
        <v>10123</v>
      </c>
      <c r="I79" s="8" t="s">
        <v>10124</v>
      </c>
      <c r="J79" s="8" t="s">
        <v>10123</v>
      </c>
    </row>
    <row r="80" ht="19.5" customHeight="1">
      <c r="H80" s="8" t="s">
        <v>10125</v>
      </c>
      <c r="I80" s="8" t="s">
        <v>10126</v>
      </c>
      <c r="J80" s="8" t="s">
        <v>10125</v>
      </c>
    </row>
    <row r="81" ht="19.5" customHeight="1">
      <c r="H81" s="8" t="s">
        <v>10127</v>
      </c>
      <c r="I81" s="8" t="s">
        <v>10128</v>
      </c>
      <c r="J81" s="8" t="s">
        <v>10127</v>
      </c>
    </row>
    <row r="82" ht="19.5" customHeight="1">
      <c r="H82" s="8" t="s">
        <v>10129</v>
      </c>
      <c r="I82" s="8" t="s">
        <v>10130</v>
      </c>
      <c r="J82" s="8" t="s">
        <v>10129</v>
      </c>
    </row>
    <row r="83" ht="19.5" customHeight="1">
      <c r="H83" s="8" t="s">
        <v>10131</v>
      </c>
      <c r="I83" s="8" t="s">
        <v>10132</v>
      </c>
      <c r="J83" s="8" t="s">
        <v>10131</v>
      </c>
    </row>
    <row r="84" ht="19.5" customHeight="1">
      <c r="H84" s="8" t="s">
        <v>10133</v>
      </c>
      <c r="I84" s="8" t="s">
        <v>10134</v>
      </c>
      <c r="J84" s="8" t="s">
        <v>10133</v>
      </c>
    </row>
    <row r="85" ht="19.5" customHeight="1">
      <c r="H85" s="8" t="s">
        <v>10135</v>
      </c>
      <c r="I85" s="8" t="s">
        <v>10136</v>
      </c>
      <c r="J85" s="8" t="s">
        <v>10135</v>
      </c>
    </row>
    <row r="86" ht="19.5" customHeight="1">
      <c r="H86" s="8" t="s">
        <v>10137</v>
      </c>
      <c r="I86" s="8" t="s">
        <v>10138</v>
      </c>
      <c r="J86" s="8" t="s">
        <v>10137</v>
      </c>
    </row>
    <row r="87" ht="19.5" customHeight="1">
      <c r="H87" s="8" t="s">
        <v>10139</v>
      </c>
      <c r="I87" s="8" t="s">
        <v>10140</v>
      </c>
      <c r="J87" s="8" t="s">
        <v>10139</v>
      </c>
    </row>
    <row r="88" ht="19.5" customHeight="1">
      <c r="H88" s="8" t="s">
        <v>10141</v>
      </c>
      <c r="I88" s="8" t="s">
        <v>10142</v>
      </c>
      <c r="J88" s="8" t="s">
        <v>10141</v>
      </c>
    </row>
    <row r="89" ht="19.5" customHeight="1">
      <c r="H89" s="8" t="s">
        <v>10143</v>
      </c>
      <c r="I89" s="8" t="s">
        <v>10144</v>
      </c>
      <c r="J89" s="8" t="s">
        <v>10143</v>
      </c>
    </row>
    <row r="90" ht="19.5" customHeight="1">
      <c r="H90" s="8" t="s">
        <v>10145</v>
      </c>
      <c r="I90" s="8" t="s">
        <v>10146</v>
      </c>
      <c r="J90" s="8" t="s">
        <v>10145</v>
      </c>
    </row>
    <row r="91" ht="19.5" customHeight="1">
      <c r="H91" s="8" t="s">
        <v>10147</v>
      </c>
      <c r="I91" s="8" t="s">
        <v>10148</v>
      </c>
      <c r="J91" s="8" t="s">
        <v>10147</v>
      </c>
    </row>
    <row r="92" ht="19.5" customHeight="1">
      <c r="H92" s="8" t="s">
        <v>10149</v>
      </c>
      <c r="I92" s="8" t="s">
        <v>10150</v>
      </c>
      <c r="J92" s="8" t="s">
        <v>10149</v>
      </c>
    </row>
    <row r="93" ht="19.5" customHeight="1">
      <c r="H93" s="8" t="s">
        <v>10151</v>
      </c>
      <c r="I93" s="8" t="s">
        <v>10152</v>
      </c>
      <c r="J93" s="8" t="s">
        <v>10151</v>
      </c>
    </row>
    <row r="94" ht="19.5" customHeight="1">
      <c r="H94" s="8" t="s">
        <v>10153</v>
      </c>
      <c r="I94" s="8" t="s">
        <v>10154</v>
      </c>
      <c r="J94" s="8" t="s">
        <v>10153</v>
      </c>
    </row>
    <row r="95" ht="19.5" customHeight="1">
      <c r="H95" s="8" t="s">
        <v>10155</v>
      </c>
      <c r="I95" s="8" t="s">
        <v>10156</v>
      </c>
      <c r="J95" s="8" t="s">
        <v>10155</v>
      </c>
    </row>
    <row r="96" ht="19.5" customHeight="1">
      <c r="H96" s="8" t="s">
        <v>10157</v>
      </c>
      <c r="I96" s="8" t="s">
        <v>10156</v>
      </c>
      <c r="J96" s="8" t="s">
        <v>10157</v>
      </c>
    </row>
    <row r="97" ht="19.5" customHeight="1">
      <c r="H97" s="8" t="s">
        <v>10158</v>
      </c>
      <c r="I97" s="8" t="s">
        <v>10159</v>
      </c>
      <c r="J97" s="8" t="s">
        <v>10158</v>
      </c>
    </row>
    <row r="98" ht="19.5" customHeight="1">
      <c r="H98" s="8" t="s">
        <v>10160</v>
      </c>
      <c r="I98" s="8" t="s">
        <v>10161</v>
      </c>
      <c r="J98" s="8" t="s">
        <v>10160</v>
      </c>
    </row>
    <row r="99" ht="19.5" customHeight="1">
      <c r="H99" s="8" t="s">
        <v>10162</v>
      </c>
      <c r="I99" s="8" t="s">
        <v>10163</v>
      </c>
      <c r="J99" s="8" t="s">
        <v>10162</v>
      </c>
    </row>
    <row r="100" ht="19.5" customHeight="1">
      <c r="H100" s="8" t="s">
        <v>10164</v>
      </c>
      <c r="I100" s="8" t="s">
        <v>10165</v>
      </c>
      <c r="J100" s="8" t="s">
        <v>10164</v>
      </c>
    </row>
    <row r="101" ht="19.5" customHeight="1">
      <c r="H101" s="8" t="s">
        <v>10166</v>
      </c>
      <c r="I101" s="8" t="s">
        <v>10167</v>
      </c>
      <c r="J101" s="8" t="s">
        <v>10166</v>
      </c>
    </row>
    <row r="102" ht="19.5" customHeight="1">
      <c r="H102" s="8" t="s">
        <v>10168</v>
      </c>
      <c r="I102" s="8" t="s">
        <v>10169</v>
      </c>
      <c r="J102" s="8" t="s">
        <v>10168</v>
      </c>
    </row>
    <row r="103" ht="19.5" customHeight="1">
      <c r="H103" s="8" t="s">
        <v>10170</v>
      </c>
      <c r="I103" s="8" t="s">
        <v>10171</v>
      </c>
      <c r="J103" s="8" t="s">
        <v>10170</v>
      </c>
    </row>
    <row r="104" ht="19.5" customHeight="1">
      <c r="H104" s="8" t="s">
        <v>10172</v>
      </c>
      <c r="I104" s="8" t="s">
        <v>10173</v>
      </c>
      <c r="J104" s="8" t="s">
        <v>10172</v>
      </c>
    </row>
    <row r="105" ht="19.5" customHeight="1">
      <c r="H105" s="8" t="s">
        <v>10174</v>
      </c>
      <c r="I105" s="8" t="s">
        <v>10175</v>
      </c>
      <c r="J105" s="8" t="s">
        <v>10174</v>
      </c>
    </row>
    <row r="106" ht="19.5" customHeight="1">
      <c r="H106" s="8" t="s">
        <v>10176</v>
      </c>
      <c r="I106" s="8" t="s">
        <v>10177</v>
      </c>
      <c r="J106" s="8" t="s">
        <v>10176</v>
      </c>
    </row>
    <row r="107" ht="19.5" customHeight="1">
      <c r="H107" s="8" t="s">
        <v>10178</v>
      </c>
      <c r="I107" s="8" t="s">
        <v>10179</v>
      </c>
      <c r="J107" s="8" t="s">
        <v>10178</v>
      </c>
    </row>
    <row r="108" ht="19.5" customHeight="1">
      <c r="H108" s="8" t="s">
        <v>10180</v>
      </c>
      <c r="I108" s="8" t="s">
        <v>10181</v>
      </c>
      <c r="J108" s="8" t="s">
        <v>10180</v>
      </c>
    </row>
    <row r="109" ht="19.5" customHeight="1">
      <c r="H109" s="8" t="s">
        <v>10182</v>
      </c>
      <c r="I109" s="8" t="s">
        <v>10183</v>
      </c>
      <c r="J109" s="8" t="s">
        <v>10182</v>
      </c>
    </row>
    <row r="110" ht="19.5" customHeight="1">
      <c r="H110" s="8" t="s">
        <v>10184</v>
      </c>
      <c r="I110" s="8" t="s">
        <v>10179</v>
      </c>
      <c r="J110" s="8" t="s">
        <v>10184</v>
      </c>
    </row>
    <row r="111" ht="19.5" customHeight="1">
      <c r="H111" s="8" t="s">
        <v>10185</v>
      </c>
      <c r="I111" s="8" t="s">
        <v>10181</v>
      </c>
      <c r="J111" s="8" t="s">
        <v>10185</v>
      </c>
    </row>
    <row r="112" ht="19.5" customHeight="1">
      <c r="H112" s="8" t="s">
        <v>10186</v>
      </c>
      <c r="I112" s="8" t="s">
        <v>10187</v>
      </c>
      <c r="J112" s="8" t="s">
        <v>10186</v>
      </c>
    </row>
    <row r="113" ht="19.5" customHeight="1">
      <c r="H113" s="8" t="s">
        <v>10188</v>
      </c>
      <c r="I113" s="8" t="s">
        <v>10179</v>
      </c>
      <c r="J113" s="8" t="s">
        <v>10188</v>
      </c>
    </row>
    <row r="114" ht="19.5" customHeight="1">
      <c r="H114" s="8" t="s">
        <v>10189</v>
      </c>
      <c r="I114" s="8" t="s">
        <v>10181</v>
      </c>
      <c r="J114" s="8" t="s">
        <v>10189</v>
      </c>
    </row>
    <row r="115" ht="19.5" customHeight="1">
      <c r="H115" s="8" t="s">
        <v>10190</v>
      </c>
      <c r="I115" s="8" t="s">
        <v>10191</v>
      </c>
      <c r="J115" s="8" t="s">
        <v>10190</v>
      </c>
    </row>
    <row r="116" ht="19.5" customHeight="1">
      <c r="H116" s="8" t="s">
        <v>10192</v>
      </c>
      <c r="I116" s="8" t="s">
        <v>10179</v>
      </c>
      <c r="J116" s="8" t="s">
        <v>10192</v>
      </c>
    </row>
    <row r="117" ht="19.5" customHeight="1">
      <c r="H117" s="8" t="s">
        <v>10193</v>
      </c>
      <c r="I117" s="8" t="s">
        <v>10181</v>
      </c>
      <c r="J117" s="8" t="s">
        <v>10193</v>
      </c>
    </row>
    <row r="118" ht="19.5" customHeight="1">
      <c r="H118" s="8" t="s">
        <v>10194</v>
      </c>
      <c r="I118" s="8" t="s">
        <v>10195</v>
      </c>
      <c r="J118" s="8" t="s">
        <v>10194</v>
      </c>
    </row>
    <row r="119" ht="19.5" customHeight="1">
      <c r="H119" s="8" t="s">
        <v>10196</v>
      </c>
      <c r="I119" s="8" t="s">
        <v>10197</v>
      </c>
      <c r="J119" s="8" t="s">
        <v>10196</v>
      </c>
    </row>
    <row r="120" ht="19.5" customHeight="1">
      <c r="H120" s="8" t="s">
        <v>10198</v>
      </c>
      <c r="I120" s="8" t="s">
        <v>10199</v>
      </c>
      <c r="J120" s="8" t="s">
        <v>10198</v>
      </c>
    </row>
    <row r="121" ht="19.5" customHeight="1">
      <c r="H121" s="8" t="s">
        <v>10200</v>
      </c>
      <c r="I121" s="8" t="s">
        <v>10179</v>
      </c>
      <c r="J121" s="8" t="s">
        <v>10200</v>
      </c>
    </row>
    <row r="122" ht="19.5" customHeight="1">
      <c r="H122" s="8" t="s">
        <v>10201</v>
      </c>
      <c r="I122" s="8" t="s">
        <v>10202</v>
      </c>
      <c r="J122" s="8" t="s">
        <v>10201</v>
      </c>
    </row>
    <row r="123" ht="19.5" customHeight="1">
      <c r="H123" s="8" t="s">
        <v>10203</v>
      </c>
      <c r="I123" s="8" t="s">
        <v>10204</v>
      </c>
      <c r="J123" s="8" t="s">
        <v>10203</v>
      </c>
    </row>
    <row r="124" ht="19.5" customHeight="1">
      <c r="H124" s="8" t="s">
        <v>10205</v>
      </c>
      <c r="I124" s="8" t="s">
        <v>10206</v>
      </c>
      <c r="J124" s="8" t="s">
        <v>10205</v>
      </c>
    </row>
    <row r="125" ht="19.5" customHeight="1">
      <c r="H125" s="8" t="s">
        <v>10207</v>
      </c>
      <c r="I125" s="8" t="s">
        <v>10208</v>
      </c>
      <c r="J125" s="8" t="s">
        <v>10207</v>
      </c>
    </row>
    <row r="126" ht="19.5" customHeight="1">
      <c r="H126" s="8" t="s">
        <v>10209</v>
      </c>
      <c r="I126" s="8" t="s">
        <v>10210</v>
      </c>
      <c r="J126" s="8" t="s">
        <v>10209</v>
      </c>
    </row>
    <row r="127" ht="19.5" customHeight="1">
      <c r="H127" s="8" t="s">
        <v>10211</v>
      </c>
      <c r="I127" s="8" t="s">
        <v>10212</v>
      </c>
      <c r="J127" s="8" t="s">
        <v>10211</v>
      </c>
    </row>
    <row r="128" ht="19.5" customHeight="1">
      <c r="H128" s="8" t="s">
        <v>10213</v>
      </c>
      <c r="I128" s="8" t="s">
        <v>10214</v>
      </c>
      <c r="J128" s="8" t="s">
        <v>10213</v>
      </c>
    </row>
    <row r="129" ht="19.5" customHeight="1">
      <c r="H129" s="8" t="s">
        <v>10215</v>
      </c>
      <c r="I129" s="8" t="s">
        <v>10216</v>
      </c>
      <c r="J129" s="8" t="s">
        <v>10215</v>
      </c>
    </row>
    <row r="130" ht="19.5" customHeight="1">
      <c r="H130" s="8" t="s">
        <v>10217</v>
      </c>
      <c r="I130" s="8" t="s">
        <v>10218</v>
      </c>
      <c r="J130" s="8" t="s">
        <v>10217</v>
      </c>
    </row>
    <row r="131" ht="19.5" customHeight="1">
      <c r="H131" s="8" t="s">
        <v>10219</v>
      </c>
      <c r="I131" s="8" t="s">
        <v>10220</v>
      </c>
      <c r="J131" s="8" t="s">
        <v>10219</v>
      </c>
    </row>
    <row r="132" ht="19.5" customHeight="1">
      <c r="H132" s="8" t="s">
        <v>10221</v>
      </c>
      <c r="I132" s="8" t="s">
        <v>10222</v>
      </c>
      <c r="J132" s="8" t="s">
        <v>10221</v>
      </c>
    </row>
    <row r="133" ht="19.5" customHeight="1">
      <c r="H133" s="8" t="s">
        <v>10223</v>
      </c>
      <c r="I133" s="8" t="s">
        <v>10224</v>
      </c>
      <c r="J133" s="8" t="s">
        <v>10223</v>
      </c>
    </row>
    <row r="134" ht="19.5" customHeight="1">
      <c r="H134" s="8" t="s">
        <v>10225</v>
      </c>
      <c r="I134" s="8" t="s">
        <v>10226</v>
      </c>
      <c r="J134" s="8" t="s">
        <v>10225</v>
      </c>
    </row>
    <row r="135" ht="19.5" customHeight="1">
      <c r="H135" s="8" t="s">
        <v>10227</v>
      </c>
      <c r="I135" s="8" t="s">
        <v>10228</v>
      </c>
      <c r="J135" s="8" t="s">
        <v>10227</v>
      </c>
    </row>
    <row r="136" ht="19.5" customHeight="1">
      <c r="H136" s="8" t="s">
        <v>10229</v>
      </c>
      <c r="I136" s="8" t="s">
        <v>10230</v>
      </c>
      <c r="J136" s="8" t="s">
        <v>10229</v>
      </c>
    </row>
    <row r="137" ht="19.5" customHeight="1">
      <c r="H137" s="8" t="s">
        <v>10231</v>
      </c>
      <c r="I137" s="8" t="s">
        <v>10232</v>
      </c>
      <c r="J137" s="8" t="s">
        <v>10231</v>
      </c>
    </row>
    <row r="138" ht="19.5" customHeight="1">
      <c r="H138" s="8" t="s">
        <v>10233</v>
      </c>
      <c r="I138" s="8" t="s">
        <v>10234</v>
      </c>
      <c r="J138" s="8" t="s">
        <v>10233</v>
      </c>
    </row>
    <row r="139" ht="19.5" customHeight="1">
      <c r="H139" s="8" t="s">
        <v>10235</v>
      </c>
      <c r="I139" s="8" t="s">
        <v>10236</v>
      </c>
      <c r="J139" s="8" t="s">
        <v>10235</v>
      </c>
    </row>
    <row r="140" ht="19.5" customHeight="1">
      <c r="H140" s="8" t="s">
        <v>10237</v>
      </c>
      <c r="I140" s="8" t="s">
        <v>10238</v>
      </c>
      <c r="J140" s="8" t="s">
        <v>10237</v>
      </c>
    </row>
    <row r="141" ht="19.5" customHeight="1">
      <c r="H141" s="8" t="s">
        <v>10239</v>
      </c>
      <c r="I141" s="8" t="s">
        <v>10240</v>
      </c>
      <c r="J141" s="8" t="s">
        <v>10239</v>
      </c>
    </row>
    <row r="142" ht="19.5" customHeight="1">
      <c r="H142" s="8" t="s">
        <v>10241</v>
      </c>
      <c r="I142" s="8" t="s">
        <v>10242</v>
      </c>
      <c r="J142" s="8" t="s">
        <v>10241</v>
      </c>
    </row>
    <row r="143" ht="19.5" customHeight="1">
      <c r="H143" s="8" t="s">
        <v>10243</v>
      </c>
      <c r="I143" s="8" t="s">
        <v>10244</v>
      </c>
      <c r="J143" s="8" t="s">
        <v>10243</v>
      </c>
    </row>
    <row r="144" ht="19.5" customHeight="1">
      <c r="H144" s="8" t="s">
        <v>10245</v>
      </c>
      <c r="I144" s="8" t="s">
        <v>10246</v>
      </c>
      <c r="J144" s="8" t="s">
        <v>10245</v>
      </c>
    </row>
    <row r="145" ht="19.5" customHeight="1">
      <c r="H145" s="8" t="s">
        <v>10247</v>
      </c>
      <c r="I145" s="8" t="s">
        <v>10248</v>
      </c>
      <c r="J145" s="8" t="s">
        <v>10247</v>
      </c>
    </row>
    <row r="146" ht="19.5" customHeight="1">
      <c r="H146" s="8" t="s">
        <v>10249</v>
      </c>
      <c r="I146" s="8" t="s">
        <v>10250</v>
      </c>
      <c r="J146" s="8" t="s">
        <v>10249</v>
      </c>
    </row>
    <row r="147" ht="19.5" customHeight="1">
      <c r="H147" s="8" t="s">
        <v>10251</v>
      </c>
      <c r="I147" s="8" t="s">
        <v>10252</v>
      </c>
      <c r="J147" s="8" t="s">
        <v>10251</v>
      </c>
    </row>
    <row r="148" ht="19.5" customHeight="1">
      <c r="H148" s="16" t="s">
        <v>10253</v>
      </c>
      <c r="I148" s="16" t="s">
        <v>10254</v>
      </c>
      <c r="J148" s="16" t="s">
        <v>10253</v>
      </c>
    </row>
    <row r="149" ht="19.5" customHeight="1">
      <c r="H149" s="16" t="s">
        <v>10255</v>
      </c>
      <c r="I149" s="16" t="s">
        <v>3028</v>
      </c>
      <c r="J149" s="17" t="s">
        <v>10255</v>
      </c>
    </row>
    <row r="150" ht="19.5" customHeight="1">
      <c r="H150" s="16" t="s">
        <v>10256</v>
      </c>
      <c r="I150" s="16" t="s">
        <v>10257</v>
      </c>
      <c r="J150" s="17" t="s">
        <v>10256</v>
      </c>
    </row>
    <row r="151" ht="19.5" customHeight="1">
      <c r="H151" s="16" t="s">
        <v>10258</v>
      </c>
      <c r="I151" s="16" t="s">
        <v>10259</v>
      </c>
      <c r="J151" s="17" t="s">
        <v>10258</v>
      </c>
    </row>
    <row r="152" ht="19.5" customHeight="1">
      <c r="H152" s="16" t="s">
        <v>10260</v>
      </c>
      <c r="I152" s="16" t="s">
        <v>10261</v>
      </c>
      <c r="J152" s="17" t="s">
        <v>10260</v>
      </c>
    </row>
    <row r="153" ht="19.5" customHeight="1">
      <c r="H153" s="16" t="s">
        <v>10262</v>
      </c>
      <c r="I153" s="16" t="s">
        <v>10263</v>
      </c>
      <c r="J153" s="17" t="s">
        <v>10262</v>
      </c>
    </row>
    <row r="154" ht="19.5" customHeight="1">
      <c r="H154" s="16" t="s">
        <v>10264</v>
      </c>
      <c r="I154" s="16" t="s">
        <v>10265</v>
      </c>
      <c r="J154" s="17" t="s">
        <v>10264</v>
      </c>
    </row>
    <row r="155" ht="19.5" customHeight="1">
      <c r="H155" s="16" t="s">
        <v>10266</v>
      </c>
      <c r="I155" s="16" t="s">
        <v>10267</v>
      </c>
      <c r="J155" s="17" t="s">
        <v>10266</v>
      </c>
    </row>
    <row r="156" ht="19.5" customHeight="1">
      <c r="H156" s="16" t="s">
        <v>10268</v>
      </c>
      <c r="I156" s="16" t="s">
        <v>10269</v>
      </c>
      <c r="J156" s="17" t="s">
        <v>10268</v>
      </c>
    </row>
    <row r="157" ht="19.5" customHeight="1">
      <c r="H157" s="16" t="s">
        <v>10270</v>
      </c>
      <c r="I157" s="16" t="s">
        <v>10271</v>
      </c>
      <c r="J157" s="17" t="s">
        <v>10270</v>
      </c>
    </row>
    <row r="158" ht="19.5" customHeight="1">
      <c r="H158" s="16" t="s">
        <v>10272</v>
      </c>
      <c r="I158" s="16" t="s">
        <v>10273</v>
      </c>
      <c r="J158" s="17" t="s">
        <v>10272</v>
      </c>
    </row>
    <row r="159" ht="19.5" customHeight="1">
      <c r="H159" s="16" t="s">
        <v>10274</v>
      </c>
      <c r="I159" s="16" t="s">
        <v>10275</v>
      </c>
      <c r="J159" s="17" t="s">
        <v>10274</v>
      </c>
    </row>
    <row r="160" ht="19.5" customHeight="1">
      <c r="H160" s="16" t="s">
        <v>10276</v>
      </c>
      <c r="I160" s="16" t="s">
        <v>10277</v>
      </c>
      <c r="J160" s="17" t="s">
        <v>10276</v>
      </c>
    </row>
    <row r="161" ht="19.5" customHeight="1">
      <c r="H161" s="16" t="s">
        <v>10278</v>
      </c>
      <c r="I161" s="16" t="s">
        <v>10279</v>
      </c>
      <c r="J161" s="17" t="s">
        <v>10278</v>
      </c>
    </row>
    <row r="162" ht="19.5" customHeight="1">
      <c r="H162" s="16" t="s">
        <v>10280</v>
      </c>
      <c r="I162" s="16" t="s">
        <v>10271</v>
      </c>
      <c r="J162" s="17" t="s">
        <v>10280</v>
      </c>
    </row>
    <row r="163" ht="19.5" customHeight="1">
      <c r="H163" s="20" t="s">
        <v>10281</v>
      </c>
      <c r="I163" s="20" t="s">
        <v>10282</v>
      </c>
      <c r="J163" s="15" t="s">
        <v>10281</v>
      </c>
    </row>
    <row r="164" ht="19.5" customHeight="1">
      <c r="H164" s="20" t="s">
        <v>10283</v>
      </c>
      <c r="I164" s="20" t="s">
        <v>10284</v>
      </c>
      <c r="J164" s="15" t="s">
        <v>10283</v>
      </c>
    </row>
    <row r="165" ht="19.5" customHeight="1">
      <c r="H165" s="20" t="s">
        <v>10285</v>
      </c>
      <c r="I165" s="20" t="s">
        <v>10286</v>
      </c>
      <c r="J165" s="15" t="s">
        <v>10285</v>
      </c>
    </row>
    <row r="166" ht="19.5" customHeight="1">
      <c r="H166" s="8" t="s">
        <v>10287</v>
      </c>
      <c r="I166" s="8" t="s">
        <v>10163</v>
      </c>
      <c r="J166" s="8" t="s">
        <v>10287</v>
      </c>
    </row>
    <row r="167" ht="19.5" customHeight="1">
      <c r="H167" s="8" t="s">
        <v>10288</v>
      </c>
      <c r="I167" s="8" t="s">
        <v>10289</v>
      </c>
      <c r="J167" s="8" t="s">
        <v>10288</v>
      </c>
    </row>
    <row r="168" ht="19.5" customHeight="1">
      <c r="H168" s="8" t="s">
        <v>10290</v>
      </c>
      <c r="I168" s="8" t="s">
        <v>10291</v>
      </c>
      <c r="J168" s="8" t="s">
        <v>10290</v>
      </c>
    </row>
    <row r="169" ht="19.5" customHeight="1">
      <c r="H169" s="8" t="s">
        <v>10292</v>
      </c>
      <c r="I169" s="8" t="s">
        <v>10204</v>
      </c>
      <c r="J169" s="8" t="s">
        <v>10292</v>
      </c>
    </row>
    <row r="170" ht="19.5" customHeight="1">
      <c r="H170" s="8" t="s">
        <v>10293</v>
      </c>
      <c r="I170" s="8" t="s">
        <v>10294</v>
      </c>
      <c r="J170" s="8" t="s">
        <v>10293</v>
      </c>
    </row>
    <row r="171" ht="19.5" customHeight="1">
      <c r="H171" s="20" t="s">
        <v>10295</v>
      </c>
      <c r="I171" s="20" t="s">
        <v>10296</v>
      </c>
      <c r="J171" s="15" t="s">
        <v>10295</v>
      </c>
    </row>
    <row r="172" ht="19.5" customHeight="1">
      <c r="H172" s="20" t="s">
        <v>10297</v>
      </c>
      <c r="I172" s="20" t="s">
        <v>10298</v>
      </c>
      <c r="J172" s="15" t="s">
        <v>10297</v>
      </c>
    </row>
    <row r="173" ht="19.5" customHeight="1">
      <c r="H173" s="20" t="s">
        <v>10299</v>
      </c>
      <c r="I173" s="20" t="s">
        <v>10300</v>
      </c>
      <c r="J173" s="15" t="s">
        <v>10299</v>
      </c>
    </row>
    <row r="174" ht="19.5" customHeight="1">
      <c r="H174" s="20" t="s">
        <v>10301</v>
      </c>
      <c r="I174" s="20" t="s">
        <v>10302</v>
      </c>
      <c r="J174" s="15" t="s">
        <v>10301</v>
      </c>
    </row>
    <row r="175" ht="19.5" customHeight="1">
      <c r="H175" s="20" t="s">
        <v>10303</v>
      </c>
      <c r="I175" s="20" t="s">
        <v>10304</v>
      </c>
      <c r="J175" s="15" t="s">
        <v>10303</v>
      </c>
    </row>
    <row r="176" ht="19.5" customHeight="1">
      <c r="H176" s="20" t="s">
        <v>10305</v>
      </c>
      <c r="I176" s="20" t="s">
        <v>10306</v>
      </c>
      <c r="J176" s="15" t="s">
        <v>10305</v>
      </c>
    </row>
    <row r="177" ht="19.5" customHeight="1">
      <c r="H177" s="20" t="s">
        <v>10307</v>
      </c>
      <c r="I177" s="20" t="s">
        <v>10308</v>
      </c>
      <c r="J177" s="15" t="s">
        <v>10307</v>
      </c>
    </row>
    <row r="178" ht="19.5" customHeight="1">
      <c r="H178" s="20" t="s">
        <v>10309</v>
      </c>
      <c r="I178" s="20" t="s">
        <v>10310</v>
      </c>
      <c r="J178" s="15" t="s">
        <v>10309</v>
      </c>
    </row>
    <row r="179" ht="19.5" customHeight="1">
      <c r="H179" s="8" t="s">
        <v>10311</v>
      </c>
      <c r="I179" s="8" t="s">
        <v>10312</v>
      </c>
      <c r="J179" s="8" t="s">
        <v>10311</v>
      </c>
    </row>
    <row r="180" ht="19.5" customHeight="1">
      <c r="H180" s="8" t="s">
        <v>10313</v>
      </c>
      <c r="I180" s="8" t="s">
        <v>10314</v>
      </c>
      <c r="J180" s="8" t="s">
        <v>10313</v>
      </c>
    </row>
    <row r="181" ht="19.5" customHeight="1">
      <c r="H181" s="8" t="s">
        <v>10315</v>
      </c>
      <c r="I181" s="8" t="s">
        <v>10316</v>
      </c>
      <c r="J181" s="8" t="s">
        <v>10315</v>
      </c>
    </row>
    <row r="182" ht="19.5" customHeight="1">
      <c r="H182" s="8" t="s">
        <v>10317</v>
      </c>
      <c r="I182" s="8" t="s">
        <v>10318</v>
      </c>
      <c r="J182" s="8" t="s">
        <v>10317</v>
      </c>
    </row>
    <row r="183" ht="19.5" customHeight="1">
      <c r="H183" s="8" t="s">
        <v>10319</v>
      </c>
      <c r="I183" s="8" t="s">
        <v>10320</v>
      </c>
      <c r="J183" s="8" t="s">
        <v>10319</v>
      </c>
    </row>
    <row r="184" ht="19.5" customHeight="1">
      <c r="H184" s="8" t="s">
        <v>10321</v>
      </c>
      <c r="I184" s="8" t="s">
        <v>10322</v>
      </c>
      <c r="J184" s="8" t="s">
        <v>10321</v>
      </c>
    </row>
    <row r="185" ht="19.5" customHeight="1">
      <c r="H185" s="8" t="s">
        <v>10323</v>
      </c>
      <c r="I185" s="8" t="s">
        <v>10324</v>
      </c>
      <c r="J185" s="8" t="s">
        <v>10323</v>
      </c>
    </row>
    <row r="186" ht="19.5" customHeight="1">
      <c r="H186" s="8" t="s">
        <v>10325</v>
      </c>
      <c r="I186" s="8" t="s">
        <v>10326</v>
      </c>
      <c r="J186" s="8" t="s">
        <v>10325</v>
      </c>
    </row>
    <row r="187" ht="19.5" customHeight="1">
      <c r="H187" s="8" t="s">
        <v>10327</v>
      </c>
      <c r="I187" s="8" t="s">
        <v>10328</v>
      </c>
      <c r="J187" s="8" t="s">
        <v>10327</v>
      </c>
    </row>
    <row r="188" ht="19.5" customHeight="1">
      <c r="H188" s="8" t="s">
        <v>10329</v>
      </c>
      <c r="I188" s="8" t="s">
        <v>10330</v>
      </c>
      <c r="J188" s="8" t="s">
        <v>10329</v>
      </c>
    </row>
    <row r="189" ht="19.5" customHeight="1">
      <c r="H189" s="8" t="s">
        <v>10331</v>
      </c>
      <c r="I189" s="8" t="s">
        <v>10332</v>
      </c>
      <c r="J189" s="8" t="s">
        <v>10331</v>
      </c>
    </row>
    <row r="190" ht="19.5" customHeight="1">
      <c r="H190" s="8" t="s">
        <v>10333</v>
      </c>
      <c r="I190" s="8" t="s">
        <v>10334</v>
      </c>
      <c r="J190" s="8" t="s">
        <v>10333</v>
      </c>
    </row>
    <row r="191" ht="19.5" customHeight="1">
      <c r="H191" s="8" t="s">
        <v>10335</v>
      </c>
      <c r="I191" s="8" t="s">
        <v>10336</v>
      </c>
      <c r="J191" s="8" t="s">
        <v>10335</v>
      </c>
    </row>
    <row r="192" ht="19.5" customHeight="1">
      <c r="H192" s="8" t="s">
        <v>10337</v>
      </c>
      <c r="I192" s="8" t="s">
        <v>10338</v>
      </c>
      <c r="J192" s="8" t="s">
        <v>10337</v>
      </c>
    </row>
    <row r="193" ht="19.5" customHeight="1">
      <c r="H193" s="20" t="s">
        <v>10339</v>
      </c>
      <c r="I193" s="20" t="s">
        <v>10340</v>
      </c>
      <c r="J193" s="15" t="s">
        <v>10339</v>
      </c>
    </row>
    <row r="194" ht="19.5" customHeight="1">
      <c r="H194" s="20" t="s">
        <v>10341</v>
      </c>
      <c r="I194" s="20" t="s">
        <v>10342</v>
      </c>
      <c r="J194" s="15" t="s">
        <v>10341</v>
      </c>
    </row>
    <row r="195" ht="19.5" customHeight="1">
      <c r="J195" s="15"/>
    </row>
    <row r="196" ht="19.5" customHeight="1">
      <c r="J196" s="15"/>
    </row>
    <row r="197" ht="19.5" customHeight="1">
      <c r="J197" s="15"/>
    </row>
    <row r="198" ht="19.5" customHeight="1">
      <c r="J198" s="15"/>
    </row>
    <row r="199" ht="19.5" customHeight="1">
      <c r="J199" s="15"/>
    </row>
    <row r="200" ht="19.5" customHeight="1">
      <c r="J200" s="15"/>
    </row>
  </sheetData>
  <phoneticPr fontId="1" type="noConversion"/>
  <conditionalFormatting sqref="R1:R1048576">
    <cfRule priority="2" type="duplicateValues" dxfId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2026-09-25T23:55:17Z</dcterms:modified>
</cp:coreProperties>
</file>